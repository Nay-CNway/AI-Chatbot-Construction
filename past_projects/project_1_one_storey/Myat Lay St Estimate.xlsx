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ch\Downloads\Telegram Desktop\One Storeyed\One Storeyed\"/>
    </mc:Choice>
  </mc:AlternateContent>
  <xr:revisionPtr revIDLastSave="0" documentId="8_{A391B4CD-5C61-4FDE-A55A-5BD40FD659FA}" xr6:coauthVersionLast="47" xr6:coauthVersionMax="47" xr10:uidLastSave="{00000000-0000-0000-0000-000000000000}"/>
  <bookViews>
    <workbookView xWindow="-110" yWindow="-110" windowWidth="25820" windowHeight="15500" tabRatio="865" firstSheet="1" activeTab="23" xr2:uid="{8635CF1B-2A73-4FD5-9D21-703AE7EDAE24}"/>
  </bookViews>
  <sheets>
    <sheet name="Summary (2)" sheetId="75" state="hidden" r:id="rId1"/>
    <sheet name="Total Summary" sheetId="82" r:id="rId2"/>
    <sheet name="Summary" sheetId="67" r:id="rId3"/>
    <sheet name="AC" sheetId="34" r:id="rId4"/>
    <sheet name="BQ" sheetId="66" r:id="rId5"/>
    <sheet name="BE" sheetId="32" r:id="rId6"/>
    <sheet name="Price" sheetId="45" state="hidden" r:id="rId7"/>
    <sheet name="Sheet2" sheetId="46" state="hidden" r:id="rId8"/>
    <sheet name="Sheet3" sheetId="47" state="hidden" r:id="rId9"/>
    <sheet name="Sheet4" sheetId="48" state="hidden" r:id="rId10"/>
    <sheet name="Sheet5" sheetId="49" state="hidden" r:id="rId11"/>
    <sheet name="Sheet1" sheetId="50" state="hidden" r:id="rId12"/>
    <sheet name="D Form" sheetId="51" state="hidden" r:id="rId13"/>
    <sheet name="BE Form" sheetId="52" state="hidden" r:id="rId14"/>
    <sheet name="Sheet8" sheetId="53" state="hidden" r:id="rId15"/>
    <sheet name="Sheet14" sheetId="63" state="hidden" r:id="rId16"/>
    <sheet name="Sheet12" sheetId="61" state="hidden" r:id="rId17"/>
    <sheet name="Sheet7" sheetId="56" state="hidden" r:id="rId18"/>
    <sheet name="Sheet9" sheetId="57" state="hidden" r:id="rId19"/>
    <sheet name="Sheet13" sheetId="62" state="hidden" r:id="rId20"/>
    <sheet name="Sheet6" sheetId="58" state="hidden" r:id="rId21"/>
    <sheet name="Sheet10" sheetId="59" state="hidden" r:id="rId22"/>
    <sheet name="Sheet11" sheetId="60" state="hidden" r:id="rId23"/>
    <sheet name="Detail" sheetId="19" r:id="rId24"/>
    <sheet name="RATE" sheetId="71" state="hidden" r:id="rId25"/>
    <sheet name="BQ2" sheetId="70" state="hidden" r:id="rId26"/>
    <sheet name="Rebar" sheetId="72" state="hidden" r:id="rId27"/>
    <sheet name="M&amp;L Rate" sheetId="74" r:id="rId28"/>
    <sheet name="Indirect Cost" sheetId="83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5" hidden="1">BE!$B$2:$B$819</definedName>
    <definedName name="_xlnm._FilterDatabase" localSheetId="23" hidden="1">Detail!$A$5:$AV$405</definedName>
    <definedName name="_xlnm._FilterDatabase" localSheetId="24" hidden="1">RATE!$B$2:$B$290</definedName>
    <definedName name="_xlnm.Print_Area" localSheetId="3">AC!$A$1:$J$75</definedName>
    <definedName name="_xlnm.Print_Area" localSheetId="5">BE!$A$1:$H$815</definedName>
    <definedName name="_xlnm.Print_Area" localSheetId="4">BQ!$A$1:$H$127</definedName>
    <definedName name="_xlnm.Print_Area" localSheetId="25">'BQ2'!$A$1:$AL$30</definedName>
    <definedName name="_xlnm.Print_Area" localSheetId="23">Detail!$A$1:$L$1361</definedName>
    <definedName name="_xlnm.Print_Area" localSheetId="27">'M&amp;L Rate'!$A$1:$M$178</definedName>
    <definedName name="_xlnm.Print_Area" localSheetId="24">RATE!$A$1:$I$284</definedName>
    <definedName name="_xlnm.Print_Area" localSheetId="16">Sheet12!$A$1:$K$42</definedName>
    <definedName name="_xlnm.Print_Area" localSheetId="2">Summary!$A$1:$D$20</definedName>
    <definedName name="_xlnm.Print_Area" localSheetId="0">'Summary (2)'!$A$1:$D$22</definedName>
    <definedName name="_xlnm.Print_Area" localSheetId="1">'Total Summary'!$A$1:$D$18</definedName>
    <definedName name="_xlnm.Print_Titles" localSheetId="3">AC!$3:$4</definedName>
    <definedName name="_xlnm.Print_Titles" localSheetId="5">BE!$3:$4</definedName>
    <definedName name="_xlnm.Print_Titles" localSheetId="4">BQ!$3:$4</definedName>
    <definedName name="_xlnm.Print_Titles" localSheetId="25">'BQ2'!$2:$4</definedName>
    <definedName name="_xlnm.Print_Titles" localSheetId="23">Detail!$3:$5</definedName>
    <definedName name="_xlnm.Print_Titles" localSheetId="27">'M&amp;L Rate'!$3:$4</definedName>
    <definedName name="_xlnm.Print_Titles" localSheetId="24">RATE!$3:$4</definedName>
    <definedName name="_xlnm.Print_Titles" localSheetId="20">Sheet6!$1:$4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74" l="1"/>
  <c r="E125" i="74"/>
  <c r="E126" i="74"/>
  <c r="E127" i="74"/>
  <c r="E128" i="74"/>
  <c r="F1237" i="19"/>
  <c r="J1237" i="19"/>
  <c r="E1237" i="19"/>
  <c r="F1236" i="19"/>
  <c r="E1236" i="19"/>
  <c r="F1235" i="19"/>
  <c r="E1235" i="19"/>
  <c r="G669" i="32"/>
  <c r="E83" i="74"/>
  <c r="J1236" i="19"/>
  <c r="J1235" i="19"/>
  <c r="K1238" i="19"/>
  <c r="K1239" i="19"/>
  <c r="K1240" i="19"/>
  <c r="D669" i="32"/>
  <c r="C669" i="32"/>
  <c r="M772" i="32"/>
  <c r="G772" i="32"/>
  <c r="B68" i="34"/>
  <c r="D119" i="66"/>
  <c r="F119" i="66"/>
  <c r="E798" i="32"/>
  <c r="D99" i="66"/>
  <c r="F99" i="66"/>
  <c r="K115" i="74"/>
  <c r="K141" i="74"/>
  <c r="I141" i="74"/>
  <c r="M802" i="32"/>
  <c r="G801" i="32"/>
  <c r="G798" i="32"/>
  <c r="E7" i="74"/>
  <c r="C16" i="82"/>
  <c r="B69" i="34"/>
  <c r="D69" i="34"/>
  <c r="F69" i="34"/>
  <c r="B67" i="34"/>
  <c r="D67" i="34"/>
  <c r="F67" i="34"/>
  <c r="B66" i="34"/>
  <c r="B65" i="34"/>
  <c r="D65" i="34"/>
  <c r="F65" i="34"/>
  <c r="B64" i="34"/>
  <c r="B63" i="34"/>
  <c r="D63" i="34"/>
  <c r="F63" i="34"/>
  <c r="B62" i="34"/>
  <c r="D62" i="34"/>
  <c r="F62" i="34"/>
  <c r="B60" i="34"/>
  <c r="B59" i="34"/>
  <c r="B58" i="34"/>
  <c r="D58" i="34"/>
  <c r="F58" i="34"/>
  <c r="B57" i="34"/>
  <c r="D57" i="34"/>
  <c r="F57" i="34"/>
  <c r="B55" i="34"/>
  <c r="D55" i="34"/>
  <c r="F55" i="34"/>
  <c r="D52" i="34"/>
  <c r="F52" i="34"/>
  <c r="D53" i="34"/>
  <c r="F53" i="34"/>
  <c r="D54" i="34"/>
  <c r="F54" i="34"/>
  <c r="D56" i="34"/>
  <c r="F56" i="34"/>
  <c r="D7" i="34"/>
  <c r="F7" i="34"/>
  <c r="D8" i="34"/>
  <c r="D19" i="34"/>
  <c r="F19" i="34"/>
  <c r="D22" i="34"/>
  <c r="D31" i="34"/>
  <c r="D6" i="34"/>
  <c r="D5" i="34"/>
  <c r="F5" i="34"/>
  <c r="B43" i="34"/>
  <c r="D43" i="34"/>
  <c r="B49" i="34"/>
  <c r="D49" i="34"/>
  <c r="F49" i="34"/>
  <c r="B48" i="34"/>
  <c r="D48" i="34"/>
  <c r="F48" i="34"/>
  <c r="C19" i="67"/>
  <c r="K124" i="74"/>
  <c r="K125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39" i="74"/>
  <c r="K140" i="74"/>
  <c r="K123" i="74"/>
  <c r="I135" i="74"/>
  <c r="I130" i="74"/>
  <c r="I131" i="74"/>
  <c r="I132" i="74"/>
  <c r="I133" i="74"/>
  <c r="I134" i="74"/>
  <c r="I136" i="74"/>
  <c r="I137" i="74"/>
  <c r="I138" i="74"/>
  <c r="I139" i="74"/>
  <c r="I140" i="74"/>
  <c r="I129" i="74"/>
  <c r="E100" i="74"/>
  <c r="F1060" i="19"/>
  <c r="E81" i="74"/>
  <c r="I80" i="74"/>
  <c r="I79" i="74"/>
  <c r="I78" i="74"/>
  <c r="I77" i="74"/>
  <c r="I76" i="74"/>
  <c r="F1255" i="19"/>
  <c r="E52" i="74"/>
  <c r="I46" i="66"/>
  <c r="E53" i="74"/>
  <c r="K596" i="32"/>
  <c r="J1132" i="19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48" i="74"/>
  <c r="K49" i="74"/>
  <c r="K50" i="74"/>
  <c r="K51" i="74"/>
  <c r="K52" i="74"/>
  <c r="K53" i="74"/>
  <c r="K54" i="74"/>
  <c r="I45" i="74"/>
  <c r="D40" i="66"/>
  <c r="F40" i="66"/>
  <c r="G574" i="32"/>
  <c r="E32" i="74"/>
  <c r="I32" i="74"/>
  <c r="E29" i="74"/>
  <c r="E28" i="74"/>
  <c r="I21" i="74"/>
  <c r="E7" i="66"/>
  <c r="E8" i="66"/>
  <c r="E9" i="66"/>
  <c r="F149" i="32"/>
  <c r="H149" i="32"/>
  <c r="I149" i="32"/>
  <c r="E10" i="66"/>
  <c r="F278" i="32"/>
  <c r="E11" i="66"/>
  <c r="E12" i="66"/>
  <c r="F138" i="32"/>
  <c r="H138" i="32"/>
  <c r="I138" i="32"/>
  <c r="E13" i="66"/>
  <c r="E14" i="66"/>
  <c r="E15" i="66"/>
  <c r="E16" i="66"/>
  <c r="F248" i="32"/>
  <c r="H248" i="32"/>
  <c r="I248" i="32"/>
  <c r="E17" i="66"/>
  <c r="F219" i="32"/>
  <c r="H219" i="32"/>
  <c r="I219" i="32"/>
  <c r="E17" i="74"/>
  <c r="I17" i="74"/>
  <c r="E6" i="66"/>
  <c r="F755" i="32"/>
  <c r="D64" i="34"/>
  <c r="F64" i="34"/>
  <c r="D60" i="34"/>
  <c r="F60" i="34"/>
  <c r="F111" i="66"/>
  <c r="F110" i="66"/>
  <c r="F109" i="66"/>
  <c r="F108" i="66"/>
  <c r="F107" i="66"/>
  <c r="F106" i="66"/>
  <c r="F105" i="66"/>
  <c r="D118" i="66"/>
  <c r="F118" i="66"/>
  <c r="D117" i="66"/>
  <c r="F117" i="66"/>
  <c r="D116" i="66"/>
  <c r="F116" i="66"/>
  <c r="D115" i="66"/>
  <c r="F115" i="66"/>
  <c r="D112" i="66"/>
  <c r="F112" i="66"/>
  <c r="K114" i="74"/>
  <c r="D100" i="66"/>
  <c r="F100" i="66"/>
  <c r="G807" i="32"/>
  <c r="K101" i="74"/>
  <c r="K102" i="74"/>
  <c r="D86" i="66"/>
  <c r="F86" i="66"/>
  <c r="D87" i="66"/>
  <c r="F87" i="66"/>
  <c r="K103" i="74"/>
  <c r="K104" i="74"/>
  <c r="K105" i="74"/>
  <c r="K106" i="74"/>
  <c r="K107" i="74"/>
  <c r="K108" i="74"/>
  <c r="K109" i="74"/>
  <c r="K110" i="74"/>
  <c r="K111" i="74"/>
  <c r="K112" i="74"/>
  <c r="K113" i="74"/>
  <c r="D89" i="66"/>
  <c r="F89" i="66"/>
  <c r="D90" i="66"/>
  <c r="F90" i="66"/>
  <c r="D91" i="66"/>
  <c r="F91" i="66"/>
  <c r="D92" i="66"/>
  <c r="F92" i="66"/>
  <c r="D93" i="66"/>
  <c r="F93" i="66"/>
  <c r="D94" i="66"/>
  <c r="F94" i="66"/>
  <c r="D95" i="66"/>
  <c r="F95" i="66"/>
  <c r="D96" i="66"/>
  <c r="F96" i="66"/>
  <c r="D97" i="66"/>
  <c r="F97" i="66"/>
  <c r="D98" i="66"/>
  <c r="F98" i="66"/>
  <c r="K93" i="74"/>
  <c r="K94" i="74"/>
  <c r="K95" i="74"/>
  <c r="K96" i="74"/>
  <c r="K97" i="74"/>
  <c r="K98" i="74"/>
  <c r="K99" i="74"/>
  <c r="K100" i="74"/>
  <c r="K92" i="74"/>
  <c r="D81" i="66"/>
  <c r="F81" i="66"/>
  <c r="D82" i="66"/>
  <c r="F82" i="66"/>
  <c r="D83" i="66"/>
  <c r="F83" i="66"/>
  <c r="D84" i="66"/>
  <c r="F84" i="66"/>
  <c r="D85" i="66"/>
  <c r="F85" i="66"/>
  <c r="D88" i="66"/>
  <c r="F88" i="66"/>
  <c r="K85" i="74"/>
  <c r="K86" i="74"/>
  <c r="K87" i="74"/>
  <c r="K88" i="74"/>
  <c r="K74" i="74"/>
  <c r="K75" i="74"/>
  <c r="K89" i="74"/>
  <c r="K90" i="74"/>
  <c r="K91" i="74"/>
  <c r="D76" i="66"/>
  <c r="F76" i="66"/>
  <c r="D77" i="66"/>
  <c r="F77" i="66"/>
  <c r="D78" i="66"/>
  <c r="F78" i="66"/>
  <c r="D79" i="66"/>
  <c r="F79" i="66"/>
  <c r="D80" i="66"/>
  <c r="F80" i="66"/>
  <c r="K76" i="74"/>
  <c r="K77" i="74"/>
  <c r="K78" i="74"/>
  <c r="K79" i="74"/>
  <c r="K80" i="74"/>
  <c r="K81" i="74"/>
  <c r="K82" i="74"/>
  <c r="K83" i="74"/>
  <c r="K84" i="74"/>
  <c r="D72" i="66"/>
  <c r="F72" i="66"/>
  <c r="D73" i="66"/>
  <c r="F73" i="66"/>
  <c r="D74" i="66"/>
  <c r="F74" i="66"/>
  <c r="D75" i="66"/>
  <c r="F75" i="66"/>
  <c r="D67" i="66"/>
  <c r="F67" i="66"/>
  <c r="D68" i="66"/>
  <c r="F68" i="66"/>
  <c r="D69" i="66"/>
  <c r="F69" i="66"/>
  <c r="D70" i="66"/>
  <c r="F70" i="66"/>
  <c r="D71" i="66"/>
  <c r="F71" i="66"/>
  <c r="C68" i="74"/>
  <c r="I68" i="74"/>
  <c r="K68" i="74"/>
  <c r="D62" i="66"/>
  <c r="F62" i="66"/>
  <c r="C66" i="74"/>
  <c r="I66" i="74"/>
  <c r="K66" i="74"/>
  <c r="C67" i="74"/>
  <c r="I67" i="74"/>
  <c r="K67" i="74"/>
  <c r="L67" i="74"/>
  <c r="D60" i="66"/>
  <c r="F60" i="66"/>
  <c r="D61" i="66"/>
  <c r="F61" i="66"/>
  <c r="C62" i="74"/>
  <c r="I62" i="74"/>
  <c r="K62" i="74"/>
  <c r="C63" i="74"/>
  <c r="I63" i="74"/>
  <c r="K63" i="74"/>
  <c r="C64" i="74"/>
  <c r="I64" i="74"/>
  <c r="K64" i="74"/>
  <c r="C65" i="74"/>
  <c r="I65" i="74"/>
  <c r="K65" i="74"/>
  <c r="D56" i="66"/>
  <c r="F56" i="66"/>
  <c r="D57" i="66"/>
  <c r="F57" i="66"/>
  <c r="D58" i="66"/>
  <c r="F58" i="66"/>
  <c r="D59" i="66"/>
  <c r="F59" i="66"/>
  <c r="G717" i="32"/>
  <c r="C56" i="74"/>
  <c r="I56" i="74"/>
  <c r="K56" i="74"/>
  <c r="C57" i="74"/>
  <c r="I57" i="74"/>
  <c r="K57" i="74"/>
  <c r="C58" i="74"/>
  <c r="I58" i="74"/>
  <c r="K58" i="74"/>
  <c r="C59" i="74"/>
  <c r="I59" i="74"/>
  <c r="K59" i="74"/>
  <c r="C60" i="74"/>
  <c r="I60" i="74"/>
  <c r="K60" i="74"/>
  <c r="C61" i="74"/>
  <c r="I61" i="74"/>
  <c r="K61" i="74"/>
  <c r="K55" i="74"/>
  <c r="I55" i="74"/>
  <c r="C55" i="74"/>
  <c r="L55" i="74"/>
  <c r="D48" i="66"/>
  <c r="F48" i="66"/>
  <c r="D49" i="66"/>
  <c r="F49" i="66"/>
  <c r="D50" i="66"/>
  <c r="F50" i="66"/>
  <c r="D51" i="66"/>
  <c r="F51" i="66"/>
  <c r="D52" i="66"/>
  <c r="F52" i="66"/>
  <c r="D53" i="66"/>
  <c r="F53" i="66"/>
  <c r="D54" i="66"/>
  <c r="F54" i="66"/>
  <c r="D55" i="66"/>
  <c r="F55" i="66"/>
  <c r="D46" i="66"/>
  <c r="F46" i="66"/>
  <c r="D29" i="66"/>
  <c r="F29" i="66"/>
  <c r="D30" i="66"/>
  <c r="F30" i="66"/>
  <c r="C31" i="74"/>
  <c r="I31" i="74"/>
  <c r="D25" i="66"/>
  <c r="F25" i="66"/>
  <c r="D26" i="66"/>
  <c r="F26" i="66"/>
  <c r="D27" i="66"/>
  <c r="F27" i="66"/>
  <c r="D28" i="66"/>
  <c r="F28" i="66"/>
  <c r="G781" i="32"/>
  <c r="G782" i="32"/>
  <c r="G783" i="32"/>
  <c r="G784" i="32"/>
  <c r="G785" i="32"/>
  <c r="G786" i="32"/>
  <c r="G787" i="32"/>
  <c r="G788" i="32"/>
  <c r="G789" i="32"/>
  <c r="G780" i="32"/>
  <c r="M793" i="32"/>
  <c r="M785" i="32"/>
  <c r="M782" i="32"/>
  <c r="G792" i="32"/>
  <c r="G779" i="32"/>
  <c r="I1338" i="19"/>
  <c r="I1337" i="19"/>
  <c r="J1335" i="19"/>
  <c r="G773" i="32"/>
  <c r="M771" i="32"/>
  <c r="G771" i="32"/>
  <c r="M770" i="32"/>
  <c r="G768" i="32"/>
  <c r="G767" i="32"/>
  <c r="G757" i="32"/>
  <c r="G754" i="32"/>
  <c r="G756" i="32"/>
  <c r="G752" i="32"/>
  <c r="G753" i="32"/>
  <c r="G750" i="32"/>
  <c r="G751" i="32"/>
  <c r="F1201" i="19"/>
  <c r="F1200" i="19"/>
  <c r="F1217" i="19"/>
  <c r="J1217" i="19"/>
  <c r="F1216" i="19"/>
  <c r="J1216" i="19"/>
  <c r="F1215" i="19"/>
  <c r="J1215" i="19"/>
  <c r="F1214" i="19"/>
  <c r="J1214" i="19"/>
  <c r="F1213" i="19"/>
  <c r="J1213" i="19"/>
  <c r="F1212" i="19"/>
  <c r="J1212" i="19"/>
  <c r="G1318" i="19"/>
  <c r="J1318" i="19"/>
  <c r="G1316" i="19"/>
  <c r="J1316" i="19"/>
  <c r="K1320" i="19"/>
  <c r="K1321" i="19"/>
  <c r="K1319" i="19"/>
  <c r="D754" i="32"/>
  <c r="C754" i="32"/>
  <c r="C83" i="66"/>
  <c r="K1317" i="19"/>
  <c r="D753" i="32"/>
  <c r="C753" i="32"/>
  <c r="C82" i="66"/>
  <c r="G761" i="32"/>
  <c r="M760" i="32"/>
  <c r="G760" i="32"/>
  <c r="M759" i="32"/>
  <c r="G755" i="32"/>
  <c r="G749" i="32"/>
  <c r="G748" i="32"/>
  <c r="G743" i="32"/>
  <c r="N1286" i="19"/>
  <c r="G733" i="32"/>
  <c r="G737" i="32"/>
  <c r="G736" i="32"/>
  <c r="G732" i="32"/>
  <c r="G731" i="32"/>
  <c r="G730" i="32"/>
  <c r="G723" i="32"/>
  <c r="G724" i="32"/>
  <c r="G716" i="32"/>
  <c r="G718" i="32"/>
  <c r="G719" i="32"/>
  <c r="G722" i="32"/>
  <c r="G715" i="32"/>
  <c r="G524" i="32"/>
  <c r="G696" i="32"/>
  <c r="G693" i="32"/>
  <c r="G692" i="32"/>
  <c r="G686" i="32"/>
  <c r="G685" i="32"/>
  <c r="G682" i="32"/>
  <c r="G681" i="32"/>
  <c r="G680" i="32"/>
  <c r="G679" i="32"/>
  <c r="G678" i="32"/>
  <c r="E1229" i="19"/>
  <c r="F1229" i="19"/>
  <c r="F1228" i="19"/>
  <c r="E1228" i="19"/>
  <c r="E672" i="32"/>
  <c r="G672" i="32"/>
  <c r="L670" i="32"/>
  <c r="G668" i="32"/>
  <c r="G667" i="32"/>
  <c r="G666" i="32"/>
  <c r="G665" i="32"/>
  <c r="F1206" i="19"/>
  <c r="E1206" i="19"/>
  <c r="B1206" i="19"/>
  <c r="F1205" i="19"/>
  <c r="E1205" i="19"/>
  <c r="B1205" i="19"/>
  <c r="F1204" i="19"/>
  <c r="E1204" i="19"/>
  <c r="B1204" i="19"/>
  <c r="F1203" i="19"/>
  <c r="E1203" i="19"/>
  <c r="B1203" i="19"/>
  <c r="F1202" i="19"/>
  <c r="E1202" i="19"/>
  <c r="B1202" i="19"/>
  <c r="E1201" i="19"/>
  <c r="B1201" i="19"/>
  <c r="E1200" i="19"/>
  <c r="B1200" i="19"/>
  <c r="B1199" i="19"/>
  <c r="E1199" i="19"/>
  <c r="F1199" i="19"/>
  <c r="C1193" i="19"/>
  <c r="F1189" i="19"/>
  <c r="F1185" i="19"/>
  <c r="F1181" i="19"/>
  <c r="F1177" i="19"/>
  <c r="F1173" i="19"/>
  <c r="F1169" i="19"/>
  <c r="F1165" i="19"/>
  <c r="F1192" i="19"/>
  <c r="D1192" i="19"/>
  <c r="D1193" i="19"/>
  <c r="F1191" i="19"/>
  <c r="E1191" i="19"/>
  <c r="E1192" i="19"/>
  <c r="E1193" i="19"/>
  <c r="F1188" i="19"/>
  <c r="D1188" i="19"/>
  <c r="D1189" i="19"/>
  <c r="F1187" i="19"/>
  <c r="E1187" i="19"/>
  <c r="E1188" i="19"/>
  <c r="J1188" i="19"/>
  <c r="D1187" i="19"/>
  <c r="F1184" i="19"/>
  <c r="D1184" i="19"/>
  <c r="D1185" i="19"/>
  <c r="F1183" i="19"/>
  <c r="E1183" i="19"/>
  <c r="D1183" i="19"/>
  <c r="C1185" i="19"/>
  <c r="F1180" i="19"/>
  <c r="D1180" i="19"/>
  <c r="D1181" i="19"/>
  <c r="F1179" i="19"/>
  <c r="E1179" i="19"/>
  <c r="E1180" i="19"/>
  <c r="E1181" i="19"/>
  <c r="D1179" i="19"/>
  <c r="C1181" i="19"/>
  <c r="F1176" i="19"/>
  <c r="D1176" i="19"/>
  <c r="D1177" i="19"/>
  <c r="F1175" i="19"/>
  <c r="E1175" i="19"/>
  <c r="E1176" i="19"/>
  <c r="E1177" i="19"/>
  <c r="D1175" i="19"/>
  <c r="C1177" i="19"/>
  <c r="F1172" i="19"/>
  <c r="D1172" i="19"/>
  <c r="D1173" i="19"/>
  <c r="F1171" i="19"/>
  <c r="E1171" i="19"/>
  <c r="D1171" i="19"/>
  <c r="F1168" i="19"/>
  <c r="D1168" i="19"/>
  <c r="D1169" i="19"/>
  <c r="F1167" i="19"/>
  <c r="E1167" i="19"/>
  <c r="E1168" i="19"/>
  <c r="D1167" i="19"/>
  <c r="C1169" i="19"/>
  <c r="D1164" i="19"/>
  <c r="D1165" i="19"/>
  <c r="D1163" i="19"/>
  <c r="C1165" i="19"/>
  <c r="F1164" i="19"/>
  <c r="F1163" i="19"/>
  <c r="E1163" i="19"/>
  <c r="E659" i="32"/>
  <c r="G659" i="32"/>
  <c r="G656" i="32"/>
  <c r="G655" i="32"/>
  <c r="G654" i="32"/>
  <c r="G653" i="32"/>
  <c r="G652" i="32"/>
  <c r="G651" i="32"/>
  <c r="G650" i="32"/>
  <c r="N645" i="32"/>
  <c r="E645" i="32"/>
  <c r="G645" i="32"/>
  <c r="N644" i="32"/>
  <c r="L643" i="32"/>
  <c r="N643" i="32"/>
  <c r="N642" i="32"/>
  <c r="G642" i="32"/>
  <c r="G641" i="32"/>
  <c r="L640" i="32"/>
  <c r="N640" i="32"/>
  <c r="G640" i="32"/>
  <c r="L639" i="32"/>
  <c r="N639" i="32"/>
  <c r="G639" i="32"/>
  <c r="L638" i="32"/>
  <c r="N638" i="32"/>
  <c r="G638" i="32"/>
  <c r="L637" i="32"/>
  <c r="G637" i="32"/>
  <c r="L636" i="32"/>
  <c r="M635" i="32"/>
  <c r="G636" i="32"/>
  <c r="E631" i="32"/>
  <c r="G631" i="32"/>
  <c r="L629" i="32"/>
  <c r="G628" i="32"/>
  <c r="G627" i="32"/>
  <c r="G626" i="32"/>
  <c r="G625" i="32"/>
  <c r="G624" i="32"/>
  <c r="G623" i="32"/>
  <c r="G622" i="32"/>
  <c r="G597" i="32"/>
  <c r="G596" i="32"/>
  <c r="G595" i="32"/>
  <c r="K593" i="32"/>
  <c r="L594" i="32"/>
  <c r="G589" i="32"/>
  <c r="G588" i="32"/>
  <c r="G585" i="32"/>
  <c r="G584" i="32"/>
  <c r="G583" i="32"/>
  <c r="G573" i="32"/>
  <c r="G572" i="32"/>
  <c r="G571" i="32"/>
  <c r="G570" i="32"/>
  <c r="G569" i="32"/>
  <c r="G540" i="32"/>
  <c r="G537" i="32"/>
  <c r="G536" i="32"/>
  <c r="G530" i="32"/>
  <c r="G529" i="32"/>
  <c r="G526" i="32"/>
  <c r="G525" i="32"/>
  <c r="G523" i="32"/>
  <c r="G1277" i="19"/>
  <c r="G1276" i="19"/>
  <c r="B1278" i="19"/>
  <c r="B1277" i="19"/>
  <c r="B1276" i="19"/>
  <c r="AF1279" i="19"/>
  <c r="F1353" i="19"/>
  <c r="J1353" i="19"/>
  <c r="F1352" i="19"/>
  <c r="J1352" i="19"/>
  <c r="F1347" i="19"/>
  <c r="I1347" i="19"/>
  <c r="G1343" i="19"/>
  <c r="F1343" i="19"/>
  <c r="J1343" i="19"/>
  <c r="J1224" i="19"/>
  <c r="J1223" i="19"/>
  <c r="J1157" i="19"/>
  <c r="D634" i="32"/>
  <c r="J1156" i="19"/>
  <c r="D620" i="32"/>
  <c r="J1153" i="19"/>
  <c r="K1154" i="19"/>
  <c r="J1334" i="19"/>
  <c r="I1346" i="19"/>
  <c r="I1345" i="19"/>
  <c r="F1330" i="19"/>
  <c r="J1330" i="19"/>
  <c r="F1329" i="19"/>
  <c r="J1329" i="19"/>
  <c r="J1328" i="19"/>
  <c r="M1331" i="19"/>
  <c r="J1327" i="19"/>
  <c r="J1307" i="19"/>
  <c r="K1308" i="19"/>
  <c r="D751" i="32"/>
  <c r="C751" i="32"/>
  <c r="C80" i="66"/>
  <c r="J1312" i="19"/>
  <c r="K1313" i="19"/>
  <c r="D752" i="32"/>
  <c r="C752" i="32"/>
  <c r="C81" i="66"/>
  <c r="H1300" i="19"/>
  <c r="F1300" i="19"/>
  <c r="F1299" i="19"/>
  <c r="J1299" i="19"/>
  <c r="J1295" i="19"/>
  <c r="K1296" i="19"/>
  <c r="K1297" i="19"/>
  <c r="J1291" i="19"/>
  <c r="J1290" i="19"/>
  <c r="H1284" i="19"/>
  <c r="H1285" i="19"/>
  <c r="H1283" i="19"/>
  <c r="F1284" i="19"/>
  <c r="F1285" i="19"/>
  <c r="F1324" i="19"/>
  <c r="F1283" i="19"/>
  <c r="E1284" i="19"/>
  <c r="K1284" i="19"/>
  <c r="E1285" i="19"/>
  <c r="E1283" i="19"/>
  <c r="B1284" i="19"/>
  <c r="B1285" i="19"/>
  <c r="B1324" i="19"/>
  <c r="B1283" i="19"/>
  <c r="AF1286" i="19"/>
  <c r="I987" i="19"/>
  <c r="H1271" i="19"/>
  <c r="F1354" i="19"/>
  <c r="H1272" i="19"/>
  <c r="H1270" i="19"/>
  <c r="F1271" i="19"/>
  <c r="F1272" i="19"/>
  <c r="F1302" i="19"/>
  <c r="F1270" i="19"/>
  <c r="E1271" i="19"/>
  <c r="E1272" i="19"/>
  <c r="E1302" i="19"/>
  <c r="E1270" i="19"/>
  <c r="K1270" i="19"/>
  <c r="D719" i="32"/>
  <c r="D724" i="32"/>
  <c r="C724" i="32"/>
  <c r="C117" i="66"/>
  <c r="B1271" i="19"/>
  <c r="B1354" i="19"/>
  <c r="B1272" i="19"/>
  <c r="B1302" i="19"/>
  <c r="B1270" i="19"/>
  <c r="B1358" i="19"/>
  <c r="J1147" i="19"/>
  <c r="J1131" i="19"/>
  <c r="F1128" i="19"/>
  <c r="J1128" i="19"/>
  <c r="E291" i="19"/>
  <c r="J291" i="19"/>
  <c r="K292" i="19"/>
  <c r="D214" i="32"/>
  <c r="J1097" i="19"/>
  <c r="J1096" i="19"/>
  <c r="J1095" i="19"/>
  <c r="F1117" i="19"/>
  <c r="M1117" i="19"/>
  <c r="F1086" i="19"/>
  <c r="J1086" i="19"/>
  <c r="F1079" i="19"/>
  <c r="J1079" i="19"/>
  <c r="F1074" i="19"/>
  <c r="D1074" i="19"/>
  <c r="F1073" i="19"/>
  <c r="J1071" i="19"/>
  <c r="J1070" i="19"/>
  <c r="J1068" i="19"/>
  <c r="J1069" i="19"/>
  <c r="M1064" i="19"/>
  <c r="P1065" i="19"/>
  <c r="F1260" i="19"/>
  <c r="F1259" i="19"/>
  <c r="F993" i="19"/>
  <c r="H1054" i="19"/>
  <c r="G1054" i="19"/>
  <c r="E1055" i="19"/>
  <c r="F1054" i="19"/>
  <c r="D1055" i="19"/>
  <c r="E1054" i="19"/>
  <c r="D1054" i="19"/>
  <c r="B1054" i="19"/>
  <c r="AE1053" i="19"/>
  <c r="AD1053" i="19"/>
  <c r="AC1053" i="19"/>
  <c r="AB1053" i="19"/>
  <c r="AA1053" i="19"/>
  <c r="Z1053" i="19"/>
  <c r="Y1053" i="19"/>
  <c r="X1053" i="19"/>
  <c r="W1053" i="19"/>
  <c r="J1047" i="19"/>
  <c r="K1047" i="19"/>
  <c r="J1038" i="19"/>
  <c r="K1038" i="19"/>
  <c r="J1036" i="19"/>
  <c r="K1036" i="19"/>
  <c r="J1035" i="19"/>
  <c r="K1035" i="19"/>
  <c r="F1046" i="19"/>
  <c r="J1046" i="19"/>
  <c r="K1046" i="19"/>
  <c r="F1045" i="19"/>
  <c r="J1045" i="19"/>
  <c r="K1045" i="19"/>
  <c r="F1044" i="19"/>
  <c r="J1044" i="19"/>
  <c r="K1044" i="19"/>
  <c r="F1043" i="19"/>
  <c r="J1043" i="19"/>
  <c r="K1043" i="19"/>
  <c r="F1042" i="19"/>
  <c r="J1042" i="19"/>
  <c r="K1042" i="19"/>
  <c r="F1041" i="19"/>
  <c r="J1041" i="19"/>
  <c r="K1041" i="19"/>
  <c r="F1040" i="19"/>
  <c r="J1040" i="19"/>
  <c r="K1040" i="19"/>
  <c r="F1039" i="19"/>
  <c r="J1039" i="19"/>
  <c r="K1039" i="19"/>
  <c r="F1032" i="19"/>
  <c r="J1032" i="19"/>
  <c r="K1032" i="19"/>
  <c r="F1031" i="19"/>
  <c r="J1031" i="19"/>
  <c r="K1031" i="19"/>
  <c r="F994" i="19"/>
  <c r="J994" i="19"/>
  <c r="F979" i="19"/>
  <c r="F978" i="19"/>
  <c r="F977" i="19"/>
  <c r="F976" i="19"/>
  <c r="F975" i="19"/>
  <c r="F974" i="19"/>
  <c r="F973" i="19"/>
  <c r="AE972" i="19"/>
  <c r="AD972" i="19"/>
  <c r="AC972" i="19"/>
  <c r="AB972" i="19"/>
  <c r="AA972" i="19"/>
  <c r="Z972" i="19"/>
  <c r="Y972" i="19"/>
  <c r="X972" i="19"/>
  <c r="W972" i="19"/>
  <c r="O972" i="19"/>
  <c r="M972" i="19"/>
  <c r="N972" i="19"/>
  <c r="F969" i="19"/>
  <c r="F967" i="19"/>
  <c r="F966" i="19"/>
  <c r="F965" i="19"/>
  <c r="F964" i="19"/>
  <c r="F963" i="19"/>
  <c r="F961" i="19"/>
  <c r="E962" i="19"/>
  <c r="E963" i="19"/>
  <c r="E964" i="19"/>
  <c r="E965" i="19"/>
  <c r="E966" i="19"/>
  <c r="E967" i="19"/>
  <c r="E968" i="19"/>
  <c r="E969" i="19"/>
  <c r="E970" i="19"/>
  <c r="E961" i="19"/>
  <c r="B969" i="19"/>
  <c r="AF822" i="19"/>
  <c r="AE822" i="19"/>
  <c r="AD822" i="19"/>
  <c r="AC822" i="19"/>
  <c r="AB822" i="19"/>
  <c r="AA822" i="19"/>
  <c r="Z822" i="19"/>
  <c r="Y822" i="19"/>
  <c r="W822" i="19"/>
  <c r="S822" i="19"/>
  <c r="T822" i="19"/>
  <c r="D822" i="19"/>
  <c r="P822" i="19"/>
  <c r="AF821" i="19"/>
  <c r="AE821" i="19"/>
  <c r="AD821" i="19"/>
  <c r="AC821" i="19"/>
  <c r="AB821" i="19"/>
  <c r="AA821" i="19"/>
  <c r="Z821" i="19"/>
  <c r="X821" i="19"/>
  <c r="W821" i="19"/>
  <c r="T821" i="19"/>
  <c r="P821" i="19"/>
  <c r="N821" i="19"/>
  <c r="U821" i="19"/>
  <c r="F821" i="19"/>
  <c r="E821" i="19"/>
  <c r="AE820" i="19"/>
  <c r="AD820" i="19"/>
  <c r="AC820" i="19"/>
  <c r="AB820" i="19"/>
  <c r="AA820" i="19"/>
  <c r="Z820" i="19"/>
  <c r="Y820" i="19"/>
  <c r="X820" i="19"/>
  <c r="W820" i="19"/>
  <c r="F954" i="19"/>
  <c r="J954" i="19"/>
  <c r="H938" i="19"/>
  <c r="H939" i="19"/>
  <c r="H940" i="19"/>
  <c r="H941" i="19"/>
  <c r="H942" i="19"/>
  <c r="H943" i="19"/>
  <c r="G915" i="19"/>
  <c r="F915" i="19"/>
  <c r="G913" i="19"/>
  <c r="F913" i="19"/>
  <c r="G910" i="19"/>
  <c r="F910" i="19"/>
  <c r="E909" i="19"/>
  <c r="G909" i="19"/>
  <c r="G1003" i="19"/>
  <c r="F909" i="19"/>
  <c r="F1003" i="19"/>
  <c r="H902" i="19"/>
  <c r="E902" i="19"/>
  <c r="E901" i="19"/>
  <c r="F901" i="19"/>
  <c r="G901" i="19"/>
  <c r="J901" i="19"/>
  <c r="G900" i="19"/>
  <c r="E900" i="19"/>
  <c r="F900" i="19"/>
  <c r="AF881" i="19"/>
  <c r="AE881" i="19"/>
  <c r="AD881" i="19"/>
  <c r="AC881" i="19"/>
  <c r="AB881" i="19"/>
  <c r="AA881" i="19"/>
  <c r="Z881" i="19"/>
  <c r="Y881" i="19"/>
  <c r="W881" i="19"/>
  <c r="S881" i="19"/>
  <c r="P881" i="19"/>
  <c r="M881" i="19"/>
  <c r="AF880" i="19"/>
  <c r="AE880" i="19"/>
  <c r="AD880" i="19"/>
  <c r="AC880" i="19"/>
  <c r="AB880" i="19"/>
  <c r="AA880" i="19"/>
  <c r="Z880" i="19"/>
  <c r="X880" i="19"/>
  <c r="W880" i="19"/>
  <c r="T880" i="19"/>
  <c r="P880" i="19"/>
  <c r="M880" i="19"/>
  <c r="E880" i="19"/>
  <c r="E881" i="19"/>
  <c r="O881" i="19"/>
  <c r="AE879" i="19"/>
  <c r="AD879" i="19"/>
  <c r="AC879" i="19"/>
  <c r="AB879" i="19"/>
  <c r="AA879" i="19"/>
  <c r="Z879" i="19"/>
  <c r="Y879" i="19"/>
  <c r="X879" i="19"/>
  <c r="W879" i="19"/>
  <c r="AF877" i="19"/>
  <c r="AE877" i="19"/>
  <c r="AD877" i="19"/>
  <c r="AC877" i="19"/>
  <c r="AB877" i="19"/>
  <c r="AA877" i="19"/>
  <c r="Z877" i="19"/>
  <c r="Y877" i="19"/>
  <c r="W877" i="19"/>
  <c r="S877" i="19"/>
  <c r="P877" i="19"/>
  <c r="M877" i="19"/>
  <c r="AF876" i="19"/>
  <c r="AE876" i="19"/>
  <c r="AD876" i="19"/>
  <c r="AC876" i="19"/>
  <c r="AB876" i="19"/>
  <c r="AA876" i="19"/>
  <c r="Z876" i="19"/>
  <c r="X876" i="19"/>
  <c r="W876" i="19"/>
  <c r="T876" i="19"/>
  <c r="P876" i="19"/>
  <c r="M876" i="19"/>
  <c r="E876" i="19"/>
  <c r="E877" i="19"/>
  <c r="O877" i="19"/>
  <c r="AE875" i="19"/>
  <c r="AD875" i="19"/>
  <c r="AC875" i="19"/>
  <c r="AB875" i="19"/>
  <c r="AA875" i="19"/>
  <c r="Z875" i="19"/>
  <c r="Y875" i="19"/>
  <c r="X875" i="19"/>
  <c r="W875" i="19"/>
  <c r="AF873" i="19"/>
  <c r="AE873" i="19"/>
  <c r="AD873" i="19"/>
  <c r="AC873" i="19"/>
  <c r="AB873" i="19"/>
  <c r="AA873" i="19"/>
  <c r="Z873" i="19"/>
  <c r="Y873" i="19"/>
  <c r="W873" i="19"/>
  <c r="S873" i="19"/>
  <c r="P873" i="19"/>
  <c r="U873" i="19"/>
  <c r="F873" i="19"/>
  <c r="M873" i="19"/>
  <c r="AF872" i="19"/>
  <c r="AE872" i="19"/>
  <c r="AD872" i="19"/>
  <c r="AC872" i="19"/>
  <c r="AB872" i="19"/>
  <c r="AA872" i="19"/>
  <c r="Z872" i="19"/>
  <c r="X872" i="19"/>
  <c r="W872" i="19"/>
  <c r="T872" i="19"/>
  <c r="P872" i="19"/>
  <c r="M872" i="19"/>
  <c r="E872" i="19"/>
  <c r="E873" i="19"/>
  <c r="O873" i="19"/>
  <c r="AE871" i="19"/>
  <c r="AD871" i="19"/>
  <c r="AC871" i="19"/>
  <c r="AB871" i="19"/>
  <c r="AA871" i="19"/>
  <c r="Z871" i="19"/>
  <c r="Y871" i="19"/>
  <c r="X871" i="19"/>
  <c r="W871" i="19"/>
  <c r="AF869" i="19"/>
  <c r="AE869" i="19"/>
  <c r="AD869" i="19"/>
  <c r="AC869" i="19"/>
  <c r="AB869" i="19"/>
  <c r="AA869" i="19"/>
  <c r="Z869" i="19"/>
  <c r="Y869" i="19"/>
  <c r="W869" i="19"/>
  <c r="S869" i="19"/>
  <c r="P869" i="19"/>
  <c r="M869" i="19"/>
  <c r="AF868" i="19"/>
  <c r="AE868" i="19"/>
  <c r="AD868" i="19"/>
  <c r="AC868" i="19"/>
  <c r="AB868" i="19"/>
  <c r="AA868" i="19"/>
  <c r="Z868" i="19"/>
  <c r="X868" i="19"/>
  <c r="W868" i="19"/>
  <c r="T868" i="19"/>
  <c r="P868" i="19"/>
  <c r="M868" i="19"/>
  <c r="E868" i="19"/>
  <c r="AE867" i="19"/>
  <c r="AD867" i="19"/>
  <c r="AC867" i="19"/>
  <c r="AB867" i="19"/>
  <c r="AA867" i="19"/>
  <c r="Z867" i="19"/>
  <c r="Y867" i="19"/>
  <c r="X867" i="19"/>
  <c r="W867" i="19"/>
  <c r="AF865" i="19"/>
  <c r="AE865" i="19"/>
  <c r="AD865" i="19"/>
  <c r="AC865" i="19"/>
  <c r="AB865" i="19"/>
  <c r="AA865" i="19"/>
  <c r="Z865" i="19"/>
  <c r="Y865" i="19"/>
  <c r="W865" i="19"/>
  <c r="S865" i="19"/>
  <c r="P865" i="19"/>
  <c r="M865" i="19"/>
  <c r="AF864" i="19"/>
  <c r="AE864" i="19"/>
  <c r="AD864" i="19"/>
  <c r="AC864" i="19"/>
  <c r="AB864" i="19"/>
  <c r="AA864" i="19"/>
  <c r="Z864" i="19"/>
  <c r="X864" i="19"/>
  <c r="W864" i="19"/>
  <c r="T864" i="19"/>
  <c r="P864" i="19"/>
  <c r="M864" i="19"/>
  <c r="E864" i="19"/>
  <c r="E865" i="19"/>
  <c r="O865" i="19"/>
  <c r="AE863" i="19"/>
  <c r="AD863" i="19"/>
  <c r="AC863" i="19"/>
  <c r="AB863" i="19"/>
  <c r="AA863" i="19"/>
  <c r="Z863" i="19"/>
  <c r="Y863" i="19"/>
  <c r="X863" i="19"/>
  <c r="W863" i="19"/>
  <c r="AF861" i="19"/>
  <c r="AE861" i="19"/>
  <c r="AD861" i="19"/>
  <c r="AC861" i="19"/>
  <c r="AB861" i="19"/>
  <c r="AA861" i="19"/>
  <c r="Z861" i="19"/>
  <c r="Y861" i="19"/>
  <c r="W861" i="19"/>
  <c r="S861" i="19"/>
  <c r="P861" i="19"/>
  <c r="M861" i="19"/>
  <c r="AF860" i="19"/>
  <c r="AE860" i="19"/>
  <c r="AD860" i="19"/>
  <c r="AC860" i="19"/>
  <c r="AB860" i="19"/>
  <c r="AA860" i="19"/>
  <c r="Z860" i="19"/>
  <c r="X860" i="19"/>
  <c r="W860" i="19"/>
  <c r="T860" i="19"/>
  <c r="P860" i="19"/>
  <c r="M860" i="19"/>
  <c r="E860" i="19"/>
  <c r="O860" i="19"/>
  <c r="AE859" i="19"/>
  <c r="AD859" i="19"/>
  <c r="AC859" i="19"/>
  <c r="AB859" i="19"/>
  <c r="AA859" i="19"/>
  <c r="Z859" i="19"/>
  <c r="Y859" i="19"/>
  <c r="X859" i="19"/>
  <c r="W859" i="19"/>
  <c r="F878" i="19"/>
  <c r="J878" i="19"/>
  <c r="F874" i="19"/>
  <c r="F870" i="19"/>
  <c r="F866" i="19"/>
  <c r="J866" i="19"/>
  <c r="F862" i="19"/>
  <c r="J862" i="19"/>
  <c r="F858" i="19"/>
  <c r="J858" i="19"/>
  <c r="F854" i="19"/>
  <c r="N856" i="19"/>
  <c r="AF839" i="19"/>
  <c r="AE839" i="19"/>
  <c r="AD839" i="19"/>
  <c r="AC839" i="19"/>
  <c r="AB839" i="19"/>
  <c r="AA839" i="19"/>
  <c r="Z839" i="19"/>
  <c r="Y839" i="19"/>
  <c r="W839" i="19"/>
  <c r="S839" i="19"/>
  <c r="P839" i="19"/>
  <c r="M839" i="19"/>
  <c r="AF838" i="19"/>
  <c r="AE838" i="19"/>
  <c r="AD838" i="19"/>
  <c r="AC838" i="19"/>
  <c r="AB838" i="19"/>
  <c r="AA838" i="19"/>
  <c r="Z838" i="19"/>
  <c r="X838" i="19"/>
  <c r="W838" i="19"/>
  <c r="T838" i="19"/>
  <c r="P838" i="19"/>
  <c r="N838" i="19"/>
  <c r="E838" i="19"/>
  <c r="AE837" i="19"/>
  <c r="AD837" i="19"/>
  <c r="AC837" i="19"/>
  <c r="AB837" i="19"/>
  <c r="AA837" i="19"/>
  <c r="Z837" i="19"/>
  <c r="Y837" i="19"/>
  <c r="X837" i="19"/>
  <c r="W837" i="19"/>
  <c r="AF835" i="19"/>
  <c r="AE835" i="19"/>
  <c r="AD835" i="19"/>
  <c r="AC835" i="19"/>
  <c r="AB835" i="19"/>
  <c r="AA835" i="19"/>
  <c r="Z835" i="19"/>
  <c r="Y835" i="19"/>
  <c r="W835" i="19"/>
  <c r="S835" i="19"/>
  <c r="P835" i="19"/>
  <c r="M835" i="19"/>
  <c r="AF834" i="19"/>
  <c r="AE834" i="19"/>
  <c r="AD834" i="19"/>
  <c r="AC834" i="19"/>
  <c r="AB834" i="19"/>
  <c r="AA834" i="19"/>
  <c r="Z834" i="19"/>
  <c r="X834" i="19"/>
  <c r="W834" i="19"/>
  <c r="T834" i="19"/>
  <c r="P834" i="19"/>
  <c r="N834" i="19"/>
  <c r="E834" i="19"/>
  <c r="E835" i="19"/>
  <c r="O835" i="19"/>
  <c r="AE833" i="19"/>
  <c r="AD833" i="19"/>
  <c r="AC833" i="19"/>
  <c r="AB833" i="19"/>
  <c r="AA833" i="19"/>
  <c r="Z833" i="19"/>
  <c r="Y833" i="19"/>
  <c r="X833" i="19"/>
  <c r="W833" i="19"/>
  <c r="AF831" i="19"/>
  <c r="AE831" i="19"/>
  <c r="AD831" i="19"/>
  <c r="AC831" i="19"/>
  <c r="AB831" i="19"/>
  <c r="AA831" i="19"/>
  <c r="Z831" i="19"/>
  <c r="Y831" i="19"/>
  <c r="W831" i="19"/>
  <c r="S831" i="19"/>
  <c r="P831" i="19"/>
  <c r="M831" i="19"/>
  <c r="AF830" i="19"/>
  <c r="AE830" i="19"/>
  <c r="AD830" i="19"/>
  <c r="AC830" i="19"/>
  <c r="AB830" i="19"/>
  <c r="AA830" i="19"/>
  <c r="Z830" i="19"/>
  <c r="X830" i="19"/>
  <c r="W830" i="19"/>
  <c r="T830" i="19"/>
  <c r="P830" i="19"/>
  <c r="N830" i="19"/>
  <c r="M830" i="19"/>
  <c r="E830" i="19"/>
  <c r="AE829" i="19"/>
  <c r="AD829" i="19"/>
  <c r="AC829" i="19"/>
  <c r="AB829" i="19"/>
  <c r="AA829" i="19"/>
  <c r="Z829" i="19"/>
  <c r="Y829" i="19"/>
  <c r="X829" i="19"/>
  <c r="W829" i="19"/>
  <c r="AE832" i="19"/>
  <c r="AD832" i="19"/>
  <c r="AC832" i="19"/>
  <c r="AB832" i="19"/>
  <c r="AA832" i="19"/>
  <c r="Z832" i="19"/>
  <c r="Y832" i="19"/>
  <c r="X832" i="19"/>
  <c r="W832" i="19"/>
  <c r="G832" i="19"/>
  <c r="M834" i="19"/>
  <c r="AE828" i="19"/>
  <c r="AD828" i="19"/>
  <c r="AC828" i="19"/>
  <c r="AB828" i="19"/>
  <c r="AA828" i="19"/>
  <c r="Z828" i="19"/>
  <c r="Y828" i="19"/>
  <c r="X828" i="19"/>
  <c r="W828" i="19"/>
  <c r="AE827" i="19"/>
  <c r="AD827" i="19"/>
  <c r="AC827" i="19"/>
  <c r="AB827" i="19"/>
  <c r="AA827" i="19"/>
  <c r="Z827" i="19"/>
  <c r="Y827" i="19"/>
  <c r="X827" i="19"/>
  <c r="W827" i="19"/>
  <c r="AF826" i="19"/>
  <c r="AE826" i="19"/>
  <c r="AD826" i="19"/>
  <c r="AC826" i="19"/>
  <c r="AB826" i="19"/>
  <c r="AA826" i="19"/>
  <c r="Z826" i="19"/>
  <c r="Y826" i="19"/>
  <c r="W826" i="19"/>
  <c r="S826" i="19"/>
  <c r="P826" i="19"/>
  <c r="AF825" i="19"/>
  <c r="AE825" i="19"/>
  <c r="AD825" i="19"/>
  <c r="AC825" i="19"/>
  <c r="AB825" i="19"/>
  <c r="AA825" i="19"/>
  <c r="Z825" i="19"/>
  <c r="X825" i="19"/>
  <c r="W825" i="19"/>
  <c r="T825" i="19"/>
  <c r="P825" i="19"/>
  <c r="N825" i="19"/>
  <c r="U825" i="19"/>
  <c r="E825" i="19"/>
  <c r="O825" i="19"/>
  <c r="AE824" i="19"/>
  <c r="AD824" i="19"/>
  <c r="AC824" i="19"/>
  <c r="AB824" i="19"/>
  <c r="AA824" i="19"/>
  <c r="Z824" i="19"/>
  <c r="Y824" i="19"/>
  <c r="X824" i="19"/>
  <c r="W824" i="19"/>
  <c r="AF818" i="19"/>
  <c r="AE818" i="19"/>
  <c r="AD818" i="19"/>
  <c r="AC818" i="19"/>
  <c r="AB818" i="19"/>
  <c r="AA818" i="19"/>
  <c r="Z818" i="19"/>
  <c r="Y818" i="19"/>
  <c r="W818" i="19"/>
  <c r="S818" i="19"/>
  <c r="P818" i="19"/>
  <c r="AF817" i="19"/>
  <c r="AE817" i="19"/>
  <c r="AD817" i="19"/>
  <c r="AC817" i="19"/>
  <c r="AB817" i="19"/>
  <c r="AA817" i="19"/>
  <c r="Z817" i="19"/>
  <c r="X817" i="19"/>
  <c r="W817" i="19"/>
  <c r="T817" i="19"/>
  <c r="P817" i="19"/>
  <c r="E817" i="19"/>
  <c r="E818" i="19"/>
  <c r="O818" i="19"/>
  <c r="AE816" i="19"/>
  <c r="AD816" i="19"/>
  <c r="AC816" i="19"/>
  <c r="AB816" i="19"/>
  <c r="AA816" i="19"/>
  <c r="Z816" i="19"/>
  <c r="Y816" i="19"/>
  <c r="X816" i="19"/>
  <c r="W816" i="19"/>
  <c r="AF814" i="19"/>
  <c r="AE814" i="19"/>
  <c r="AD814" i="19"/>
  <c r="AC814" i="19"/>
  <c r="AB814" i="19"/>
  <c r="AA814" i="19"/>
  <c r="Z814" i="19"/>
  <c r="Y814" i="19"/>
  <c r="W814" i="19"/>
  <c r="S814" i="19"/>
  <c r="P814" i="19"/>
  <c r="AF813" i="19"/>
  <c r="AE813" i="19"/>
  <c r="AD813" i="19"/>
  <c r="AC813" i="19"/>
  <c r="AB813" i="19"/>
  <c r="AA813" i="19"/>
  <c r="Z813" i="19"/>
  <c r="X813" i="19"/>
  <c r="W813" i="19"/>
  <c r="T813" i="19"/>
  <c r="P813" i="19"/>
  <c r="N813" i="19"/>
  <c r="U813" i="19"/>
  <c r="E813" i="19"/>
  <c r="E814" i="19"/>
  <c r="O814" i="19"/>
  <c r="AE812" i="19"/>
  <c r="AD812" i="19"/>
  <c r="AC812" i="19"/>
  <c r="AB812" i="19"/>
  <c r="AA812" i="19"/>
  <c r="Z812" i="19"/>
  <c r="Y812" i="19"/>
  <c r="X812" i="19"/>
  <c r="W812" i="19"/>
  <c r="AF810" i="19"/>
  <c r="AE810" i="19"/>
  <c r="AD810" i="19"/>
  <c r="AC810" i="19"/>
  <c r="AB810" i="19"/>
  <c r="AA810" i="19"/>
  <c r="Z810" i="19"/>
  <c r="Y810" i="19"/>
  <c r="W810" i="19"/>
  <c r="S810" i="19"/>
  <c r="P810" i="19"/>
  <c r="AF809" i="19"/>
  <c r="AE809" i="19"/>
  <c r="AD809" i="19"/>
  <c r="AC809" i="19"/>
  <c r="AB809" i="19"/>
  <c r="AA809" i="19"/>
  <c r="Z809" i="19"/>
  <c r="X809" i="19"/>
  <c r="W809" i="19"/>
  <c r="T809" i="19"/>
  <c r="P809" i="19"/>
  <c r="N809" i="19"/>
  <c r="U809" i="19"/>
  <c r="F809" i="19"/>
  <c r="E809" i="19"/>
  <c r="E810" i="19"/>
  <c r="O810" i="19"/>
  <c r="AE808" i="19"/>
  <c r="AD808" i="19"/>
  <c r="AC808" i="19"/>
  <c r="AB808" i="19"/>
  <c r="AA808" i="19"/>
  <c r="Z808" i="19"/>
  <c r="Y808" i="19"/>
  <c r="X808" i="19"/>
  <c r="W808" i="19"/>
  <c r="AF806" i="19"/>
  <c r="AE806" i="19"/>
  <c r="AD806" i="19"/>
  <c r="AC806" i="19"/>
  <c r="AB806" i="19"/>
  <c r="AA806" i="19"/>
  <c r="Z806" i="19"/>
  <c r="Y806" i="19"/>
  <c r="W806" i="19"/>
  <c r="S806" i="19"/>
  <c r="P806" i="19"/>
  <c r="AF805" i="19"/>
  <c r="AE805" i="19"/>
  <c r="AD805" i="19"/>
  <c r="AC805" i="19"/>
  <c r="AB805" i="19"/>
  <c r="AA805" i="19"/>
  <c r="Z805" i="19"/>
  <c r="X805" i="19"/>
  <c r="W805" i="19"/>
  <c r="T805" i="19"/>
  <c r="P805" i="19"/>
  <c r="N805" i="19"/>
  <c r="U805" i="19"/>
  <c r="E805" i="19"/>
  <c r="E806" i="19"/>
  <c r="O806" i="19"/>
  <c r="AE804" i="19"/>
  <c r="AD804" i="19"/>
  <c r="AC804" i="19"/>
  <c r="AB804" i="19"/>
  <c r="AA804" i="19"/>
  <c r="Z804" i="19"/>
  <c r="Y804" i="19"/>
  <c r="X804" i="19"/>
  <c r="W804" i="19"/>
  <c r="AF802" i="19"/>
  <c r="AE802" i="19"/>
  <c r="AD802" i="19"/>
  <c r="AC802" i="19"/>
  <c r="AB802" i="19"/>
  <c r="AA802" i="19"/>
  <c r="Z802" i="19"/>
  <c r="Y802" i="19"/>
  <c r="W802" i="19"/>
  <c r="S802" i="19"/>
  <c r="P802" i="19"/>
  <c r="AF801" i="19"/>
  <c r="AE801" i="19"/>
  <c r="AD801" i="19"/>
  <c r="AC801" i="19"/>
  <c r="AB801" i="19"/>
  <c r="AA801" i="19"/>
  <c r="Z801" i="19"/>
  <c r="X801" i="19"/>
  <c r="W801" i="19"/>
  <c r="T801" i="19"/>
  <c r="P801" i="19"/>
  <c r="N801" i="19"/>
  <c r="U801" i="19"/>
  <c r="F801" i="19"/>
  <c r="J801" i="19"/>
  <c r="E801" i="19"/>
  <c r="O801" i="19"/>
  <c r="AE800" i="19"/>
  <c r="AD800" i="19"/>
  <c r="AC800" i="19"/>
  <c r="AB800" i="19"/>
  <c r="AA800" i="19"/>
  <c r="Z800" i="19"/>
  <c r="Y800" i="19"/>
  <c r="X800" i="19"/>
  <c r="W800" i="19"/>
  <c r="AF798" i="19"/>
  <c r="AE798" i="19"/>
  <c r="AD798" i="19"/>
  <c r="AC798" i="19"/>
  <c r="AB798" i="19"/>
  <c r="AA798" i="19"/>
  <c r="Z798" i="19"/>
  <c r="Y798" i="19"/>
  <c r="W798" i="19"/>
  <c r="S798" i="19"/>
  <c r="P798" i="19"/>
  <c r="AF797" i="19"/>
  <c r="AE797" i="19"/>
  <c r="AD797" i="19"/>
  <c r="AC797" i="19"/>
  <c r="AB797" i="19"/>
  <c r="AA797" i="19"/>
  <c r="Z797" i="19"/>
  <c r="X797" i="19"/>
  <c r="W797" i="19"/>
  <c r="T797" i="19"/>
  <c r="P797" i="19"/>
  <c r="N797" i="19"/>
  <c r="E797" i="19"/>
  <c r="O797" i="19"/>
  <c r="AE796" i="19"/>
  <c r="AD796" i="19"/>
  <c r="AC796" i="19"/>
  <c r="AB796" i="19"/>
  <c r="AA796" i="19"/>
  <c r="Z796" i="19"/>
  <c r="Y796" i="19"/>
  <c r="X796" i="19"/>
  <c r="W796" i="19"/>
  <c r="AF794" i="19"/>
  <c r="AE794" i="19"/>
  <c r="AD794" i="19"/>
  <c r="AC794" i="19"/>
  <c r="AB794" i="19"/>
  <c r="AA794" i="19"/>
  <c r="Z794" i="19"/>
  <c r="Y794" i="19"/>
  <c r="W794" i="19"/>
  <c r="S794" i="19"/>
  <c r="P794" i="19"/>
  <c r="AF793" i="19"/>
  <c r="AE793" i="19"/>
  <c r="AD793" i="19"/>
  <c r="AC793" i="19"/>
  <c r="AB793" i="19"/>
  <c r="AA793" i="19"/>
  <c r="Z793" i="19"/>
  <c r="X793" i="19"/>
  <c r="W793" i="19"/>
  <c r="T793" i="19"/>
  <c r="P793" i="19"/>
  <c r="N793" i="19"/>
  <c r="E793" i="19"/>
  <c r="E794" i="19"/>
  <c r="O794" i="19"/>
  <c r="AE792" i="19"/>
  <c r="AD792" i="19"/>
  <c r="AC792" i="19"/>
  <c r="AB792" i="19"/>
  <c r="AA792" i="19"/>
  <c r="Z792" i="19"/>
  <c r="Y792" i="19"/>
  <c r="X792" i="19"/>
  <c r="W792" i="19"/>
  <c r="H791" i="19"/>
  <c r="G791" i="19"/>
  <c r="G795" i="19"/>
  <c r="F815" i="19"/>
  <c r="N817" i="19"/>
  <c r="AE795" i="19"/>
  <c r="AD795" i="19"/>
  <c r="AC795" i="19"/>
  <c r="AB795" i="19"/>
  <c r="AA795" i="19"/>
  <c r="Z795" i="19"/>
  <c r="Y795" i="19"/>
  <c r="X795" i="19"/>
  <c r="W795" i="19"/>
  <c r="H127" i="19"/>
  <c r="H130" i="19"/>
  <c r="F777" i="19"/>
  <c r="N779" i="19"/>
  <c r="AG784" i="19"/>
  <c r="AF784" i="19"/>
  <c r="AE784" i="19"/>
  <c r="AD784" i="19"/>
  <c r="AC784" i="19"/>
  <c r="AB784" i="19"/>
  <c r="AA784" i="19"/>
  <c r="Z784" i="19"/>
  <c r="Y784" i="19"/>
  <c r="X784" i="19"/>
  <c r="W784" i="19"/>
  <c r="AE783" i="19"/>
  <c r="AD783" i="19"/>
  <c r="AC783" i="19"/>
  <c r="AB783" i="19"/>
  <c r="AA783" i="19"/>
  <c r="Z783" i="19"/>
  <c r="Y783" i="19"/>
  <c r="X783" i="19"/>
  <c r="W783" i="19"/>
  <c r="AE762" i="19"/>
  <c r="AD762" i="19"/>
  <c r="AC762" i="19"/>
  <c r="AB762" i="19"/>
  <c r="AA762" i="19"/>
  <c r="Z762" i="19"/>
  <c r="Y762" i="19"/>
  <c r="X762" i="19"/>
  <c r="W762" i="19"/>
  <c r="AE753" i="19"/>
  <c r="AD753" i="19"/>
  <c r="AC753" i="19"/>
  <c r="AB753" i="19"/>
  <c r="AA753" i="19"/>
  <c r="Z753" i="19"/>
  <c r="X753" i="19"/>
  <c r="W753" i="19"/>
  <c r="S753" i="19"/>
  <c r="AE752" i="19"/>
  <c r="AD752" i="19"/>
  <c r="AC752" i="19"/>
  <c r="AB752" i="19"/>
  <c r="AA752" i="19"/>
  <c r="Z752" i="19"/>
  <c r="X752" i="19"/>
  <c r="W752" i="19"/>
  <c r="S752" i="19"/>
  <c r="AF751" i="19"/>
  <c r="AE751" i="19"/>
  <c r="AD751" i="19"/>
  <c r="AC751" i="19"/>
  <c r="AB751" i="19"/>
  <c r="AA751" i="19"/>
  <c r="Z751" i="19"/>
  <c r="Y751" i="19"/>
  <c r="X751" i="19"/>
  <c r="W751" i="19"/>
  <c r="AF750" i="19"/>
  <c r="AE750" i="19"/>
  <c r="AD750" i="19"/>
  <c r="AC750" i="19"/>
  <c r="AB750" i="19"/>
  <c r="Z750" i="19"/>
  <c r="Y750" i="19"/>
  <c r="X750" i="19"/>
  <c r="W750" i="19"/>
  <c r="T750" i="19"/>
  <c r="P750" i="19"/>
  <c r="AF749" i="19"/>
  <c r="AE749" i="19"/>
  <c r="AD749" i="19"/>
  <c r="AC749" i="19"/>
  <c r="AB749" i="19"/>
  <c r="Z749" i="19"/>
  <c r="Y749" i="19"/>
  <c r="X749" i="19"/>
  <c r="W749" i="19"/>
  <c r="T749" i="19"/>
  <c r="P749" i="19"/>
  <c r="E749" i="19"/>
  <c r="E752" i="19"/>
  <c r="E753" i="19"/>
  <c r="AF748" i="19"/>
  <c r="AE748" i="19"/>
  <c r="AD748" i="19"/>
  <c r="AC748" i="19"/>
  <c r="AB748" i="19"/>
  <c r="AA748" i="19"/>
  <c r="Z748" i="19"/>
  <c r="Y748" i="19"/>
  <c r="X748" i="19"/>
  <c r="W748" i="19"/>
  <c r="AE746" i="19"/>
  <c r="AD746" i="19"/>
  <c r="AC746" i="19"/>
  <c r="AB746" i="19"/>
  <c r="AA746" i="19"/>
  <c r="Z746" i="19"/>
  <c r="X746" i="19"/>
  <c r="W746" i="19"/>
  <c r="S746" i="19"/>
  <c r="AE745" i="19"/>
  <c r="AD745" i="19"/>
  <c r="AC745" i="19"/>
  <c r="AB745" i="19"/>
  <c r="AA745" i="19"/>
  <c r="Z745" i="19"/>
  <c r="X745" i="19"/>
  <c r="W745" i="19"/>
  <c r="S745" i="19"/>
  <c r="AF744" i="19"/>
  <c r="AE744" i="19"/>
  <c r="AD744" i="19"/>
  <c r="AC744" i="19"/>
  <c r="AB744" i="19"/>
  <c r="AA744" i="19"/>
  <c r="Z744" i="19"/>
  <c r="Y744" i="19"/>
  <c r="X744" i="19"/>
  <c r="W744" i="19"/>
  <c r="AF743" i="19"/>
  <c r="AE743" i="19"/>
  <c r="AD743" i="19"/>
  <c r="AC743" i="19"/>
  <c r="AB743" i="19"/>
  <c r="Z743" i="19"/>
  <c r="Y743" i="19"/>
  <c r="X743" i="19"/>
  <c r="W743" i="19"/>
  <c r="T743" i="19"/>
  <c r="P743" i="19"/>
  <c r="AF742" i="19"/>
  <c r="AE742" i="19"/>
  <c r="AD742" i="19"/>
  <c r="AC742" i="19"/>
  <c r="AB742" i="19"/>
  <c r="Z742" i="19"/>
  <c r="Y742" i="19"/>
  <c r="X742" i="19"/>
  <c r="W742" i="19"/>
  <c r="T742" i="19"/>
  <c r="P742" i="19"/>
  <c r="E742" i="19"/>
  <c r="O742" i="19"/>
  <c r="O745" i="19"/>
  <c r="O746" i="19"/>
  <c r="AF741" i="19"/>
  <c r="AE741" i="19"/>
  <c r="AD741" i="19"/>
  <c r="AC741" i="19"/>
  <c r="AB741" i="19"/>
  <c r="AA741" i="19"/>
  <c r="Z741" i="19"/>
  <c r="Y741" i="19"/>
  <c r="X741" i="19"/>
  <c r="W741" i="19"/>
  <c r="AE739" i="19"/>
  <c r="AD739" i="19"/>
  <c r="AC739" i="19"/>
  <c r="AB739" i="19"/>
  <c r="AA739" i="19"/>
  <c r="Z739" i="19"/>
  <c r="X739" i="19"/>
  <c r="W739" i="19"/>
  <c r="S739" i="19"/>
  <c r="AE738" i="19"/>
  <c r="AD738" i="19"/>
  <c r="AC738" i="19"/>
  <c r="AB738" i="19"/>
  <c r="AA738" i="19"/>
  <c r="Z738" i="19"/>
  <c r="X738" i="19"/>
  <c r="W738" i="19"/>
  <c r="S738" i="19"/>
  <c r="AF737" i="19"/>
  <c r="AE737" i="19"/>
  <c r="AD737" i="19"/>
  <c r="AC737" i="19"/>
  <c r="AB737" i="19"/>
  <c r="AA737" i="19"/>
  <c r="Z737" i="19"/>
  <c r="Y737" i="19"/>
  <c r="X737" i="19"/>
  <c r="W737" i="19"/>
  <c r="AF736" i="19"/>
  <c r="AE736" i="19"/>
  <c r="AD736" i="19"/>
  <c r="AC736" i="19"/>
  <c r="AB736" i="19"/>
  <c r="Z736" i="19"/>
  <c r="Y736" i="19"/>
  <c r="X736" i="19"/>
  <c r="W736" i="19"/>
  <c r="T736" i="19"/>
  <c r="P736" i="19"/>
  <c r="AF735" i="19"/>
  <c r="AE735" i="19"/>
  <c r="AD735" i="19"/>
  <c r="AC735" i="19"/>
  <c r="AB735" i="19"/>
  <c r="Z735" i="19"/>
  <c r="Y735" i="19"/>
  <c r="X735" i="19"/>
  <c r="W735" i="19"/>
  <c r="T735" i="19"/>
  <c r="P735" i="19"/>
  <c r="E735" i="19"/>
  <c r="E736" i="19"/>
  <c r="O736" i="19"/>
  <c r="AF734" i="19"/>
  <c r="AE734" i="19"/>
  <c r="AD734" i="19"/>
  <c r="AC734" i="19"/>
  <c r="AB734" i="19"/>
  <c r="AA734" i="19"/>
  <c r="Z734" i="19"/>
  <c r="Y734" i="19"/>
  <c r="X734" i="19"/>
  <c r="W734" i="19"/>
  <c r="AE732" i="19"/>
  <c r="AD732" i="19"/>
  <c r="AC732" i="19"/>
  <c r="AB732" i="19"/>
  <c r="AA732" i="19"/>
  <c r="Z732" i="19"/>
  <c r="X732" i="19"/>
  <c r="W732" i="19"/>
  <c r="S732" i="19"/>
  <c r="AE731" i="19"/>
  <c r="AD731" i="19"/>
  <c r="AC731" i="19"/>
  <c r="AB731" i="19"/>
  <c r="AA731" i="19"/>
  <c r="Z731" i="19"/>
  <c r="X731" i="19"/>
  <c r="W731" i="19"/>
  <c r="S731" i="19"/>
  <c r="AF730" i="19"/>
  <c r="AE730" i="19"/>
  <c r="AD730" i="19"/>
  <c r="AC730" i="19"/>
  <c r="AB730" i="19"/>
  <c r="AA730" i="19"/>
  <c r="Z730" i="19"/>
  <c r="Y730" i="19"/>
  <c r="X730" i="19"/>
  <c r="W730" i="19"/>
  <c r="AF729" i="19"/>
  <c r="AE729" i="19"/>
  <c r="AD729" i="19"/>
  <c r="AC729" i="19"/>
  <c r="AB729" i="19"/>
  <c r="Z729" i="19"/>
  <c r="Y729" i="19"/>
  <c r="X729" i="19"/>
  <c r="W729" i="19"/>
  <c r="T729" i="19"/>
  <c r="P729" i="19"/>
  <c r="AF728" i="19"/>
  <c r="AE728" i="19"/>
  <c r="AD728" i="19"/>
  <c r="AC728" i="19"/>
  <c r="AB728" i="19"/>
  <c r="Z728" i="19"/>
  <c r="Y728" i="19"/>
  <c r="X728" i="19"/>
  <c r="W728" i="19"/>
  <c r="T728" i="19"/>
  <c r="P728" i="19"/>
  <c r="E728" i="19"/>
  <c r="E731" i="19"/>
  <c r="E732" i="19"/>
  <c r="AF727" i="19"/>
  <c r="AE727" i="19"/>
  <c r="AD727" i="19"/>
  <c r="AC727" i="19"/>
  <c r="AB727" i="19"/>
  <c r="AA727" i="19"/>
  <c r="Z727" i="19"/>
  <c r="Y727" i="19"/>
  <c r="X727" i="19"/>
  <c r="W727" i="19"/>
  <c r="AE725" i="19"/>
  <c r="AD725" i="19"/>
  <c r="AC725" i="19"/>
  <c r="AB725" i="19"/>
  <c r="AA725" i="19"/>
  <c r="Z725" i="19"/>
  <c r="X725" i="19"/>
  <c r="W725" i="19"/>
  <c r="S725" i="19"/>
  <c r="AE724" i="19"/>
  <c r="AD724" i="19"/>
  <c r="AC724" i="19"/>
  <c r="AB724" i="19"/>
  <c r="AA724" i="19"/>
  <c r="Z724" i="19"/>
  <c r="X724" i="19"/>
  <c r="W724" i="19"/>
  <c r="S724" i="19"/>
  <c r="AF723" i="19"/>
  <c r="AE723" i="19"/>
  <c r="AD723" i="19"/>
  <c r="AC723" i="19"/>
  <c r="AB723" i="19"/>
  <c r="AA723" i="19"/>
  <c r="Z723" i="19"/>
  <c r="Y723" i="19"/>
  <c r="X723" i="19"/>
  <c r="W723" i="19"/>
  <c r="AF722" i="19"/>
  <c r="AE722" i="19"/>
  <c r="AD722" i="19"/>
  <c r="AC722" i="19"/>
  <c r="AB722" i="19"/>
  <c r="Z722" i="19"/>
  <c r="Y722" i="19"/>
  <c r="X722" i="19"/>
  <c r="W722" i="19"/>
  <c r="T722" i="19"/>
  <c r="P722" i="19"/>
  <c r="AF721" i="19"/>
  <c r="AE721" i="19"/>
  <c r="AD721" i="19"/>
  <c r="AC721" i="19"/>
  <c r="AB721" i="19"/>
  <c r="Z721" i="19"/>
  <c r="Y721" i="19"/>
  <c r="X721" i="19"/>
  <c r="W721" i="19"/>
  <c r="T721" i="19"/>
  <c r="P721" i="19"/>
  <c r="E721" i="19"/>
  <c r="E722" i="19"/>
  <c r="O722" i="19"/>
  <c r="AF720" i="19"/>
  <c r="AE720" i="19"/>
  <c r="AD720" i="19"/>
  <c r="AC720" i="19"/>
  <c r="AB720" i="19"/>
  <c r="AA720" i="19"/>
  <c r="Z720" i="19"/>
  <c r="Y720" i="19"/>
  <c r="X720" i="19"/>
  <c r="W720" i="19"/>
  <c r="AE718" i="19"/>
  <c r="AD718" i="19"/>
  <c r="AC718" i="19"/>
  <c r="AB718" i="19"/>
  <c r="AA718" i="19"/>
  <c r="Z718" i="19"/>
  <c r="X718" i="19"/>
  <c r="W718" i="19"/>
  <c r="S718" i="19"/>
  <c r="AE717" i="19"/>
  <c r="AD717" i="19"/>
  <c r="AC717" i="19"/>
  <c r="AB717" i="19"/>
  <c r="AA717" i="19"/>
  <c r="Z717" i="19"/>
  <c r="X717" i="19"/>
  <c r="W717" i="19"/>
  <c r="S717" i="19"/>
  <c r="AF716" i="19"/>
  <c r="AE716" i="19"/>
  <c r="AD716" i="19"/>
  <c r="AC716" i="19"/>
  <c r="AB716" i="19"/>
  <c r="AA716" i="19"/>
  <c r="Z716" i="19"/>
  <c r="Y716" i="19"/>
  <c r="X716" i="19"/>
  <c r="W716" i="19"/>
  <c r="AF715" i="19"/>
  <c r="AE715" i="19"/>
  <c r="AD715" i="19"/>
  <c r="AC715" i="19"/>
  <c r="AB715" i="19"/>
  <c r="Z715" i="19"/>
  <c r="Y715" i="19"/>
  <c r="X715" i="19"/>
  <c r="W715" i="19"/>
  <c r="T715" i="19"/>
  <c r="P715" i="19"/>
  <c r="AF714" i="19"/>
  <c r="AE714" i="19"/>
  <c r="AD714" i="19"/>
  <c r="AC714" i="19"/>
  <c r="AB714" i="19"/>
  <c r="Z714" i="19"/>
  <c r="Y714" i="19"/>
  <c r="X714" i="19"/>
  <c r="W714" i="19"/>
  <c r="T714" i="19"/>
  <c r="P714" i="19"/>
  <c r="E714" i="19"/>
  <c r="E717" i="19"/>
  <c r="E718" i="19"/>
  <c r="AF713" i="19"/>
  <c r="AE713" i="19"/>
  <c r="AD713" i="19"/>
  <c r="AC713" i="19"/>
  <c r="AB713" i="19"/>
  <c r="AA713" i="19"/>
  <c r="Z713" i="19"/>
  <c r="Y713" i="19"/>
  <c r="X713" i="19"/>
  <c r="W713" i="19"/>
  <c r="AE711" i="19"/>
  <c r="AD711" i="19"/>
  <c r="AC711" i="19"/>
  <c r="AB711" i="19"/>
  <c r="AA711" i="19"/>
  <c r="Z711" i="19"/>
  <c r="X711" i="19"/>
  <c r="W711" i="19"/>
  <c r="S711" i="19"/>
  <c r="AE710" i="19"/>
  <c r="AD710" i="19"/>
  <c r="AC710" i="19"/>
  <c r="AB710" i="19"/>
  <c r="AA710" i="19"/>
  <c r="Z710" i="19"/>
  <c r="X710" i="19"/>
  <c r="W710" i="19"/>
  <c r="S710" i="19"/>
  <c r="AF709" i="19"/>
  <c r="AE709" i="19"/>
  <c r="AD709" i="19"/>
  <c r="AC709" i="19"/>
  <c r="AB709" i="19"/>
  <c r="AA709" i="19"/>
  <c r="Z709" i="19"/>
  <c r="Y709" i="19"/>
  <c r="X709" i="19"/>
  <c r="W709" i="19"/>
  <c r="AF708" i="19"/>
  <c r="AE708" i="19"/>
  <c r="AD708" i="19"/>
  <c r="AC708" i="19"/>
  <c r="AB708" i="19"/>
  <c r="Z708" i="19"/>
  <c r="Y708" i="19"/>
  <c r="X708" i="19"/>
  <c r="W708" i="19"/>
  <c r="T708" i="19"/>
  <c r="P708" i="19"/>
  <c r="AF707" i="19"/>
  <c r="AE707" i="19"/>
  <c r="AD707" i="19"/>
  <c r="AC707" i="19"/>
  <c r="AB707" i="19"/>
  <c r="Z707" i="19"/>
  <c r="Y707" i="19"/>
  <c r="X707" i="19"/>
  <c r="W707" i="19"/>
  <c r="T707" i="19"/>
  <c r="P707" i="19"/>
  <c r="E707" i="19"/>
  <c r="O707" i="19"/>
  <c r="O710" i="19"/>
  <c r="O711" i="19"/>
  <c r="AF706" i="19"/>
  <c r="AE706" i="19"/>
  <c r="AD706" i="19"/>
  <c r="AC706" i="19"/>
  <c r="AB706" i="19"/>
  <c r="AA706" i="19"/>
  <c r="Z706" i="19"/>
  <c r="Y706" i="19"/>
  <c r="X706" i="19"/>
  <c r="W706" i="19"/>
  <c r="AE704" i="19"/>
  <c r="AD704" i="19"/>
  <c r="AC704" i="19"/>
  <c r="AB704" i="19"/>
  <c r="AA704" i="19"/>
  <c r="Z704" i="19"/>
  <c r="X704" i="19"/>
  <c r="W704" i="19"/>
  <c r="S704" i="19"/>
  <c r="AE703" i="19"/>
  <c r="AD703" i="19"/>
  <c r="AC703" i="19"/>
  <c r="AB703" i="19"/>
  <c r="AA703" i="19"/>
  <c r="Z703" i="19"/>
  <c r="X703" i="19"/>
  <c r="W703" i="19"/>
  <c r="S703" i="19"/>
  <c r="AF702" i="19"/>
  <c r="AE702" i="19"/>
  <c r="AD702" i="19"/>
  <c r="AC702" i="19"/>
  <c r="AB702" i="19"/>
  <c r="AA702" i="19"/>
  <c r="Z702" i="19"/>
  <c r="Y702" i="19"/>
  <c r="X702" i="19"/>
  <c r="W702" i="19"/>
  <c r="AF701" i="19"/>
  <c r="AE701" i="19"/>
  <c r="AD701" i="19"/>
  <c r="AC701" i="19"/>
  <c r="AB701" i="19"/>
  <c r="Z701" i="19"/>
  <c r="Y701" i="19"/>
  <c r="X701" i="19"/>
  <c r="W701" i="19"/>
  <c r="T701" i="19"/>
  <c r="P701" i="19"/>
  <c r="AF700" i="19"/>
  <c r="AE700" i="19"/>
  <c r="AD700" i="19"/>
  <c r="AC700" i="19"/>
  <c r="AB700" i="19"/>
  <c r="Z700" i="19"/>
  <c r="Y700" i="19"/>
  <c r="X700" i="19"/>
  <c r="W700" i="19"/>
  <c r="T700" i="19"/>
  <c r="P700" i="19"/>
  <c r="E700" i="19"/>
  <c r="O700" i="19"/>
  <c r="AF699" i="19"/>
  <c r="AE699" i="19"/>
  <c r="AD699" i="19"/>
  <c r="AC699" i="19"/>
  <c r="AB699" i="19"/>
  <c r="AA699" i="19"/>
  <c r="Z699" i="19"/>
  <c r="Y699" i="19"/>
  <c r="X699" i="19"/>
  <c r="W699" i="19"/>
  <c r="E693" i="19"/>
  <c r="E694" i="19"/>
  <c r="O694" i="19"/>
  <c r="AE697" i="19"/>
  <c r="AD697" i="19"/>
  <c r="AC697" i="19"/>
  <c r="AB697" i="19"/>
  <c r="AA697" i="19"/>
  <c r="Z697" i="19"/>
  <c r="X697" i="19"/>
  <c r="W697" i="19"/>
  <c r="S697" i="19"/>
  <c r="AE696" i="19"/>
  <c r="AD696" i="19"/>
  <c r="AC696" i="19"/>
  <c r="AB696" i="19"/>
  <c r="AA696" i="19"/>
  <c r="Z696" i="19"/>
  <c r="X696" i="19"/>
  <c r="W696" i="19"/>
  <c r="S696" i="19"/>
  <c r="T696" i="19"/>
  <c r="D696" i="19"/>
  <c r="AF695" i="19"/>
  <c r="AE695" i="19"/>
  <c r="AD695" i="19"/>
  <c r="AC695" i="19"/>
  <c r="AB695" i="19"/>
  <c r="AA695" i="19"/>
  <c r="Z695" i="19"/>
  <c r="Y695" i="19"/>
  <c r="X695" i="19"/>
  <c r="W695" i="19"/>
  <c r="AF694" i="19"/>
  <c r="AE694" i="19"/>
  <c r="AD694" i="19"/>
  <c r="AC694" i="19"/>
  <c r="AB694" i="19"/>
  <c r="Z694" i="19"/>
  <c r="Y694" i="19"/>
  <c r="X694" i="19"/>
  <c r="W694" i="19"/>
  <c r="T694" i="19"/>
  <c r="P694" i="19"/>
  <c r="AF693" i="19"/>
  <c r="AE693" i="19"/>
  <c r="AD693" i="19"/>
  <c r="AC693" i="19"/>
  <c r="AB693" i="19"/>
  <c r="Z693" i="19"/>
  <c r="Y693" i="19"/>
  <c r="X693" i="19"/>
  <c r="W693" i="19"/>
  <c r="T693" i="19"/>
  <c r="P693" i="19"/>
  <c r="AF692" i="19"/>
  <c r="AE692" i="19"/>
  <c r="AD692" i="19"/>
  <c r="AC692" i="19"/>
  <c r="AB692" i="19"/>
  <c r="AA692" i="19"/>
  <c r="Z692" i="19"/>
  <c r="Y692" i="19"/>
  <c r="X692" i="19"/>
  <c r="W692" i="19"/>
  <c r="AE690" i="19"/>
  <c r="AD690" i="19"/>
  <c r="AC690" i="19"/>
  <c r="AB690" i="19"/>
  <c r="AA690" i="19"/>
  <c r="Z690" i="19"/>
  <c r="X690" i="19"/>
  <c r="W690" i="19"/>
  <c r="S690" i="19"/>
  <c r="AE689" i="19"/>
  <c r="AD689" i="19"/>
  <c r="AC689" i="19"/>
  <c r="AB689" i="19"/>
  <c r="AA689" i="19"/>
  <c r="Z689" i="19"/>
  <c r="X689" i="19"/>
  <c r="W689" i="19"/>
  <c r="S689" i="19"/>
  <c r="AF688" i="19"/>
  <c r="AE688" i="19"/>
  <c r="AD688" i="19"/>
  <c r="AC688" i="19"/>
  <c r="AB688" i="19"/>
  <c r="AA688" i="19"/>
  <c r="Z688" i="19"/>
  <c r="Y688" i="19"/>
  <c r="X688" i="19"/>
  <c r="W688" i="19"/>
  <c r="AF687" i="19"/>
  <c r="AE687" i="19"/>
  <c r="AD687" i="19"/>
  <c r="AC687" i="19"/>
  <c r="AB687" i="19"/>
  <c r="Z687" i="19"/>
  <c r="Y687" i="19"/>
  <c r="X687" i="19"/>
  <c r="W687" i="19"/>
  <c r="T687" i="19"/>
  <c r="P687" i="19"/>
  <c r="M687" i="19"/>
  <c r="AF686" i="19"/>
  <c r="AE686" i="19"/>
  <c r="AD686" i="19"/>
  <c r="AC686" i="19"/>
  <c r="AB686" i="19"/>
  <c r="Z686" i="19"/>
  <c r="Y686" i="19"/>
  <c r="X686" i="19"/>
  <c r="W686" i="19"/>
  <c r="T686" i="19"/>
  <c r="P686" i="19"/>
  <c r="M686" i="19"/>
  <c r="E686" i="19"/>
  <c r="AF685" i="19"/>
  <c r="AE685" i="19"/>
  <c r="AD685" i="19"/>
  <c r="AC685" i="19"/>
  <c r="AB685" i="19"/>
  <c r="AA685" i="19"/>
  <c r="Z685" i="19"/>
  <c r="Y685" i="19"/>
  <c r="X685" i="19"/>
  <c r="W685" i="19"/>
  <c r="AE682" i="19"/>
  <c r="AD682" i="19"/>
  <c r="AC682" i="19"/>
  <c r="AB682" i="19"/>
  <c r="AA682" i="19"/>
  <c r="Z682" i="19"/>
  <c r="X682" i="19"/>
  <c r="W682" i="19"/>
  <c r="S682" i="19"/>
  <c r="AE681" i="19"/>
  <c r="AD681" i="19"/>
  <c r="AC681" i="19"/>
  <c r="AB681" i="19"/>
  <c r="AA681" i="19"/>
  <c r="Z681" i="19"/>
  <c r="X681" i="19"/>
  <c r="W681" i="19"/>
  <c r="S681" i="19"/>
  <c r="AF680" i="19"/>
  <c r="AE680" i="19"/>
  <c r="AD680" i="19"/>
  <c r="AC680" i="19"/>
  <c r="AB680" i="19"/>
  <c r="AA680" i="19"/>
  <c r="Z680" i="19"/>
  <c r="Y680" i="19"/>
  <c r="X680" i="19"/>
  <c r="W680" i="19"/>
  <c r="AF679" i="19"/>
  <c r="AE679" i="19"/>
  <c r="AD679" i="19"/>
  <c r="AC679" i="19"/>
  <c r="AB679" i="19"/>
  <c r="Z679" i="19"/>
  <c r="Y679" i="19"/>
  <c r="X679" i="19"/>
  <c r="W679" i="19"/>
  <c r="T679" i="19"/>
  <c r="P679" i="19"/>
  <c r="AF678" i="19"/>
  <c r="AE678" i="19"/>
  <c r="AD678" i="19"/>
  <c r="AC678" i="19"/>
  <c r="AB678" i="19"/>
  <c r="Z678" i="19"/>
  <c r="Y678" i="19"/>
  <c r="X678" i="19"/>
  <c r="W678" i="19"/>
  <c r="T678" i="19"/>
  <c r="P678" i="19"/>
  <c r="E678" i="19"/>
  <c r="E681" i="19"/>
  <c r="E682" i="19"/>
  <c r="AF677" i="19"/>
  <c r="AE677" i="19"/>
  <c r="AD677" i="19"/>
  <c r="AC677" i="19"/>
  <c r="AB677" i="19"/>
  <c r="AA677" i="19"/>
  <c r="Z677" i="19"/>
  <c r="Y677" i="19"/>
  <c r="X677" i="19"/>
  <c r="W677" i="19"/>
  <c r="AE675" i="19"/>
  <c r="AD675" i="19"/>
  <c r="AC675" i="19"/>
  <c r="AB675" i="19"/>
  <c r="AA675" i="19"/>
  <c r="Z675" i="19"/>
  <c r="X675" i="19"/>
  <c r="W675" i="19"/>
  <c r="S675" i="19"/>
  <c r="AE674" i="19"/>
  <c r="AD674" i="19"/>
  <c r="AC674" i="19"/>
  <c r="AB674" i="19"/>
  <c r="AA674" i="19"/>
  <c r="Z674" i="19"/>
  <c r="X674" i="19"/>
  <c r="W674" i="19"/>
  <c r="S674" i="19"/>
  <c r="AF673" i="19"/>
  <c r="AE673" i="19"/>
  <c r="AD673" i="19"/>
  <c r="AC673" i="19"/>
  <c r="AB673" i="19"/>
  <c r="AA673" i="19"/>
  <c r="Z673" i="19"/>
  <c r="Y673" i="19"/>
  <c r="X673" i="19"/>
  <c r="W673" i="19"/>
  <c r="AF672" i="19"/>
  <c r="AE672" i="19"/>
  <c r="AD672" i="19"/>
  <c r="AC672" i="19"/>
  <c r="AB672" i="19"/>
  <c r="Z672" i="19"/>
  <c r="Y672" i="19"/>
  <c r="X672" i="19"/>
  <c r="W672" i="19"/>
  <c r="T672" i="19"/>
  <c r="P672" i="19"/>
  <c r="M672" i="19"/>
  <c r="AF671" i="19"/>
  <c r="AE671" i="19"/>
  <c r="AD671" i="19"/>
  <c r="AC671" i="19"/>
  <c r="AB671" i="19"/>
  <c r="Z671" i="19"/>
  <c r="Y671" i="19"/>
  <c r="X671" i="19"/>
  <c r="W671" i="19"/>
  <c r="T671" i="19"/>
  <c r="P671" i="19"/>
  <c r="M671" i="19"/>
  <c r="E671" i="19"/>
  <c r="O671" i="19"/>
  <c r="O674" i="19"/>
  <c r="O675" i="19"/>
  <c r="AF670" i="19"/>
  <c r="AE670" i="19"/>
  <c r="AD670" i="19"/>
  <c r="AC670" i="19"/>
  <c r="AB670" i="19"/>
  <c r="AA670" i="19"/>
  <c r="Z670" i="19"/>
  <c r="Y670" i="19"/>
  <c r="X670" i="19"/>
  <c r="W670" i="19"/>
  <c r="AE666" i="19"/>
  <c r="AD666" i="19"/>
  <c r="AC666" i="19"/>
  <c r="AB666" i="19"/>
  <c r="AA666" i="19"/>
  <c r="Z666" i="19"/>
  <c r="X666" i="19"/>
  <c r="W666" i="19"/>
  <c r="S666" i="19"/>
  <c r="AE665" i="19"/>
  <c r="AD665" i="19"/>
  <c r="AC665" i="19"/>
  <c r="AB665" i="19"/>
  <c r="AA665" i="19"/>
  <c r="Z665" i="19"/>
  <c r="X665" i="19"/>
  <c r="W665" i="19"/>
  <c r="S665" i="19"/>
  <c r="T665" i="19"/>
  <c r="D665" i="19"/>
  <c r="AF664" i="19"/>
  <c r="AE664" i="19"/>
  <c r="AD664" i="19"/>
  <c r="AC664" i="19"/>
  <c r="AB664" i="19"/>
  <c r="AA664" i="19"/>
  <c r="Z664" i="19"/>
  <c r="Y664" i="19"/>
  <c r="X664" i="19"/>
  <c r="W664" i="19"/>
  <c r="AF663" i="19"/>
  <c r="AE663" i="19"/>
  <c r="AD663" i="19"/>
  <c r="AC663" i="19"/>
  <c r="AB663" i="19"/>
  <c r="Z663" i="19"/>
  <c r="Y663" i="19"/>
  <c r="X663" i="19"/>
  <c r="W663" i="19"/>
  <c r="T663" i="19"/>
  <c r="P663" i="19"/>
  <c r="AF662" i="19"/>
  <c r="AE662" i="19"/>
  <c r="AD662" i="19"/>
  <c r="AC662" i="19"/>
  <c r="AB662" i="19"/>
  <c r="Z662" i="19"/>
  <c r="Y662" i="19"/>
  <c r="X662" i="19"/>
  <c r="W662" i="19"/>
  <c r="T662" i="19"/>
  <c r="P662" i="19"/>
  <c r="E662" i="19"/>
  <c r="E663" i="19"/>
  <c r="O663" i="19"/>
  <c r="AF661" i="19"/>
  <c r="AE661" i="19"/>
  <c r="AD661" i="19"/>
  <c r="AC661" i="19"/>
  <c r="AB661" i="19"/>
  <c r="AA661" i="19"/>
  <c r="Z661" i="19"/>
  <c r="Y661" i="19"/>
  <c r="X661" i="19"/>
  <c r="W661" i="19"/>
  <c r="F747" i="19"/>
  <c r="N749" i="19"/>
  <c r="F740" i="19"/>
  <c r="N742" i="19"/>
  <c r="F733" i="19"/>
  <c r="N735" i="19"/>
  <c r="F726" i="19"/>
  <c r="N728" i="19"/>
  <c r="F719" i="19"/>
  <c r="N721" i="19"/>
  <c r="F712" i="19"/>
  <c r="N714" i="19"/>
  <c r="F705" i="19"/>
  <c r="N707" i="19"/>
  <c r="F698" i="19"/>
  <c r="N700" i="19"/>
  <c r="F691" i="19"/>
  <c r="N693" i="19"/>
  <c r="F684" i="19"/>
  <c r="N686" i="19"/>
  <c r="F676" i="19"/>
  <c r="N678" i="19"/>
  <c r="F669" i="19"/>
  <c r="N671" i="19"/>
  <c r="F660" i="19"/>
  <c r="N662" i="19"/>
  <c r="F653" i="19"/>
  <c r="N655" i="19"/>
  <c r="H660" i="19"/>
  <c r="M663" i="19"/>
  <c r="G660" i="19"/>
  <c r="M662" i="19"/>
  <c r="U665" i="19"/>
  <c r="F665" i="19"/>
  <c r="AE698" i="19"/>
  <c r="AD698" i="19"/>
  <c r="AC698" i="19"/>
  <c r="AB698" i="19"/>
  <c r="AA698" i="19"/>
  <c r="Z698" i="19"/>
  <c r="Y698" i="19"/>
  <c r="X698" i="19"/>
  <c r="W698" i="19"/>
  <c r="AE691" i="19"/>
  <c r="AD691" i="19"/>
  <c r="AC691" i="19"/>
  <c r="AB691" i="19"/>
  <c r="AA691" i="19"/>
  <c r="Z691" i="19"/>
  <c r="Y691" i="19"/>
  <c r="X691" i="19"/>
  <c r="W691" i="19"/>
  <c r="H691" i="19"/>
  <c r="M694" i="19"/>
  <c r="G691" i="19"/>
  <c r="G698" i="19"/>
  <c r="AF684" i="19"/>
  <c r="AE684" i="19"/>
  <c r="AD684" i="19"/>
  <c r="AC684" i="19"/>
  <c r="AB684" i="19"/>
  <c r="AA684" i="19"/>
  <c r="Z684" i="19"/>
  <c r="Y684" i="19"/>
  <c r="X684" i="19"/>
  <c r="W684" i="19"/>
  <c r="AE683" i="19"/>
  <c r="AD683" i="19"/>
  <c r="AC683" i="19"/>
  <c r="AB683" i="19"/>
  <c r="AA683" i="19"/>
  <c r="Z683" i="19"/>
  <c r="Y683" i="19"/>
  <c r="X683" i="19"/>
  <c r="W683" i="19"/>
  <c r="H676" i="19"/>
  <c r="M679" i="19"/>
  <c r="G676" i="19"/>
  <c r="M678" i="19"/>
  <c r="AE669" i="19"/>
  <c r="AD669" i="19"/>
  <c r="AC669" i="19"/>
  <c r="AB669" i="19"/>
  <c r="AA669" i="19"/>
  <c r="Z669" i="19"/>
  <c r="Y669" i="19"/>
  <c r="X669" i="19"/>
  <c r="W669" i="19"/>
  <c r="AE668" i="19"/>
  <c r="AD668" i="19"/>
  <c r="AC668" i="19"/>
  <c r="AB668" i="19"/>
  <c r="AA668" i="19"/>
  <c r="Z668" i="19"/>
  <c r="Y668" i="19"/>
  <c r="X668" i="19"/>
  <c r="W668" i="19"/>
  <c r="AE667" i="19"/>
  <c r="AD667" i="19"/>
  <c r="AC667" i="19"/>
  <c r="AB667" i="19"/>
  <c r="AA667" i="19"/>
  <c r="Z667" i="19"/>
  <c r="Y667" i="19"/>
  <c r="X667" i="19"/>
  <c r="W667" i="19"/>
  <c r="AE660" i="19"/>
  <c r="AD660" i="19"/>
  <c r="AC660" i="19"/>
  <c r="AB660" i="19"/>
  <c r="AA660" i="19"/>
  <c r="Z660" i="19"/>
  <c r="Y660" i="19"/>
  <c r="X660" i="19"/>
  <c r="W660" i="19"/>
  <c r="AE642" i="19"/>
  <c r="AD642" i="19"/>
  <c r="AC642" i="19"/>
  <c r="AB642" i="19"/>
  <c r="AA642" i="19"/>
  <c r="Z642" i="19"/>
  <c r="X642" i="19"/>
  <c r="W642" i="19"/>
  <c r="S642" i="19"/>
  <c r="AE641" i="19"/>
  <c r="AD641" i="19"/>
  <c r="AC641" i="19"/>
  <c r="AB641" i="19"/>
  <c r="AA641" i="19"/>
  <c r="Z641" i="19"/>
  <c r="X641" i="19"/>
  <c r="W641" i="19"/>
  <c r="S641" i="19"/>
  <c r="AF640" i="19"/>
  <c r="AE640" i="19"/>
  <c r="AD640" i="19"/>
  <c r="AC640" i="19"/>
  <c r="AB640" i="19"/>
  <c r="AA640" i="19"/>
  <c r="Z640" i="19"/>
  <c r="Y640" i="19"/>
  <c r="X640" i="19"/>
  <c r="W640" i="19"/>
  <c r="AF639" i="19"/>
  <c r="AE639" i="19"/>
  <c r="AD639" i="19"/>
  <c r="AC639" i="19"/>
  <c r="AB639" i="19"/>
  <c r="Z639" i="19"/>
  <c r="Y639" i="19"/>
  <c r="X639" i="19"/>
  <c r="W639" i="19"/>
  <c r="T639" i="19"/>
  <c r="P639" i="19"/>
  <c r="M639" i="19"/>
  <c r="AF638" i="19"/>
  <c r="AE638" i="19"/>
  <c r="AD638" i="19"/>
  <c r="AC638" i="19"/>
  <c r="AB638" i="19"/>
  <c r="Z638" i="19"/>
  <c r="Y638" i="19"/>
  <c r="X638" i="19"/>
  <c r="W638" i="19"/>
  <c r="T638" i="19"/>
  <c r="P638" i="19"/>
  <c r="M638" i="19"/>
  <c r="E638" i="19"/>
  <c r="E639" i="19"/>
  <c r="O639" i="19"/>
  <c r="AF637" i="19"/>
  <c r="AE637" i="19"/>
  <c r="AD637" i="19"/>
  <c r="AC637" i="19"/>
  <c r="AB637" i="19"/>
  <c r="AA637" i="19"/>
  <c r="Z637" i="19"/>
  <c r="Y637" i="19"/>
  <c r="X637" i="19"/>
  <c r="W637" i="19"/>
  <c r="AE634" i="19"/>
  <c r="AD634" i="19"/>
  <c r="AC634" i="19"/>
  <c r="AB634" i="19"/>
  <c r="AA634" i="19"/>
  <c r="Z634" i="19"/>
  <c r="X634" i="19"/>
  <c r="W634" i="19"/>
  <c r="S634" i="19"/>
  <c r="AE633" i="19"/>
  <c r="AD633" i="19"/>
  <c r="AC633" i="19"/>
  <c r="AB633" i="19"/>
  <c r="AA633" i="19"/>
  <c r="Z633" i="19"/>
  <c r="X633" i="19"/>
  <c r="W633" i="19"/>
  <c r="S633" i="19"/>
  <c r="AF632" i="19"/>
  <c r="AE632" i="19"/>
  <c r="AD632" i="19"/>
  <c r="AC632" i="19"/>
  <c r="AB632" i="19"/>
  <c r="AA632" i="19"/>
  <c r="Z632" i="19"/>
  <c r="Y632" i="19"/>
  <c r="X632" i="19"/>
  <c r="W632" i="19"/>
  <c r="AF631" i="19"/>
  <c r="AE631" i="19"/>
  <c r="AD631" i="19"/>
  <c r="AC631" i="19"/>
  <c r="AB631" i="19"/>
  <c r="Z631" i="19"/>
  <c r="Y631" i="19"/>
  <c r="X631" i="19"/>
  <c r="W631" i="19"/>
  <c r="T631" i="19"/>
  <c r="P631" i="19"/>
  <c r="M631" i="19"/>
  <c r="AF630" i="19"/>
  <c r="AE630" i="19"/>
  <c r="AD630" i="19"/>
  <c r="AC630" i="19"/>
  <c r="AB630" i="19"/>
  <c r="Z630" i="19"/>
  <c r="Y630" i="19"/>
  <c r="X630" i="19"/>
  <c r="W630" i="19"/>
  <c r="T630" i="19"/>
  <c r="P630" i="19"/>
  <c r="M630" i="19"/>
  <c r="E630" i="19"/>
  <c r="O630" i="19"/>
  <c r="O633" i="19"/>
  <c r="O634" i="19"/>
  <c r="AF629" i="19"/>
  <c r="AE629" i="19"/>
  <c r="AD629" i="19"/>
  <c r="AC629" i="19"/>
  <c r="AB629" i="19"/>
  <c r="AA629" i="19"/>
  <c r="Z629" i="19"/>
  <c r="Y629" i="19"/>
  <c r="X629" i="19"/>
  <c r="W629" i="19"/>
  <c r="AE626" i="19"/>
  <c r="AD626" i="19"/>
  <c r="AC626" i="19"/>
  <c r="AB626" i="19"/>
  <c r="AA626" i="19"/>
  <c r="Z626" i="19"/>
  <c r="X626" i="19"/>
  <c r="W626" i="19"/>
  <c r="S626" i="19"/>
  <c r="AE625" i="19"/>
  <c r="AD625" i="19"/>
  <c r="AC625" i="19"/>
  <c r="AB625" i="19"/>
  <c r="AA625" i="19"/>
  <c r="Z625" i="19"/>
  <c r="X625" i="19"/>
  <c r="W625" i="19"/>
  <c r="S625" i="19"/>
  <c r="AF624" i="19"/>
  <c r="AE624" i="19"/>
  <c r="AD624" i="19"/>
  <c r="AC624" i="19"/>
  <c r="AB624" i="19"/>
  <c r="AA624" i="19"/>
  <c r="Z624" i="19"/>
  <c r="Y624" i="19"/>
  <c r="X624" i="19"/>
  <c r="W624" i="19"/>
  <c r="AF623" i="19"/>
  <c r="AE623" i="19"/>
  <c r="AD623" i="19"/>
  <c r="AC623" i="19"/>
  <c r="AB623" i="19"/>
  <c r="Y623" i="19"/>
  <c r="X623" i="19"/>
  <c r="W623" i="19"/>
  <c r="T623" i="19"/>
  <c r="P623" i="19"/>
  <c r="AF622" i="19"/>
  <c r="AE622" i="19"/>
  <c r="AD622" i="19"/>
  <c r="AC622" i="19"/>
  <c r="AB622" i="19"/>
  <c r="Z622" i="19"/>
  <c r="Y622" i="19"/>
  <c r="X622" i="19"/>
  <c r="W622" i="19"/>
  <c r="T622" i="19"/>
  <c r="P622" i="19"/>
  <c r="M622" i="19"/>
  <c r="AF621" i="19"/>
  <c r="AE621" i="19"/>
  <c r="AD621" i="19"/>
  <c r="AC621" i="19"/>
  <c r="AB621" i="19"/>
  <c r="Z621" i="19"/>
  <c r="Y621" i="19"/>
  <c r="X621" i="19"/>
  <c r="W621" i="19"/>
  <c r="T621" i="19"/>
  <c r="P621" i="19"/>
  <c r="U621" i="19"/>
  <c r="F621" i="19"/>
  <c r="J621" i="19"/>
  <c r="M621" i="19"/>
  <c r="E621" i="19"/>
  <c r="AF620" i="19"/>
  <c r="AE620" i="19"/>
  <c r="AD620" i="19"/>
  <c r="AC620" i="19"/>
  <c r="AB620" i="19"/>
  <c r="AA620" i="19"/>
  <c r="Z620" i="19"/>
  <c r="Y620" i="19"/>
  <c r="X620" i="19"/>
  <c r="W620" i="19"/>
  <c r="F619" i="19"/>
  <c r="N621" i="19"/>
  <c r="U622" i="19"/>
  <c r="AE617" i="19"/>
  <c r="AD617" i="19"/>
  <c r="AC617" i="19"/>
  <c r="AB617" i="19"/>
  <c r="AA617" i="19"/>
  <c r="Z617" i="19"/>
  <c r="X617" i="19"/>
  <c r="W617" i="19"/>
  <c r="S617" i="19"/>
  <c r="AE616" i="19"/>
  <c r="AD616" i="19"/>
  <c r="AC616" i="19"/>
  <c r="AB616" i="19"/>
  <c r="AA616" i="19"/>
  <c r="Z616" i="19"/>
  <c r="X616" i="19"/>
  <c r="W616" i="19"/>
  <c r="S616" i="19"/>
  <c r="AF615" i="19"/>
  <c r="AE615" i="19"/>
  <c r="AD615" i="19"/>
  <c r="AC615" i="19"/>
  <c r="AB615" i="19"/>
  <c r="AA615" i="19"/>
  <c r="Z615" i="19"/>
  <c r="Y615" i="19"/>
  <c r="X615" i="19"/>
  <c r="W615" i="19"/>
  <c r="AF614" i="19"/>
  <c r="AE614" i="19"/>
  <c r="AD614" i="19"/>
  <c r="AC614" i="19"/>
  <c r="AB614" i="19"/>
  <c r="Z614" i="19"/>
  <c r="Y614" i="19"/>
  <c r="X614" i="19"/>
  <c r="W614" i="19"/>
  <c r="T614" i="19"/>
  <c r="P614" i="19"/>
  <c r="AF613" i="19"/>
  <c r="AE613" i="19"/>
  <c r="AD613" i="19"/>
  <c r="AC613" i="19"/>
  <c r="AB613" i="19"/>
  <c r="Z613" i="19"/>
  <c r="Y613" i="19"/>
  <c r="X613" i="19"/>
  <c r="W613" i="19"/>
  <c r="T613" i="19"/>
  <c r="P613" i="19"/>
  <c r="M613" i="19"/>
  <c r="AF612" i="19"/>
  <c r="AE612" i="19"/>
  <c r="AD612" i="19"/>
  <c r="AC612" i="19"/>
  <c r="AB612" i="19"/>
  <c r="Z612" i="19"/>
  <c r="Y612" i="19"/>
  <c r="X612" i="19"/>
  <c r="W612" i="19"/>
  <c r="T612" i="19"/>
  <c r="P612" i="19"/>
  <c r="E612" i="19"/>
  <c r="AF611" i="19"/>
  <c r="AE611" i="19"/>
  <c r="AD611" i="19"/>
  <c r="AC611" i="19"/>
  <c r="AB611" i="19"/>
  <c r="AA611" i="19"/>
  <c r="Z611" i="19"/>
  <c r="Y611" i="19"/>
  <c r="X611" i="19"/>
  <c r="W611" i="19"/>
  <c r="F610" i="19"/>
  <c r="N612" i="19"/>
  <c r="F602" i="19"/>
  <c r="N604" i="19"/>
  <c r="U604" i="19"/>
  <c r="AE609" i="19"/>
  <c r="AD609" i="19"/>
  <c r="AC609" i="19"/>
  <c r="AB609" i="19"/>
  <c r="AA609" i="19"/>
  <c r="Z609" i="19"/>
  <c r="X609" i="19"/>
  <c r="W609" i="19"/>
  <c r="S609" i="19"/>
  <c r="AE608" i="19"/>
  <c r="AD608" i="19"/>
  <c r="AC608" i="19"/>
  <c r="AB608" i="19"/>
  <c r="AA608" i="19"/>
  <c r="Z608" i="19"/>
  <c r="X608" i="19"/>
  <c r="W608" i="19"/>
  <c r="S608" i="19"/>
  <c r="AF607" i="19"/>
  <c r="AE607" i="19"/>
  <c r="AD607" i="19"/>
  <c r="AC607" i="19"/>
  <c r="AB607" i="19"/>
  <c r="AA607" i="19"/>
  <c r="Z607" i="19"/>
  <c r="Y607" i="19"/>
  <c r="X607" i="19"/>
  <c r="W607" i="19"/>
  <c r="AF606" i="19"/>
  <c r="AE606" i="19"/>
  <c r="AD606" i="19"/>
  <c r="AC606" i="19"/>
  <c r="AB606" i="19"/>
  <c r="Z606" i="19"/>
  <c r="Y606" i="19"/>
  <c r="X606" i="19"/>
  <c r="W606" i="19"/>
  <c r="T606" i="19"/>
  <c r="P606" i="19"/>
  <c r="AF605" i="19"/>
  <c r="AE605" i="19"/>
  <c r="AD605" i="19"/>
  <c r="AC605" i="19"/>
  <c r="AB605" i="19"/>
  <c r="Z605" i="19"/>
  <c r="Y605" i="19"/>
  <c r="X605" i="19"/>
  <c r="W605" i="19"/>
  <c r="T605" i="19"/>
  <c r="P605" i="19"/>
  <c r="M605" i="19"/>
  <c r="AF604" i="19"/>
  <c r="AE604" i="19"/>
  <c r="AD604" i="19"/>
  <c r="AC604" i="19"/>
  <c r="AB604" i="19"/>
  <c r="Z604" i="19"/>
  <c r="Y604" i="19"/>
  <c r="X604" i="19"/>
  <c r="W604" i="19"/>
  <c r="T604" i="19"/>
  <c r="P604" i="19"/>
  <c r="M604" i="19"/>
  <c r="E604" i="19"/>
  <c r="E605" i="19"/>
  <c r="O605" i="19"/>
  <c r="AF603" i="19"/>
  <c r="AE603" i="19"/>
  <c r="AD603" i="19"/>
  <c r="AC603" i="19"/>
  <c r="AB603" i="19"/>
  <c r="AA603" i="19"/>
  <c r="Z603" i="19"/>
  <c r="Y603" i="19"/>
  <c r="X603" i="19"/>
  <c r="W603" i="19"/>
  <c r="AE600" i="19"/>
  <c r="AD600" i="19"/>
  <c r="AC600" i="19"/>
  <c r="AB600" i="19"/>
  <c r="AA600" i="19"/>
  <c r="Z600" i="19"/>
  <c r="X600" i="19"/>
  <c r="W600" i="19"/>
  <c r="S600" i="19"/>
  <c r="AE599" i="19"/>
  <c r="AD599" i="19"/>
  <c r="AC599" i="19"/>
  <c r="AB599" i="19"/>
  <c r="AA599" i="19"/>
  <c r="Z599" i="19"/>
  <c r="X599" i="19"/>
  <c r="W599" i="19"/>
  <c r="S599" i="19"/>
  <c r="AF598" i="19"/>
  <c r="AE598" i="19"/>
  <c r="AD598" i="19"/>
  <c r="AC598" i="19"/>
  <c r="AB598" i="19"/>
  <c r="AA598" i="19"/>
  <c r="Z598" i="19"/>
  <c r="Y598" i="19"/>
  <c r="X598" i="19"/>
  <c r="W598" i="19"/>
  <c r="AF597" i="19"/>
  <c r="AE597" i="19"/>
  <c r="AD597" i="19"/>
  <c r="AC597" i="19"/>
  <c r="AB597" i="19"/>
  <c r="Z597" i="19"/>
  <c r="Y597" i="19"/>
  <c r="X597" i="19"/>
  <c r="W597" i="19"/>
  <c r="T597" i="19"/>
  <c r="P597" i="19"/>
  <c r="AF596" i="19"/>
  <c r="AE596" i="19"/>
  <c r="AD596" i="19"/>
  <c r="AC596" i="19"/>
  <c r="AB596" i="19"/>
  <c r="Z596" i="19"/>
  <c r="Y596" i="19"/>
  <c r="X596" i="19"/>
  <c r="W596" i="19"/>
  <c r="T596" i="19"/>
  <c r="P596" i="19"/>
  <c r="E596" i="19"/>
  <c r="E597" i="19"/>
  <c r="O597" i="19"/>
  <c r="AF595" i="19"/>
  <c r="AE595" i="19"/>
  <c r="AD595" i="19"/>
  <c r="AC595" i="19"/>
  <c r="AB595" i="19"/>
  <c r="AA595" i="19"/>
  <c r="Z595" i="19"/>
  <c r="Y595" i="19"/>
  <c r="X595" i="19"/>
  <c r="W595" i="19"/>
  <c r="AE593" i="19"/>
  <c r="AD593" i="19"/>
  <c r="AC593" i="19"/>
  <c r="AB593" i="19"/>
  <c r="AA593" i="19"/>
  <c r="Z593" i="19"/>
  <c r="X593" i="19"/>
  <c r="W593" i="19"/>
  <c r="S593" i="19"/>
  <c r="AE592" i="19"/>
  <c r="AD592" i="19"/>
  <c r="AC592" i="19"/>
  <c r="AB592" i="19"/>
  <c r="AA592" i="19"/>
  <c r="Z592" i="19"/>
  <c r="X592" i="19"/>
  <c r="W592" i="19"/>
  <c r="S592" i="19"/>
  <c r="AF591" i="19"/>
  <c r="AE591" i="19"/>
  <c r="AD591" i="19"/>
  <c r="AC591" i="19"/>
  <c r="AB591" i="19"/>
  <c r="AA591" i="19"/>
  <c r="Z591" i="19"/>
  <c r="Y591" i="19"/>
  <c r="X591" i="19"/>
  <c r="W591" i="19"/>
  <c r="AF590" i="19"/>
  <c r="AE590" i="19"/>
  <c r="AD590" i="19"/>
  <c r="AC590" i="19"/>
  <c r="AB590" i="19"/>
  <c r="Z590" i="19"/>
  <c r="Y590" i="19"/>
  <c r="X590" i="19"/>
  <c r="W590" i="19"/>
  <c r="T590" i="19"/>
  <c r="P590" i="19"/>
  <c r="AF589" i="19"/>
  <c r="AE589" i="19"/>
  <c r="AD589" i="19"/>
  <c r="AC589" i="19"/>
  <c r="AB589" i="19"/>
  <c r="Z589" i="19"/>
  <c r="Y589" i="19"/>
  <c r="X589" i="19"/>
  <c r="W589" i="19"/>
  <c r="T589" i="19"/>
  <c r="P589" i="19"/>
  <c r="E589" i="19"/>
  <c r="E590" i="19"/>
  <c r="O590" i="19"/>
  <c r="AF588" i="19"/>
  <c r="AE588" i="19"/>
  <c r="AD588" i="19"/>
  <c r="AC588" i="19"/>
  <c r="AB588" i="19"/>
  <c r="AA588" i="19"/>
  <c r="Z588" i="19"/>
  <c r="Y588" i="19"/>
  <c r="X588" i="19"/>
  <c r="W588" i="19"/>
  <c r="AE586" i="19"/>
  <c r="AD586" i="19"/>
  <c r="AC586" i="19"/>
  <c r="AB586" i="19"/>
  <c r="AA586" i="19"/>
  <c r="Z586" i="19"/>
  <c r="X586" i="19"/>
  <c r="W586" i="19"/>
  <c r="S586" i="19"/>
  <c r="AE585" i="19"/>
  <c r="AD585" i="19"/>
  <c r="AC585" i="19"/>
  <c r="AB585" i="19"/>
  <c r="AA585" i="19"/>
  <c r="Z585" i="19"/>
  <c r="X585" i="19"/>
  <c r="W585" i="19"/>
  <c r="S585" i="19"/>
  <c r="AF584" i="19"/>
  <c r="AE584" i="19"/>
  <c r="AD584" i="19"/>
  <c r="AC584" i="19"/>
  <c r="AB584" i="19"/>
  <c r="AA584" i="19"/>
  <c r="Z584" i="19"/>
  <c r="Y584" i="19"/>
  <c r="X584" i="19"/>
  <c r="W584" i="19"/>
  <c r="AF583" i="19"/>
  <c r="AE583" i="19"/>
  <c r="AD583" i="19"/>
  <c r="AC583" i="19"/>
  <c r="AB583" i="19"/>
  <c r="Z583" i="19"/>
  <c r="Y583" i="19"/>
  <c r="X583" i="19"/>
  <c r="W583" i="19"/>
  <c r="T583" i="19"/>
  <c r="P583" i="19"/>
  <c r="AF582" i="19"/>
  <c r="AE582" i="19"/>
  <c r="AD582" i="19"/>
  <c r="AC582" i="19"/>
  <c r="AB582" i="19"/>
  <c r="Z582" i="19"/>
  <c r="Y582" i="19"/>
  <c r="X582" i="19"/>
  <c r="W582" i="19"/>
  <c r="T582" i="19"/>
  <c r="P582" i="19"/>
  <c r="E582" i="19"/>
  <c r="E585" i="19"/>
  <c r="E586" i="19"/>
  <c r="AF581" i="19"/>
  <c r="AE581" i="19"/>
  <c r="AD581" i="19"/>
  <c r="AC581" i="19"/>
  <c r="AB581" i="19"/>
  <c r="AA581" i="19"/>
  <c r="Z581" i="19"/>
  <c r="Y581" i="19"/>
  <c r="X581" i="19"/>
  <c r="W581" i="19"/>
  <c r="AE579" i="19"/>
  <c r="AD579" i="19"/>
  <c r="AC579" i="19"/>
  <c r="AB579" i="19"/>
  <c r="AA579" i="19"/>
  <c r="Z579" i="19"/>
  <c r="X579" i="19"/>
  <c r="W579" i="19"/>
  <c r="S579" i="19"/>
  <c r="AE578" i="19"/>
  <c r="AD578" i="19"/>
  <c r="AC578" i="19"/>
  <c r="AB578" i="19"/>
  <c r="AA578" i="19"/>
  <c r="Z578" i="19"/>
  <c r="X578" i="19"/>
  <c r="W578" i="19"/>
  <c r="S578" i="19"/>
  <c r="AF577" i="19"/>
  <c r="AE577" i="19"/>
  <c r="AD577" i="19"/>
  <c r="AC577" i="19"/>
  <c r="AB577" i="19"/>
  <c r="AA577" i="19"/>
  <c r="Z577" i="19"/>
  <c r="Y577" i="19"/>
  <c r="X577" i="19"/>
  <c r="W577" i="19"/>
  <c r="AF576" i="19"/>
  <c r="AE576" i="19"/>
  <c r="AD576" i="19"/>
  <c r="AC576" i="19"/>
  <c r="AB576" i="19"/>
  <c r="Z576" i="19"/>
  <c r="Y576" i="19"/>
  <c r="X576" i="19"/>
  <c r="W576" i="19"/>
  <c r="T576" i="19"/>
  <c r="P576" i="19"/>
  <c r="AF575" i="19"/>
  <c r="AE575" i="19"/>
  <c r="AD575" i="19"/>
  <c r="AC575" i="19"/>
  <c r="AB575" i="19"/>
  <c r="Z575" i="19"/>
  <c r="Y575" i="19"/>
  <c r="X575" i="19"/>
  <c r="W575" i="19"/>
  <c r="T575" i="19"/>
  <c r="P575" i="19"/>
  <c r="E575" i="19"/>
  <c r="O575" i="19"/>
  <c r="O578" i="19"/>
  <c r="O579" i="19"/>
  <c r="AF574" i="19"/>
  <c r="AE574" i="19"/>
  <c r="AD574" i="19"/>
  <c r="AC574" i="19"/>
  <c r="AB574" i="19"/>
  <c r="AA574" i="19"/>
  <c r="Z574" i="19"/>
  <c r="Y574" i="19"/>
  <c r="X574" i="19"/>
  <c r="W574" i="19"/>
  <c r="AE572" i="19"/>
  <c r="AD572" i="19"/>
  <c r="AC572" i="19"/>
  <c r="AB572" i="19"/>
  <c r="AA572" i="19"/>
  <c r="Z572" i="19"/>
  <c r="X572" i="19"/>
  <c r="W572" i="19"/>
  <c r="S572" i="19"/>
  <c r="AE571" i="19"/>
  <c r="AD571" i="19"/>
  <c r="AC571" i="19"/>
  <c r="AB571" i="19"/>
  <c r="AA571" i="19"/>
  <c r="Z571" i="19"/>
  <c r="X571" i="19"/>
  <c r="W571" i="19"/>
  <c r="S571" i="19"/>
  <c r="AF570" i="19"/>
  <c r="AE570" i="19"/>
  <c r="AD570" i="19"/>
  <c r="AC570" i="19"/>
  <c r="AB570" i="19"/>
  <c r="AA570" i="19"/>
  <c r="Z570" i="19"/>
  <c r="Y570" i="19"/>
  <c r="X570" i="19"/>
  <c r="W570" i="19"/>
  <c r="AF569" i="19"/>
  <c r="AE569" i="19"/>
  <c r="AD569" i="19"/>
  <c r="AC569" i="19"/>
  <c r="AB569" i="19"/>
  <c r="Z569" i="19"/>
  <c r="Y569" i="19"/>
  <c r="X569" i="19"/>
  <c r="W569" i="19"/>
  <c r="T569" i="19"/>
  <c r="P569" i="19"/>
  <c r="M569" i="19"/>
  <c r="U572" i="19"/>
  <c r="AF568" i="19"/>
  <c r="AE568" i="19"/>
  <c r="AD568" i="19"/>
  <c r="AC568" i="19"/>
  <c r="AB568" i="19"/>
  <c r="Z568" i="19"/>
  <c r="Y568" i="19"/>
  <c r="X568" i="19"/>
  <c r="W568" i="19"/>
  <c r="T568" i="19"/>
  <c r="P568" i="19"/>
  <c r="M568" i="19"/>
  <c r="E568" i="19"/>
  <c r="E571" i="19"/>
  <c r="E572" i="19"/>
  <c r="AF567" i="19"/>
  <c r="AE567" i="19"/>
  <c r="AD567" i="19"/>
  <c r="AC567" i="19"/>
  <c r="AB567" i="19"/>
  <c r="AA567" i="19"/>
  <c r="Z567" i="19"/>
  <c r="Y567" i="19"/>
  <c r="X567" i="19"/>
  <c r="W567" i="19"/>
  <c r="F594" i="19"/>
  <c r="N596" i="19"/>
  <c r="F528" i="19"/>
  <c r="N530" i="19"/>
  <c r="F587" i="19"/>
  <c r="N589" i="19"/>
  <c r="F580" i="19"/>
  <c r="N582" i="19"/>
  <c r="F573" i="19"/>
  <c r="N575" i="19"/>
  <c r="F566" i="19"/>
  <c r="N568" i="19"/>
  <c r="AE564" i="19"/>
  <c r="AD564" i="19"/>
  <c r="AC564" i="19"/>
  <c r="AB564" i="19"/>
  <c r="AA564" i="19"/>
  <c r="Z564" i="19"/>
  <c r="X564" i="19"/>
  <c r="W564" i="19"/>
  <c r="S564" i="19"/>
  <c r="AF563" i="19"/>
  <c r="AE563" i="19"/>
  <c r="AD563" i="19"/>
  <c r="AC563" i="19"/>
  <c r="AB563" i="19"/>
  <c r="AA563" i="19"/>
  <c r="Z563" i="19"/>
  <c r="Y563" i="19"/>
  <c r="X563" i="19"/>
  <c r="W563" i="19"/>
  <c r="AF562" i="19"/>
  <c r="AE562" i="19"/>
  <c r="AD562" i="19"/>
  <c r="AC562" i="19"/>
  <c r="AB562" i="19"/>
  <c r="Z562" i="19"/>
  <c r="Y562" i="19"/>
  <c r="X562" i="19"/>
  <c r="W562" i="19"/>
  <c r="T562" i="19"/>
  <c r="P562" i="19"/>
  <c r="AF561" i="19"/>
  <c r="AE561" i="19"/>
  <c r="AD561" i="19"/>
  <c r="AC561" i="19"/>
  <c r="AB561" i="19"/>
  <c r="Z561" i="19"/>
  <c r="Y561" i="19"/>
  <c r="X561" i="19"/>
  <c r="W561" i="19"/>
  <c r="T561" i="19"/>
  <c r="P561" i="19"/>
  <c r="AF560" i="19"/>
  <c r="AE560" i="19"/>
  <c r="AD560" i="19"/>
  <c r="AC560" i="19"/>
  <c r="AB560" i="19"/>
  <c r="Z560" i="19"/>
  <c r="Y560" i="19"/>
  <c r="X560" i="19"/>
  <c r="W560" i="19"/>
  <c r="T560" i="19"/>
  <c r="P560" i="19"/>
  <c r="E560" i="19"/>
  <c r="E561" i="19"/>
  <c r="AF559" i="19"/>
  <c r="AE559" i="19"/>
  <c r="AD559" i="19"/>
  <c r="AC559" i="19"/>
  <c r="AB559" i="19"/>
  <c r="AA559" i="19"/>
  <c r="Z559" i="19"/>
  <c r="Y559" i="19"/>
  <c r="X559" i="19"/>
  <c r="W559" i="19"/>
  <c r="AE557" i="19"/>
  <c r="AD557" i="19"/>
  <c r="AC557" i="19"/>
  <c r="AB557" i="19"/>
  <c r="AA557" i="19"/>
  <c r="Z557" i="19"/>
  <c r="X557" i="19"/>
  <c r="W557" i="19"/>
  <c r="S557" i="19"/>
  <c r="AF556" i="19"/>
  <c r="AE556" i="19"/>
  <c r="AD556" i="19"/>
  <c r="AC556" i="19"/>
  <c r="AB556" i="19"/>
  <c r="AA556" i="19"/>
  <c r="Z556" i="19"/>
  <c r="Y556" i="19"/>
  <c r="X556" i="19"/>
  <c r="W556" i="19"/>
  <c r="AF555" i="19"/>
  <c r="AE555" i="19"/>
  <c r="AD555" i="19"/>
  <c r="AC555" i="19"/>
  <c r="AB555" i="19"/>
  <c r="Z555" i="19"/>
  <c r="Y555" i="19"/>
  <c r="X555" i="19"/>
  <c r="W555" i="19"/>
  <c r="T555" i="19"/>
  <c r="P555" i="19"/>
  <c r="AF554" i="19"/>
  <c r="AE554" i="19"/>
  <c r="AD554" i="19"/>
  <c r="AC554" i="19"/>
  <c r="AB554" i="19"/>
  <c r="Z554" i="19"/>
  <c r="Y554" i="19"/>
  <c r="X554" i="19"/>
  <c r="W554" i="19"/>
  <c r="T554" i="19"/>
  <c r="P554" i="19"/>
  <c r="AF553" i="19"/>
  <c r="AE553" i="19"/>
  <c r="AD553" i="19"/>
  <c r="AC553" i="19"/>
  <c r="AB553" i="19"/>
  <c r="Z553" i="19"/>
  <c r="Y553" i="19"/>
  <c r="X553" i="19"/>
  <c r="W553" i="19"/>
  <c r="T553" i="19"/>
  <c r="P553" i="19"/>
  <c r="E553" i="19"/>
  <c r="AF552" i="19"/>
  <c r="AE552" i="19"/>
  <c r="AD552" i="19"/>
  <c r="AC552" i="19"/>
  <c r="AB552" i="19"/>
  <c r="AA552" i="19"/>
  <c r="Z552" i="19"/>
  <c r="Y552" i="19"/>
  <c r="X552" i="19"/>
  <c r="W552" i="19"/>
  <c r="AE550" i="19"/>
  <c r="AD550" i="19"/>
  <c r="AC550" i="19"/>
  <c r="AB550" i="19"/>
  <c r="AA550" i="19"/>
  <c r="Z550" i="19"/>
  <c r="X550" i="19"/>
  <c r="W550" i="19"/>
  <c r="S550" i="19"/>
  <c r="AF549" i="19"/>
  <c r="AE549" i="19"/>
  <c r="AD549" i="19"/>
  <c r="AC549" i="19"/>
  <c r="AB549" i="19"/>
  <c r="AA549" i="19"/>
  <c r="Z549" i="19"/>
  <c r="Y549" i="19"/>
  <c r="X549" i="19"/>
  <c r="W549" i="19"/>
  <c r="AF548" i="19"/>
  <c r="AE548" i="19"/>
  <c r="AD548" i="19"/>
  <c r="AC548" i="19"/>
  <c r="AB548" i="19"/>
  <c r="Z548" i="19"/>
  <c r="Y548" i="19"/>
  <c r="X548" i="19"/>
  <c r="W548" i="19"/>
  <c r="T548" i="19"/>
  <c r="P548" i="19"/>
  <c r="AF547" i="19"/>
  <c r="AE547" i="19"/>
  <c r="AD547" i="19"/>
  <c r="AC547" i="19"/>
  <c r="AB547" i="19"/>
  <c r="Z547" i="19"/>
  <c r="Y547" i="19"/>
  <c r="X547" i="19"/>
  <c r="W547" i="19"/>
  <c r="T547" i="19"/>
  <c r="P547" i="19"/>
  <c r="AF546" i="19"/>
  <c r="AE546" i="19"/>
  <c r="AD546" i="19"/>
  <c r="AC546" i="19"/>
  <c r="AB546" i="19"/>
  <c r="Z546" i="19"/>
  <c r="Y546" i="19"/>
  <c r="X546" i="19"/>
  <c r="W546" i="19"/>
  <c r="T546" i="19"/>
  <c r="P546" i="19"/>
  <c r="E546" i="19"/>
  <c r="AF545" i="19"/>
  <c r="AE545" i="19"/>
  <c r="AD545" i="19"/>
  <c r="AC545" i="19"/>
  <c r="AB545" i="19"/>
  <c r="AA545" i="19"/>
  <c r="Z545" i="19"/>
  <c r="Y545" i="19"/>
  <c r="X545" i="19"/>
  <c r="W545" i="19"/>
  <c r="F558" i="19"/>
  <c r="N560" i="19"/>
  <c r="F520" i="19"/>
  <c r="N522" i="19"/>
  <c r="F551" i="19"/>
  <c r="N553" i="19"/>
  <c r="F544" i="19"/>
  <c r="N546" i="19"/>
  <c r="U546" i="19"/>
  <c r="F546" i="19"/>
  <c r="J546" i="19"/>
  <c r="F537" i="19"/>
  <c r="N539" i="19"/>
  <c r="AE543" i="19"/>
  <c r="AD543" i="19"/>
  <c r="AC543" i="19"/>
  <c r="AB543" i="19"/>
  <c r="AA543" i="19"/>
  <c r="Z543" i="19"/>
  <c r="X543" i="19"/>
  <c r="W543" i="19"/>
  <c r="S543" i="19"/>
  <c r="AF542" i="19"/>
  <c r="AE542" i="19"/>
  <c r="AD542" i="19"/>
  <c r="AC542" i="19"/>
  <c r="AB542" i="19"/>
  <c r="AA542" i="19"/>
  <c r="Z542" i="19"/>
  <c r="Y542" i="19"/>
  <c r="X542" i="19"/>
  <c r="W542" i="19"/>
  <c r="AF541" i="19"/>
  <c r="AE541" i="19"/>
  <c r="AD541" i="19"/>
  <c r="AC541" i="19"/>
  <c r="AB541" i="19"/>
  <c r="Z541" i="19"/>
  <c r="Y541" i="19"/>
  <c r="X541" i="19"/>
  <c r="W541" i="19"/>
  <c r="T541" i="19"/>
  <c r="P541" i="19"/>
  <c r="AF540" i="19"/>
  <c r="AE540" i="19"/>
  <c r="AD540" i="19"/>
  <c r="AC540" i="19"/>
  <c r="AB540" i="19"/>
  <c r="Z540" i="19"/>
  <c r="Y540" i="19"/>
  <c r="X540" i="19"/>
  <c r="W540" i="19"/>
  <c r="T540" i="19"/>
  <c r="P540" i="19"/>
  <c r="M540" i="19"/>
  <c r="AF539" i="19"/>
  <c r="AE539" i="19"/>
  <c r="AD539" i="19"/>
  <c r="AC539" i="19"/>
  <c r="AB539" i="19"/>
  <c r="Z539" i="19"/>
  <c r="Y539" i="19"/>
  <c r="X539" i="19"/>
  <c r="W539" i="19"/>
  <c r="T539" i="19"/>
  <c r="P539" i="19"/>
  <c r="M539" i="19"/>
  <c r="E539" i="19"/>
  <c r="AF538" i="19"/>
  <c r="AE538" i="19"/>
  <c r="AD538" i="19"/>
  <c r="AC538" i="19"/>
  <c r="AB538" i="19"/>
  <c r="AA538" i="19"/>
  <c r="Z538" i="19"/>
  <c r="Y538" i="19"/>
  <c r="X538" i="19"/>
  <c r="W538" i="19"/>
  <c r="AE535" i="19"/>
  <c r="AD535" i="19"/>
  <c r="AC535" i="19"/>
  <c r="AB535" i="19"/>
  <c r="AA535" i="19"/>
  <c r="Z535" i="19"/>
  <c r="X535" i="19"/>
  <c r="W535" i="19"/>
  <c r="S535" i="19"/>
  <c r="AE534" i="19"/>
  <c r="AD534" i="19"/>
  <c r="AC534" i="19"/>
  <c r="AB534" i="19"/>
  <c r="AA534" i="19"/>
  <c r="Z534" i="19"/>
  <c r="X534" i="19"/>
  <c r="W534" i="19"/>
  <c r="S534" i="19"/>
  <c r="AF533" i="19"/>
  <c r="AE533" i="19"/>
  <c r="AD533" i="19"/>
  <c r="AC533" i="19"/>
  <c r="AB533" i="19"/>
  <c r="AA533" i="19"/>
  <c r="Z533" i="19"/>
  <c r="Y533" i="19"/>
  <c r="X533" i="19"/>
  <c r="W533" i="19"/>
  <c r="AF532" i="19"/>
  <c r="AE532" i="19"/>
  <c r="AD532" i="19"/>
  <c r="AC532" i="19"/>
  <c r="AB532" i="19"/>
  <c r="Z532" i="19"/>
  <c r="Y532" i="19"/>
  <c r="X532" i="19"/>
  <c r="W532" i="19"/>
  <c r="T532" i="19"/>
  <c r="P532" i="19"/>
  <c r="AF531" i="19"/>
  <c r="AE531" i="19"/>
  <c r="AD531" i="19"/>
  <c r="AC531" i="19"/>
  <c r="AB531" i="19"/>
  <c r="Z531" i="19"/>
  <c r="Y531" i="19"/>
  <c r="X531" i="19"/>
  <c r="W531" i="19"/>
  <c r="T531" i="19"/>
  <c r="P531" i="19"/>
  <c r="AF530" i="19"/>
  <c r="AE530" i="19"/>
  <c r="AD530" i="19"/>
  <c r="AC530" i="19"/>
  <c r="AB530" i="19"/>
  <c r="Z530" i="19"/>
  <c r="Y530" i="19"/>
  <c r="X530" i="19"/>
  <c r="W530" i="19"/>
  <c r="T530" i="19"/>
  <c r="P530" i="19"/>
  <c r="E530" i="19"/>
  <c r="AF529" i="19"/>
  <c r="AE529" i="19"/>
  <c r="AD529" i="19"/>
  <c r="AC529" i="19"/>
  <c r="AB529" i="19"/>
  <c r="AA529" i="19"/>
  <c r="Z529" i="19"/>
  <c r="Y529" i="19"/>
  <c r="X529" i="19"/>
  <c r="W529" i="19"/>
  <c r="AE527" i="19"/>
  <c r="AD527" i="19"/>
  <c r="AC527" i="19"/>
  <c r="AB527" i="19"/>
  <c r="AA527" i="19"/>
  <c r="Z527" i="19"/>
  <c r="X527" i="19"/>
  <c r="W527" i="19"/>
  <c r="S527" i="19"/>
  <c r="AE526" i="19"/>
  <c r="AD526" i="19"/>
  <c r="AC526" i="19"/>
  <c r="AB526" i="19"/>
  <c r="AA526" i="19"/>
  <c r="Z526" i="19"/>
  <c r="X526" i="19"/>
  <c r="W526" i="19"/>
  <c r="S526" i="19"/>
  <c r="AF525" i="19"/>
  <c r="AE525" i="19"/>
  <c r="AD525" i="19"/>
  <c r="AC525" i="19"/>
  <c r="AB525" i="19"/>
  <c r="AA525" i="19"/>
  <c r="Z525" i="19"/>
  <c r="Y525" i="19"/>
  <c r="X525" i="19"/>
  <c r="W525" i="19"/>
  <c r="AF524" i="19"/>
  <c r="AE524" i="19"/>
  <c r="AD524" i="19"/>
  <c r="AC524" i="19"/>
  <c r="AB524" i="19"/>
  <c r="Z524" i="19"/>
  <c r="Y524" i="19"/>
  <c r="X524" i="19"/>
  <c r="W524" i="19"/>
  <c r="T524" i="19"/>
  <c r="P524" i="19"/>
  <c r="AF523" i="19"/>
  <c r="AE523" i="19"/>
  <c r="AD523" i="19"/>
  <c r="AC523" i="19"/>
  <c r="AB523" i="19"/>
  <c r="Z523" i="19"/>
  <c r="Y523" i="19"/>
  <c r="X523" i="19"/>
  <c r="W523" i="19"/>
  <c r="T523" i="19"/>
  <c r="P523" i="19"/>
  <c r="AF522" i="19"/>
  <c r="AE522" i="19"/>
  <c r="AD522" i="19"/>
  <c r="AC522" i="19"/>
  <c r="AB522" i="19"/>
  <c r="Z522" i="19"/>
  <c r="Y522" i="19"/>
  <c r="X522" i="19"/>
  <c r="W522" i="19"/>
  <c r="T522" i="19"/>
  <c r="P522" i="19"/>
  <c r="E522" i="19"/>
  <c r="E526" i="19"/>
  <c r="E527" i="19"/>
  <c r="AF521" i="19"/>
  <c r="AE521" i="19"/>
  <c r="AD521" i="19"/>
  <c r="AC521" i="19"/>
  <c r="AB521" i="19"/>
  <c r="AA521" i="19"/>
  <c r="Z521" i="19"/>
  <c r="Y521" i="19"/>
  <c r="X521" i="19"/>
  <c r="W521" i="19"/>
  <c r="AE519" i="19"/>
  <c r="AD519" i="19"/>
  <c r="AC519" i="19"/>
  <c r="AB519" i="19"/>
  <c r="AA519" i="19"/>
  <c r="Z519" i="19"/>
  <c r="X519" i="19"/>
  <c r="W519" i="19"/>
  <c r="S519" i="19"/>
  <c r="AE518" i="19"/>
  <c r="AD518" i="19"/>
  <c r="AC518" i="19"/>
  <c r="AB518" i="19"/>
  <c r="AA518" i="19"/>
  <c r="Z518" i="19"/>
  <c r="X518" i="19"/>
  <c r="W518" i="19"/>
  <c r="S518" i="19"/>
  <c r="AF517" i="19"/>
  <c r="AE517" i="19"/>
  <c r="AD517" i="19"/>
  <c r="AC517" i="19"/>
  <c r="AB517" i="19"/>
  <c r="AA517" i="19"/>
  <c r="Z517" i="19"/>
  <c r="Y517" i="19"/>
  <c r="X517" i="19"/>
  <c r="W517" i="19"/>
  <c r="AF516" i="19"/>
  <c r="AE516" i="19"/>
  <c r="AD516" i="19"/>
  <c r="AC516" i="19"/>
  <c r="AB516" i="19"/>
  <c r="Z516" i="19"/>
  <c r="Y516" i="19"/>
  <c r="X516" i="19"/>
  <c r="W516" i="19"/>
  <c r="T516" i="19"/>
  <c r="P516" i="19"/>
  <c r="AF515" i="19"/>
  <c r="AE515" i="19"/>
  <c r="AD515" i="19"/>
  <c r="AC515" i="19"/>
  <c r="AB515" i="19"/>
  <c r="Z515" i="19"/>
  <c r="Y515" i="19"/>
  <c r="X515" i="19"/>
  <c r="W515" i="19"/>
  <c r="T515" i="19"/>
  <c r="P515" i="19"/>
  <c r="AF514" i="19"/>
  <c r="AE514" i="19"/>
  <c r="AD514" i="19"/>
  <c r="AC514" i="19"/>
  <c r="AB514" i="19"/>
  <c r="Z514" i="19"/>
  <c r="Y514" i="19"/>
  <c r="X514" i="19"/>
  <c r="W514" i="19"/>
  <c r="T514" i="19"/>
  <c r="P514" i="19"/>
  <c r="E514" i="19"/>
  <c r="AF513" i="19"/>
  <c r="AE513" i="19"/>
  <c r="AD513" i="19"/>
  <c r="AC513" i="19"/>
  <c r="AB513" i="19"/>
  <c r="AA513" i="19"/>
  <c r="Z513" i="19"/>
  <c r="Y513" i="19"/>
  <c r="X513" i="19"/>
  <c r="W513" i="19"/>
  <c r="AE511" i="19"/>
  <c r="AD511" i="19"/>
  <c r="AC511" i="19"/>
  <c r="AB511" i="19"/>
  <c r="AA511" i="19"/>
  <c r="Z511" i="19"/>
  <c r="X511" i="19"/>
  <c r="W511" i="19"/>
  <c r="S511" i="19"/>
  <c r="AE510" i="19"/>
  <c r="AD510" i="19"/>
  <c r="AC510" i="19"/>
  <c r="AB510" i="19"/>
  <c r="AA510" i="19"/>
  <c r="Z510" i="19"/>
  <c r="X510" i="19"/>
  <c r="W510" i="19"/>
  <c r="S510" i="19"/>
  <c r="AF509" i="19"/>
  <c r="AE509" i="19"/>
  <c r="AD509" i="19"/>
  <c r="AC509" i="19"/>
  <c r="AB509" i="19"/>
  <c r="AA509" i="19"/>
  <c r="Z509" i="19"/>
  <c r="Y509" i="19"/>
  <c r="X509" i="19"/>
  <c r="W509" i="19"/>
  <c r="AF508" i="19"/>
  <c r="AE508" i="19"/>
  <c r="AD508" i="19"/>
  <c r="AC508" i="19"/>
  <c r="AB508" i="19"/>
  <c r="Z508" i="19"/>
  <c r="Y508" i="19"/>
  <c r="X508" i="19"/>
  <c r="W508" i="19"/>
  <c r="T508" i="19"/>
  <c r="P508" i="19"/>
  <c r="AF507" i="19"/>
  <c r="AE507" i="19"/>
  <c r="AD507" i="19"/>
  <c r="AC507" i="19"/>
  <c r="AB507" i="19"/>
  <c r="Z507" i="19"/>
  <c r="Y507" i="19"/>
  <c r="X507" i="19"/>
  <c r="W507" i="19"/>
  <c r="T507" i="19"/>
  <c r="P507" i="19"/>
  <c r="AF506" i="19"/>
  <c r="AE506" i="19"/>
  <c r="AD506" i="19"/>
  <c r="AC506" i="19"/>
  <c r="AB506" i="19"/>
  <c r="Z506" i="19"/>
  <c r="Y506" i="19"/>
  <c r="X506" i="19"/>
  <c r="W506" i="19"/>
  <c r="T506" i="19"/>
  <c r="P506" i="19"/>
  <c r="E506" i="19"/>
  <c r="AF505" i="19"/>
  <c r="AE505" i="19"/>
  <c r="AD505" i="19"/>
  <c r="AC505" i="19"/>
  <c r="AB505" i="19"/>
  <c r="AA505" i="19"/>
  <c r="Z505" i="19"/>
  <c r="Y505" i="19"/>
  <c r="X505" i="19"/>
  <c r="W505" i="19"/>
  <c r="AE503" i="19"/>
  <c r="AD503" i="19"/>
  <c r="AC503" i="19"/>
  <c r="AB503" i="19"/>
  <c r="AA503" i="19"/>
  <c r="Z503" i="19"/>
  <c r="X503" i="19"/>
  <c r="W503" i="19"/>
  <c r="S503" i="19"/>
  <c r="AE502" i="19"/>
  <c r="AD502" i="19"/>
  <c r="AC502" i="19"/>
  <c r="AB502" i="19"/>
  <c r="AA502" i="19"/>
  <c r="Z502" i="19"/>
  <c r="X502" i="19"/>
  <c r="W502" i="19"/>
  <c r="S502" i="19"/>
  <c r="AF501" i="19"/>
  <c r="AE501" i="19"/>
  <c r="AD501" i="19"/>
  <c r="AC501" i="19"/>
  <c r="AB501" i="19"/>
  <c r="AA501" i="19"/>
  <c r="Z501" i="19"/>
  <c r="Y501" i="19"/>
  <c r="X501" i="19"/>
  <c r="W501" i="19"/>
  <c r="AF500" i="19"/>
  <c r="AE500" i="19"/>
  <c r="AD500" i="19"/>
  <c r="AC500" i="19"/>
  <c r="AB500" i="19"/>
  <c r="Z500" i="19"/>
  <c r="Y500" i="19"/>
  <c r="X500" i="19"/>
  <c r="W500" i="19"/>
  <c r="T500" i="19"/>
  <c r="P500" i="19"/>
  <c r="AF499" i="19"/>
  <c r="AE499" i="19"/>
  <c r="AD499" i="19"/>
  <c r="AC499" i="19"/>
  <c r="AB499" i="19"/>
  <c r="Z499" i="19"/>
  <c r="Y499" i="19"/>
  <c r="X499" i="19"/>
  <c r="W499" i="19"/>
  <c r="T499" i="19"/>
  <c r="P499" i="19"/>
  <c r="AF498" i="19"/>
  <c r="AE498" i="19"/>
  <c r="AD498" i="19"/>
  <c r="AC498" i="19"/>
  <c r="AB498" i="19"/>
  <c r="Z498" i="19"/>
  <c r="Y498" i="19"/>
  <c r="X498" i="19"/>
  <c r="W498" i="19"/>
  <c r="T498" i="19"/>
  <c r="P498" i="19"/>
  <c r="E498" i="19"/>
  <c r="AF497" i="19"/>
  <c r="AE497" i="19"/>
  <c r="AD497" i="19"/>
  <c r="AC497" i="19"/>
  <c r="AB497" i="19"/>
  <c r="AA497" i="19"/>
  <c r="Z497" i="19"/>
  <c r="Y497" i="19"/>
  <c r="X497" i="19"/>
  <c r="W497" i="19"/>
  <c r="AE495" i="19"/>
  <c r="AD495" i="19"/>
  <c r="AC495" i="19"/>
  <c r="AB495" i="19"/>
  <c r="AA495" i="19"/>
  <c r="Z495" i="19"/>
  <c r="X495" i="19"/>
  <c r="W495" i="19"/>
  <c r="S495" i="19"/>
  <c r="AE494" i="19"/>
  <c r="AD494" i="19"/>
  <c r="AC494" i="19"/>
  <c r="AB494" i="19"/>
  <c r="AA494" i="19"/>
  <c r="Z494" i="19"/>
  <c r="X494" i="19"/>
  <c r="W494" i="19"/>
  <c r="S494" i="19"/>
  <c r="AF493" i="19"/>
  <c r="AE493" i="19"/>
  <c r="AD493" i="19"/>
  <c r="AC493" i="19"/>
  <c r="AB493" i="19"/>
  <c r="AA493" i="19"/>
  <c r="Z493" i="19"/>
  <c r="Y493" i="19"/>
  <c r="X493" i="19"/>
  <c r="W493" i="19"/>
  <c r="AF492" i="19"/>
  <c r="AE492" i="19"/>
  <c r="AD492" i="19"/>
  <c r="AC492" i="19"/>
  <c r="AB492" i="19"/>
  <c r="Z492" i="19"/>
  <c r="Y492" i="19"/>
  <c r="X492" i="19"/>
  <c r="W492" i="19"/>
  <c r="T492" i="19"/>
  <c r="P492" i="19"/>
  <c r="AF491" i="19"/>
  <c r="AE491" i="19"/>
  <c r="AD491" i="19"/>
  <c r="AC491" i="19"/>
  <c r="AB491" i="19"/>
  <c r="Z491" i="19"/>
  <c r="Y491" i="19"/>
  <c r="X491" i="19"/>
  <c r="W491" i="19"/>
  <c r="T491" i="19"/>
  <c r="P491" i="19"/>
  <c r="AF490" i="19"/>
  <c r="AE490" i="19"/>
  <c r="AD490" i="19"/>
  <c r="AC490" i="19"/>
  <c r="AB490" i="19"/>
  <c r="Z490" i="19"/>
  <c r="Y490" i="19"/>
  <c r="X490" i="19"/>
  <c r="W490" i="19"/>
  <c r="T490" i="19"/>
  <c r="P490" i="19"/>
  <c r="E490" i="19"/>
  <c r="E494" i="19"/>
  <c r="E495" i="19"/>
  <c r="AF489" i="19"/>
  <c r="AE489" i="19"/>
  <c r="AD489" i="19"/>
  <c r="AC489" i="19"/>
  <c r="AB489" i="19"/>
  <c r="AA489" i="19"/>
  <c r="Z489" i="19"/>
  <c r="Y489" i="19"/>
  <c r="X489" i="19"/>
  <c r="W489" i="19"/>
  <c r="F488" i="19"/>
  <c r="N490" i="19"/>
  <c r="F512" i="19"/>
  <c r="N514" i="19"/>
  <c r="F504" i="19"/>
  <c r="N506" i="19"/>
  <c r="F496" i="19"/>
  <c r="N498" i="19"/>
  <c r="F480" i="19"/>
  <c r="N482" i="19"/>
  <c r="AF484" i="19"/>
  <c r="AE484" i="19"/>
  <c r="AD484" i="19"/>
  <c r="AC484" i="19"/>
  <c r="AB484" i="19"/>
  <c r="Z484" i="19"/>
  <c r="Y484" i="19"/>
  <c r="X484" i="19"/>
  <c r="W484" i="19"/>
  <c r="T484" i="19"/>
  <c r="P484" i="19"/>
  <c r="H488" i="19"/>
  <c r="M491" i="19"/>
  <c r="G488" i="19"/>
  <c r="G496" i="19"/>
  <c r="AE636" i="19"/>
  <c r="AD636" i="19"/>
  <c r="AC636" i="19"/>
  <c r="AB636" i="19"/>
  <c r="AA636" i="19"/>
  <c r="Z636" i="19"/>
  <c r="Y636" i="19"/>
  <c r="X636" i="19"/>
  <c r="W636" i="19"/>
  <c r="F636" i="19"/>
  <c r="N638" i="19"/>
  <c r="AE635" i="19"/>
  <c r="AD635" i="19"/>
  <c r="AC635" i="19"/>
  <c r="AB635" i="19"/>
  <c r="AA635" i="19"/>
  <c r="Z635" i="19"/>
  <c r="Y635" i="19"/>
  <c r="X635" i="19"/>
  <c r="W635" i="19"/>
  <c r="AE628" i="19"/>
  <c r="AD628" i="19"/>
  <c r="AC628" i="19"/>
  <c r="AB628" i="19"/>
  <c r="AA628" i="19"/>
  <c r="Z628" i="19"/>
  <c r="Y628" i="19"/>
  <c r="X628" i="19"/>
  <c r="W628" i="19"/>
  <c r="F628" i="19"/>
  <c r="N630" i="19"/>
  <c r="AE627" i="19"/>
  <c r="AD627" i="19"/>
  <c r="AC627" i="19"/>
  <c r="AB627" i="19"/>
  <c r="AA627" i="19"/>
  <c r="Z627" i="19"/>
  <c r="Y627" i="19"/>
  <c r="X627" i="19"/>
  <c r="W627" i="19"/>
  <c r="AF619" i="19"/>
  <c r="AE619" i="19"/>
  <c r="AD619" i="19"/>
  <c r="AC619" i="19"/>
  <c r="AB619" i="19"/>
  <c r="AA619" i="19"/>
  <c r="Z619" i="19"/>
  <c r="Y619" i="19"/>
  <c r="X619" i="19"/>
  <c r="W619" i="19"/>
  <c r="AE618" i="19"/>
  <c r="AD618" i="19"/>
  <c r="AC618" i="19"/>
  <c r="AB618" i="19"/>
  <c r="AA618" i="19"/>
  <c r="Z618" i="19"/>
  <c r="Y618" i="19"/>
  <c r="X618" i="19"/>
  <c r="W618" i="19"/>
  <c r="G610" i="19"/>
  <c r="M612" i="19"/>
  <c r="AF602" i="19"/>
  <c r="AE602" i="19"/>
  <c r="AD602" i="19"/>
  <c r="AC602" i="19"/>
  <c r="AB602" i="19"/>
  <c r="AA602" i="19"/>
  <c r="Z602" i="19"/>
  <c r="Y602" i="19"/>
  <c r="X602" i="19"/>
  <c r="W602" i="19"/>
  <c r="AE601" i="19"/>
  <c r="AD601" i="19"/>
  <c r="AC601" i="19"/>
  <c r="AB601" i="19"/>
  <c r="AA601" i="19"/>
  <c r="Z601" i="19"/>
  <c r="Y601" i="19"/>
  <c r="X601" i="19"/>
  <c r="W601" i="19"/>
  <c r="AF594" i="19"/>
  <c r="AE594" i="19"/>
  <c r="AD594" i="19"/>
  <c r="AC594" i="19"/>
  <c r="AB594" i="19"/>
  <c r="AA594" i="19"/>
  <c r="Z594" i="19"/>
  <c r="Y594" i="19"/>
  <c r="X594" i="19"/>
  <c r="W594" i="19"/>
  <c r="AF587" i="19"/>
  <c r="AE587" i="19"/>
  <c r="AD587" i="19"/>
  <c r="AC587" i="19"/>
  <c r="AB587" i="19"/>
  <c r="AA587" i="19"/>
  <c r="Z587" i="19"/>
  <c r="Y587" i="19"/>
  <c r="X587" i="19"/>
  <c r="W587" i="19"/>
  <c r="AF580" i="19"/>
  <c r="AE580" i="19"/>
  <c r="AD580" i="19"/>
  <c r="AC580" i="19"/>
  <c r="AB580" i="19"/>
  <c r="AA580" i="19"/>
  <c r="Z580" i="19"/>
  <c r="Y580" i="19"/>
  <c r="X580" i="19"/>
  <c r="W580" i="19"/>
  <c r="AE573" i="19"/>
  <c r="AD573" i="19"/>
  <c r="AC573" i="19"/>
  <c r="AB573" i="19"/>
  <c r="AA573" i="19"/>
  <c r="Z573" i="19"/>
  <c r="Y573" i="19"/>
  <c r="X573" i="19"/>
  <c r="W573" i="19"/>
  <c r="H573" i="19"/>
  <c r="H580" i="19"/>
  <c r="G573" i="19"/>
  <c r="G580" i="19"/>
  <c r="AE566" i="19"/>
  <c r="AD566" i="19"/>
  <c r="AC566" i="19"/>
  <c r="AB566" i="19"/>
  <c r="AA566" i="19"/>
  <c r="Z566" i="19"/>
  <c r="Y566" i="19"/>
  <c r="X566" i="19"/>
  <c r="W566" i="19"/>
  <c r="AE565" i="19"/>
  <c r="AD565" i="19"/>
  <c r="AC565" i="19"/>
  <c r="AB565" i="19"/>
  <c r="AA565" i="19"/>
  <c r="Z565" i="19"/>
  <c r="Y565" i="19"/>
  <c r="X565" i="19"/>
  <c r="W565" i="19"/>
  <c r="AE558" i="19"/>
  <c r="AD558" i="19"/>
  <c r="AC558" i="19"/>
  <c r="AB558" i="19"/>
  <c r="AA558" i="19"/>
  <c r="Z558" i="19"/>
  <c r="Y558" i="19"/>
  <c r="X558" i="19"/>
  <c r="W558" i="19"/>
  <c r="AE551" i="19"/>
  <c r="AD551" i="19"/>
  <c r="AC551" i="19"/>
  <c r="AB551" i="19"/>
  <c r="AA551" i="19"/>
  <c r="Z551" i="19"/>
  <c r="Y551" i="19"/>
  <c r="X551" i="19"/>
  <c r="W551" i="19"/>
  <c r="AF544" i="19"/>
  <c r="AE544" i="19"/>
  <c r="AD544" i="19"/>
  <c r="AC544" i="19"/>
  <c r="AB544" i="19"/>
  <c r="AA544" i="19"/>
  <c r="Z544" i="19"/>
  <c r="Y544" i="19"/>
  <c r="X544" i="19"/>
  <c r="W544" i="19"/>
  <c r="H544" i="19"/>
  <c r="M547" i="19"/>
  <c r="G544" i="19"/>
  <c r="G551" i="19"/>
  <c r="AF537" i="19"/>
  <c r="AE537" i="19"/>
  <c r="AD537" i="19"/>
  <c r="AC537" i="19"/>
  <c r="AB537" i="19"/>
  <c r="AA537" i="19"/>
  <c r="Z537" i="19"/>
  <c r="Y537" i="19"/>
  <c r="X537" i="19"/>
  <c r="W537" i="19"/>
  <c r="AE536" i="19"/>
  <c r="AD536" i="19"/>
  <c r="AC536" i="19"/>
  <c r="AB536" i="19"/>
  <c r="AA536" i="19"/>
  <c r="Z536" i="19"/>
  <c r="Y536" i="19"/>
  <c r="X536" i="19"/>
  <c r="W536" i="19"/>
  <c r="AE496" i="19"/>
  <c r="AD496" i="19"/>
  <c r="AC496" i="19"/>
  <c r="AB496" i="19"/>
  <c r="AA496" i="19"/>
  <c r="Z496" i="19"/>
  <c r="Y496" i="19"/>
  <c r="X496" i="19"/>
  <c r="W496" i="19"/>
  <c r="AE488" i="19"/>
  <c r="AD488" i="19"/>
  <c r="AC488" i="19"/>
  <c r="AB488" i="19"/>
  <c r="AA488" i="19"/>
  <c r="Z488" i="19"/>
  <c r="Y488" i="19"/>
  <c r="X488" i="19"/>
  <c r="W488" i="19"/>
  <c r="AE470" i="19"/>
  <c r="AD470" i="19"/>
  <c r="AC470" i="19"/>
  <c r="AB470" i="19"/>
  <c r="AA470" i="19"/>
  <c r="Z470" i="19"/>
  <c r="X470" i="19"/>
  <c r="W470" i="19"/>
  <c r="S470" i="19"/>
  <c r="AE469" i="19"/>
  <c r="AD469" i="19"/>
  <c r="AC469" i="19"/>
  <c r="AB469" i="19"/>
  <c r="AA469" i="19"/>
  <c r="Z469" i="19"/>
  <c r="X469" i="19"/>
  <c r="W469" i="19"/>
  <c r="S469" i="19"/>
  <c r="T469" i="19"/>
  <c r="D469" i="19"/>
  <c r="M469" i="19"/>
  <c r="AF468" i="19"/>
  <c r="AE468" i="19"/>
  <c r="AD468" i="19"/>
  <c r="AC468" i="19"/>
  <c r="AB468" i="19"/>
  <c r="AA468" i="19"/>
  <c r="Z468" i="19"/>
  <c r="Y468" i="19"/>
  <c r="X468" i="19"/>
  <c r="W468" i="19"/>
  <c r="AF467" i="19"/>
  <c r="AE467" i="19"/>
  <c r="AD467" i="19"/>
  <c r="AC467" i="19"/>
  <c r="AB467" i="19"/>
  <c r="Z467" i="19"/>
  <c r="Y467" i="19"/>
  <c r="X467" i="19"/>
  <c r="W467" i="19"/>
  <c r="T467" i="19"/>
  <c r="N467" i="19"/>
  <c r="M467" i="19"/>
  <c r="U470" i="19"/>
  <c r="F470" i="19"/>
  <c r="AF466" i="19"/>
  <c r="AE466" i="19"/>
  <c r="AD466" i="19"/>
  <c r="AC466" i="19"/>
  <c r="AB466" i="19"/>
  <c r="AA466" i="19"/>
  <c r="Z466" i="19"/>
  <c r="Y466" i="19"/>
  <c r="X466" i="19"/>
  <c r="W466" i="19"/>
  <c r="AE464" i="19"/>
  <c r="AD464" i="19"/>
  <c r="AC464" i="19"/>
  <c r="AB464" i="19"/>
  <c r="AA464" i="19"/>
  <c r="Z464" i="19"/>
  <c r="X464" i="19"/>
  <c r="W464" i="19"/>
  <c r="S464" i="19"/>
  <c r="AE463" i="19"/>
  <c r="AD463" i="19"/>
  <c r="AC463" i="19"/>
  <c r="AB463" i="19"/>
  <c r="AA463" i="19"/>
  <c r="Z463" i="19"/>
  <c r="X463" i="19"/>
  <c r="W463" i="19"/>
  <c r="S463" i="19"/>
  <c r="T463" i="19"/>
  <c r="D463" i="19"/>
  <c r="M463" i="19"/>
  <c r="AF462" i="19"/>
  <c r="AE462" i="19"/>
  <c r="AD462" i="19"/>
  <c r="AC462" i="19"/>
  <c r="AB462" i="19"/>
  <c r="AA462" i="19"/>
  <c r="Z462" i="19"/>
  <c r="Y462" i="19"/>
  <c r="X462" i="19"/>
  <c r="W462" i="19"/>
  <c r="AF461" i="19"/>
  <c r="AE461" i="19"/>
  <c r="AD461" i="19"/>
  <c r="AC461" i="19"/>
  <c r="AB461" i="19"/>
  <c r="Z461" i="19"/>
  <c r="Y461" i="19"/>
  <c r="X461" i="19"/>
  <c r="W461" i="19"/>
  <c r="T461" i="19"/>
  <c r="N461" i="19"/>
  <c r="U461" i="19"/>
  <c r="F461" i="19"/>
  <c r="M461" i="19"/>
  <c r="AF460" i="19"/>
  <c r="AE460" i="19"/>
  <c r="AD460" i="19"/>
  <c r="AC460" i="19"/>
  <c r="AB460" i="19"/>
  <c r="AA460" i="19"/>
  <c r="Z460" i="19"/>
  <c r="Y460" i="19"/>
  <c r="X460" i="19"/>
  <c r="W460" i="19"/>
  <c r="E465" i="19"/>
  <c r="E467" i="19"/>
  <c r="O467" i="19"/>
  <c r="O469" i="19"/>
  <c r="O470" i="19"/>
  <c r="B465" i="19"/>
  <c r="E459" i="19"/>
  <c r="E461" i="19"/>
  <c r="O461" i="19"/>
  <c r="O463" i="19"/>
  <c r="O464" i="19"/>
  <c r="B459" i="19"/>
  <c r="AE443" i="19"/>
  <c r="AD443" i="19"/>
  <c r="AC443" i="19"/>
  <c r="AB443" i="19"/>
  <c r="AA443" i="19"/>
  <c r="Z443" i="19"/>
  <c r="Y443" i="19"/>
  <c r="W443" i="19"/>
  <c r="U443" i="19"/>
  <c r="F443" i="19"/>
  <c r="S443" i="19"/>
  <c r="AE442" i="19"/>
  <c r="AD442" i="19"/>
  <c r="AC442" i="19"/>
  <c r="AB442" i="19"/>
  <c r="AA442" i="19"/>
  <c r="Z442" i="19"/>
  <c r="X442" i="19"/>
  <c r="W442" i="19"/>
  <c r="S442" i="19"/>
  <c r="M442" i="19"/>
  <c r="AF441" i="19"/>
  <c r="AE441" i="19"/>
  <c r="AD441" i="19"/>
  <c r="AC441" i="19"/>
  <c r="AB441" i="19"/>
  <c r="AA441" i="19"/>
  <c r="Z441" i="19"/>
  <c r="Y441" i="19"/>
  <c r="X441" i="19"/>
  <c r="W441" i="19"/>
  <c r="AF440" i="19"/>
  <c r="AE440" i="19"/>
  <c r="AD440" i="19"/>
  <c r="AC440" i="19"/>
  <c r="AB440" i="19"/>
  <c r="Z440" i="19"/>
  <c r="Y440" i="19"/>
  <c r="X440" i="19"/>
  <c r="W440" i="19"/>
  <c r="T440" i="19"/>
  <c r="M440" i="19"/>
  <c r="AF439" i="19"/>
  <c r="AE439" i="19"/>
  <c r="AD439" i="19"/>
  <c r="AC439" i="19"/>
  <c r="AB439" i="19"/>
  <c r="AA439" i="19"/>
  <c r="Z439" i="19"/>
  <c r="Y439" i="19"/>
  <c r="X439" i="19"/>
  <c r="W439" i="19"/>
  <c r="AE437" i="19"/>
  <c r="AD437" i="19"/>
  <c r="AC437" i="19"/>
  <c r="AB437" i="19"/>
  <c r="AA437" i="19"/>
  <c r="Z437" i="19"/>
  <c r="Y437" i="19"/>
  <c r="W437" i="19"/>
  <c r="U437" i="19"/>
  <c r="F437" i="19"/>
  <c r="S437" i="19"/>
  <c r="AE436" i="19"/>
  <c r="AD436" i="19"/>
  <c r="AC436" i="19"/>
  <c r="AB436" i="19"/>
  <c r="AA436" i="19"/>
  <c r="Z436" i="19"/>
  <c r="X436" i="19"/>
  <c r="W436" i="19"/>
  <c r="S436" i="19"/>
  <c r="M436" i="19"/>
  <c r="AF435" i="19"/>
  <c r="AE435" i="19"/>
  <c r="AD435" i="19"/>
  <c r="AC435" i="19"/>
  <c r="AB435" i="19"/>
  <c r="AA435" i="19"/>
  <c r="Z435" i="19"/>
  <c r="Y435" i="19"/>
  <c r="X435" i="19"/>
  <c r="W435" i="19"/>
  <c r="AF434" i="19"/>
  <c r="AE434" i="19"/>
  <c r="AD434" i="19"/>
  <c r="AC434" i="19"/>
  <c r="AB434" i="19"/>
  <c r="Z434" i="19"/>
  <c r="Y434" i="19"/>
  <c r="X434" i="19"/>
  <c r="W434" i="19"/>
  <c r="T434" i="19"/>
  <c r="M434" i="19"/>
  <c r="AF433" i="19"/>
  <c r="AE433" i="19"/>
  <c r="AD433" i="19"/>
  <c r="AC433" i="19"/>
  <c r="AB433" i="19"/>
  <c r="AA433" i="19"/>
  <c r="Z433" i="19"/>
  <c r="Y433" i="19"/>
  <c r="X433" i="19"/>
  <c r="W433" i="19"/>
  <c r="AE431" i="19"/>
  <c r="AD431" i="19"/>
  <c r="AC431" i="19"/>
  <c r="AB431" i="19"/>
  <c r="AA431" i="19"/>
  <c r="Z431" i="19"/>
  <c r="Y431" i="19"/>
  <c r="W431" i="19"/>
  <c r="U431" i="19"/>
  <c r="F431" i="19"/>
  <c r="S431" i="19"/>
  <c r="AE430" i="19"/>
  <c r="AD430" i="19"/>
  <c r="AC430" i="19"/>
  <c r="AB430" i="19"/>
  <c r="AA430" i="19"/>
  <c r="Z430" i="19"/>
  <c r="X430" i="19"/>
  <c r="W430" i="19"/>
  <c r="S430" i="19"/>
  <c r="M430" i="19"/>
  <c r="AF429" i="19"/>
  <c r="AE429" i="19"/>
  <c r="AD429" i="19"/>
  <c r="AC429" i="19"/>
  <c r="AB429" i="19"/>
  <c r="AA429" i="19"/>
  <c r="Z429" i="19"/>
  <c r="Y429" i="19"/>
  <c r="X429" i="19"/>
  <c r="W429" i="19"/>
  <c r="AF428" i="19"/>
  <c r="AE428" i="19"/>
  <c r="AD428" i="19"/>
  <c r="AC428" i="19"/>
  <c r="AB428" i="19"/>
  <c r="Z428" i="19"/>
  <c r="Y428" i="19"/>
  <c r="X428" i="19"/>
  <c r="W428" i="19"/>
  <c r="T428" i="19"/>
  <c r="M428" i="19"/>
  <c r="AF427" i="19"/>
  <c r="AE427" i="19"/>
  <c r="AD427" i="19"/>
  <c r="AC427" i="19"/>
  <c r="AB427" i="19"/>
  <c r="AA427" i="19"/>
  <c r="Z427" i="19"/>
  <c r="Y427" i="19"/>
  <c r="X427" i="19"/>
  <c r="W427" i="19"/>
  <c r="AE425" i="19"/>
  <c r="AD425" i="19"/>
  <c r="AC425" i="19"/>
  <c r="AB425" i="19"/>
  <c r="AA425" i="19"/>
  <c r="Z425" i="19"/>
  <c r="Y425" i="19"/>
  <c r="W425" i="19"/>
  <c r="U425" i="19"/>
  <c r="F425" i="19"/>
  <c r="S425" i="19"/>
  <c r="AE424" i="19"/>
  <c r="AD424" i="19"/>
  <c r="AC424" i="19"/>
  <c r="AB424" i="19"/>
  <c r="AA424" i="19"/>
  <c r="Z424" i="19"/>
  <c r="X424" i="19"/>
  <c r="W424" i="19"/>
  <c r="S424" i="19"/>
  <c r="M424" i="19"/>
  <c r="AF423" i="19"/>
  <c r="AE423" i="19"/>
  <c r="AD423" i="19"/>
  <c r="AC423" i="19"/>
  <c r="AB423" i="19"/>
  <c r="AA423" i="19"/>
  <c r="Z423" i="19"/>
  <c r="Y423" i="19"/>
  <c r="X423" i="19"/>
  <c r="W423" i="19"/>
  <c r="AF422" i="19"/>
  <c r="AE422" i="19"/>
  <c r="AD422" i="19"/>
  <c r="AC422" i="19"/>
  <c r="AB422" i="19"/>
  <c r="Z422" i="19"/>
  <c r="Y422" i="19"/>
  <c r="X422" i="19"/>
  <c r="W422" i="19"/>
  <c r="T422" i="19"/>
  <c r="M422" i="19"/>
  <c r="AF421" i="19"/>
  <c r="AE421" i="19"/>
  <c r="AD421" i="19"/>
  <c r="AC421" i="19"/>
  <c r="AB421" i="19"/>
  <c r="AA421" i="19"/>
  <c r="Z421" i="19"/>
  <c r="Y421" i="19"/>
  <c r="X421" i="19"/>
  <c r="W421" i="19"/>
  <c r="AE419" i="19"/>
  <c r="AD419" i="19"/>
  <c r="AC419" i="19"/>
  <c r="AB419" i="19"/>
  <c r="AA419" i="19"/>
  <c r="Z419" i="19"/>
  <c r="Y419" i="19"/>
  <c r="W419" i="19"/>
  <c r="U419" i="19"/>
  <c r="F419" i="19"/>
  <c r="S419" i="19"/>
  <c r="AE418" i="19"/>
  <c r="AD418" i="19"/>
  <c r="AC418" i="19"/>
  <c r="AB418" i="19"/>
  <c r="AA418" i="19"/>
  <c r="Z418" i="19"/>
  <c r="X418" i="19"/>
  <c r="W418" i="19"/>
  <c r="S418" i="19"/>
  <c r="M418" i="19"/>
  <c r="AF417" i="19"/>
  <c r="AE417" i="19"/>
  <c r="AD417" i="19"/>
  <c r="AC417" i="19"/>
  <c r="AB417" i="19"/>
  <c r="AA417" i="19"/>
  <c r="Z417" i="19"/>
  <c r="Y417" i="19"/>
  <c r="X417" i="19"/>
  <c r="W417" i="19"/>
  <c r="AF416" i="19"/>
  <c r="AE416" i="19"/>
  <c r="AD416" i="19"/>
  <c r="AC416" i="19"/>
  <c r="AB416" i="19"/>
  <c r="Z416" i="19"/>
  <c r="Y416" i="19"/>
  <c r="X416" i="19"/>
  <c r="W416" i="19"/>
  <c r="T416" i="19"/>
  <c r="M416" i="19"/>
  <c r="AF415" i="19"/>
  <c r="AE415" i="19"/>
  <c r="AD415" i="19"/>
  <c r="AC415" i="19"/>
  <c r="AB415" i="19"/>
  <c r="AA415" i="19"/>
  <c r="Z415" i="19"/>
  <c r="Y415" i="19"/>
  <c r="X415" i="19"/>
  <c r="W415" i="19"/>
  <c r="H426" i="19"/>
  <c r="N428" i="19"/>
  <c r="U428" i="19"/>
  <c r="F428" i="19"/>
  <c r="H432" i="19"/>
  <c r="N434" i="19"/>
  <c r="H438" i="19"/>
  <c r="N440" i="19"/>
  <c r="H420" i="19"/>
  <c r="N422" i="19"/>
  <c r="H414" i="19"/>
  <c r="N416" i="19"/>
  <c r="H408" i="19"/>
  <c r="N410" i="19"/>
  <c r="B438" i="19"/>
  <c r="B432" i="19"/>
  <c r="B426" i="19"/>
  <c r="B420" i="19"/>
  <c r="E414" i="19"/>
  <c r="E416" i="19"/>
  <c r="E418" i="19"/>
  <c r="E419" i="19"/>
  <c r="B414" i="19"/>
  <c r="E408" i="19"/>
  <c r="E410" i="19"/>
  <c r="B408" i="19"/>
  <c r="E290" i="19"/>
  <c r="J290" i="19"/>
  <c r="E289" i="19"/>
  <c r="J289" i="19"/>
  <c r="B291" i="19"/>
  <c r="B290" i="19"/>
  <c r="B289" i="19"/>
  <c r="B286" i="19"/>
  <c r="B285" i="19"/>
  <c r="B284" i="19"/>
  <c r="B283" i="19"/>
  <c r="B282" i="19"/>
  <c r="B281" i="19"/>
  <c r="AF403" i="19"/>
  <c r="AE403" i="19"/>
  <c r="AD403" i="19"/>
  <c r="AC403" i="19"/>
  <c r="AB403" i="19"/>
  <c r="Z403" i="19"/>
  <c r="Y403" i="19"/>
  <c r="X403" i="19"/>
  <c r="W403" i="19"/>
  <c r="S403" i="19"/>
  <c r="AE402" i="19"/>
  <c r="AD402" i="19"/>
  <c r="AC402" i="19"/>
  <c r="AB402" i="19"/>
  <c r="Z402" i="19"/>
  <c r="Y402" i="19"/>
  <c r="X402" i="19"/>
  <c r="W402" i="19"/>
  <c r="S402" i="19"/>
  <c r="N402" i="19"/>
  <c r="AE401" i="19"/>
  <c r="AD401" i="19"/>
  <c r="AC401" i="19"/>
  <c r="AB401" i="19"/>
  <c r="AA401" i="19"/>
  <c r="Z401" i="19"/>
  <c r="Y401" i="19"/>
  <c r="X401" i="19"/>
  <c r="W401" i="19"/>
  <c r="AF399" i="19"/>
  <c r="AE399" i="19"/>
  <c r="AD399" i="19"/>
  <c r="AC399" i="19"/>
  <c r="AB399" i="19"/>
  <c r="Z399" i="19"/>
  <c r="Y399" i="19"/>
  <c r="X399" i="19"/>
  <c r="W399" i="19"/>
  <c r="S399" i="19"/>
  <c r="AE398" i="19"/>
  <c r="AD398" i="19"/>
  <c r="AC398" i="19"/>
  <c r="AB398" i="19"/>
  <c r="Z398" i="19"/>
  <c r="Y398" i="19"/>
  <c r="X398" i="19"/>
  <c r="W398" i="19"/>
  <c r="S398" i="19"/>
  <c r="N398" i="19"/>
  <c r="AE397" i="19"/>
  <c r="AD397" i="19"/>
  <c r="AC397" i="19"/>
  <c r="AB397" i="19"/>
  <c r="AA397" i="19"/>
  <c r="Z397" i="19"/>
  <c r="Y397" i="19"/>
  <c r="X397" i="19"/>
  <c r="W397" i="19"/>
  <c r="AF395" i="19"/>
  <c r="AE395" i="19"/>
  <c r="AD395" i="19"/>
  <c r="AC395" i="19"/>
  <c r="AB395" i="19"/>
  <c r="Z395" i="19"/>
  <c r="Y395" i="19"/>
  <c r="X395" i="19"/>
  <c r="W395" i="19"/>
  <c r="S395" i="19"/>
  <c r="AE394" i="19"/>
  <c r="AD394" i="19"/>
  <c r="AC394" i="19"/>
  <c r="AB394" i="19"/>
  <c r="Z394" i="19"/>
  <c r="Y394" i="19"/>
  <c r="X394" i="19"/>
  <c r="W394" i="19"/>
  <c r="S394" i="19"/>
  <c r="N394" i="19"/>
  <c r="AE393" i="19"/>
  <c r="AD393" i="19"/>
  <c r="AC393" i="19"/>
  <c r="AB393" i="19"/>
  <c r="AA393" i="19"/>
  <c r="Z393" i="19"/>
  <c r="Y393" i="19"/>
  <c r="X393" i="19"/>
  <c r="W393" i="19"/>
  <c r="S391" i="19"/>
  <c r="S390" i="19"/>
  <c r="AF391" i="19"/>
  <c r="AE391" i="19"/>
  <c r="AD391" i="19"/>
  <c r="AC391" i="19"/>
  <c r="AB391" i="19"/>
  <c r="Z391" i="19"/>
  <c r="Y391" i="19"/>
  <c r="X391" i="19"/>
  <c r="W391" i="19"/>
  <c r="F381" i="19"/>
  <c r="J381" i="19"/>
  <c r="F380" i="19"/>
  <c r="J380" i="19"/>
  <c r="F379" i="19"/>
  <c r="J379" i="19"/>
  <c r="F378" i="19"/>
  <c r="J378" i="19"/>
  <c r="F377" i="19"/>
  <c r="J377" i="19"/>
  <c r="F376" i="19"/>
  <c r="J376" i="19"/>
  <c r="F375" i="19"/>
  <c r="J375" i="19"/>
  <c r="AE374" i="19"/>
  <c r="AD374" i="19"/>
  <c r="AC374" i="19"/>
  <c r="AB374" i="19"/>
  <c r="AA374" i="19"/>
  <c r="Z374" i="19"/>
  <c r="Y374" i="19"/>
  <c r="X374" i="19"/>
  <c r="W374" i="19"/>
  <c r="O374" i="19"/>
  <c r="M374" i="19"/>
  <c r="N374" i="19"/>
  <c r="I365" i="19"/>
  <c r="H355" i="19"/>
  <c r="G355" i="19"/>
  <c r="G356" i="19"/>
  <c r="G357" i="19"/>
  <c r="G358" i="19"/>
  <c r="G359" i="19"/>
  <c r="G360" i="19"/>
  <c r="G361" i="19"/>
  <c r="G362" i="19"/>
  <c r="F361" i="19"/>
  <c r="F1011" i="19"/>
  <c r="J1011" i="19"/>
  <c r="AE356" i="19"/>
  <c r="AD356" i="19"/>
  <c r="AC356" i="19"/>
  <c r="AB356" i="19"/>
  <c r="AA356" i="19"/>
  <c r="Z356" i="19"/>
  <c r="Y356" i="19"/>
  <c r="X356" i="19"/>
  <c r="W356" i="19"/>
  <c r="AE354" i="19"/>
  <c r="AD354" i="19"/>
  <c r="AC354" i="19"/>
  <c r="AB354" i="19"/>
  <c r="AA354" i="19"/>
  <c r="Z354" i="19"/>
  <c r="Y354" i="19"/>
  <c r="X354" i="19"/>
  <c r="W354" i="19"/>
  <c r="J354" i="19"/>
  <c r="AE353" i="19"/>
  <c r="AD353" i="19"/>
  <c r="AC353" i="19"/>
  <c r="AB353" i="19"/>
  <c r="AA353" i="19"/>
  <c r="Z353" i="19"/>
  <c r="Y353" i="19"/>
  <c r="X353" i="19"/>
  <c r="W353" i="19"/>
  <c r="O353" i="19"/>
  <c r="M353" i="19"/>
  <c r="N353" i="19"/>
  <c r="AE350" i="19"/>
  <c r="AD350" i="19"/>
  <c r="AC350" i="19"/>
  <c r="AB350" i="19"/>
  <c r="AA350" i="19"/>
  <c r="Z350" i="19"/>
  <c r="Y350" i="19"/>
  <c r="X350" i="19"/>
  <c r="W350" i="19"/>
  <c r="F350" i="19"/>
  <c r="AE349" i="19"/>
  <c r="AD349" i="19"/>
  <c r="AC349" i="19"/>
  <c r="AB349" i="19"/>
  <c r="AA349" i="19"/>
  <c r="Z349" i="19"/>
  <c r="Y349" i="19"/>
  <c r="X349" i="19"/>
  <c r="W349" i="19"/>
  <c r="J349" i="19"/>
  <c r="AE347" i="19"/>
  <c r="AD347" i="19"/>
  <c r="AC347" i="19"/>
  <c r="AB347" i="19"/>
  <c r="AA347" i="19"/>
  <c r="Z347" i="19"/>
  <c r="Y347" i="19"/>
  <c r="X347" i="19"/>
  <c r="W347" i="19"/>
  <c r="J347" i="19"/>
  <c r="AE346" i="19"/>
  <c r="AD346" i="19"/>
  <c r="AC346" i="19"/>
  <c r="AB346" i="19"/>
  <c r="AA346" i="19"/>
  <c r="Z346" i="19"/>
  <c r="Y346" i="19"/>
  <c r="X346" i="19"/>
  <c r="W346" i="19"/>
  <c r="AE345" i="19"/>
  <c r="AD345" i="19"/>
  <c r="AC345" i="19"/>
  <c r="AB345" i="19"/>
  <c r="AA345" i="19"/>
  <c r="Z345" i="19"/>
  <c r="Y345" i="19"/>
  <c r="X345" i="19"/>
  <c r="W345" i="19"/>
  <c r="AE344" i="19"/>
  <c r="AD344" i="19"/>
  <c r="AC344" i="19"/>
  <c r="AB344" i="19"/>
  <c r="AA344" i="19"/>
  <c r="Z344" i="19"/>
  <c r="Y344" i="19"/>
  <c r="X344" i="19"/>
  <c r="W344" i="19"/>
  <c r="I351" i="19"/>
  <c r="W351" i="19"/>
  <c r="X351" i="19"/>
  <c r="Y351" i="19"/>
  <c r="Z351" i="19"/>
  <c r="AA351" i="19"/>
  <c r="AB351" i="19"/>
  <c r="AC351" i="19"/>
  <c r="AD351" i="19"/>
  <c r="AE351" i="19"/>
  <c r="H334" i="19"/>
  <c r="H335" i="19"/>
  <c r="H336" i="19"/>
  <c r="H337" i="19"/>
  <c r="G334" i="19"/>
  <c r="H331" i="19"/>
  <c r="G331" i="19"/>
  <c r="G327" i="19"/>
  <c r="F341" i="19"/>
  <c r="F340" i="19"/>
  <c r="F339" i="19"/>
  <c r="F338" i="19"/>
  <c r="F337" i="19"/>
  <c r="F336" i="19"/>
  <c r="AE335" i="19"/>
  <c r="AD335" i="19"/>
  <c r="AC335" i="19"/>
  <c r="AB335" i="19"/>
  <c r="AA335" i="19"/>
  <c r="Z335" i="19"/>
  <c r="Y335" i="19"/>
  <c r="X335" i="19"/>
  <c r="W335" i="19"/>
  <c r="F335" i="19"/>
  <c r="AE334" i="19"/>
  <c r="AD334" i="19"/>
  <c r="AC334" i="19"/>
  <c r="AB334" i="19"/>
  <c r="AA334" i="19"/>
  <c r="Z334" i="19"/>
  <c r="Y334" i="19"/>
  <c r="X334" i="19"/>
  <c r="W334" i="19"/>
  <c r="F334" i="19"/>
  <c r="AF333" i="19"/>
  <c r="AE333" i="19"/>
  <c r="AD333" i="19"/>
  <c r="AC333" i="19"/>
  <c r="AB333" i="19"/>
  <c r="AA333" i="19"/>
  <c r="Z333" i="19"/>
  <c r="Y333" i="19"/>
  <c r="X333" i="19"/>
  <c r="W333" i="19"/>
  <c r="AE332" i="19"/>
  <c r="AD332" i="19"/>
  <c r="AC332" i="19"/>
  <c r="AB332" i="19"/>
  <c r="AA332" i="19"/>
  <c r="Z332" i="19"/>
  <c r="Y332" i="19"/>
  <c r="X332" i="19"/>
  <c r="W332" i="19"/>
  <c r="AE330" i="19"/>
  <c r="AD330" i="19"/>
  <c r="AC330" i="19"/>
  <c r="AB330" i="19"/>
  <c r="AA330" i="19"/>
  <c r="Z330" i="19"/>
  <c r="Y330" i="19"/>
  <c r="X330" i="19"/>
  <c r="W330" i="19"/>
  <c r="J330" i="19"/>
  <c r="AE329" i="19"/>
  <c r="AD329" i="19"/>
  <c r="AC329" i="19"/>
  <c r="AB329" i="19"/>
  <c r="AA329" i="19"/>
  <c r="Z329" i="19"/>
  <c r="Y329" i="19"/>
  <c r="X329" i="19"/>
  <c r="W329" i="19"/>
  <c r="AE328" i="19"/>
  <c r="AD328" i="19"/>
  <c r="AC328" i="19"/>
  <c r="AB328" i="19"/>
  <c r="AA328" i="19"/>
  <c r="Z328" i="19"/>
  <c r="Y328" i="19"/>
  <c r="X328" i="19"/>
  <c r="W328" i="19"/>
  <c r="AE327" i="19"/>
  <c r="AD327" i="19"/>
  <c r="AC327" i="19"/>
  <c r="AB327" i="19"/>
  <c r="AA327" i="19"/>
  <c r="Z327" i="19"/>
  <c r="Y327" i="19"/>
  <c r="X327" i="19"/>
  <c r="W327" i="19"/>
  <c r="F327" i="19"/>
  <c r="AF326" i="19"/>
  <c r="AE326" i="19"/>
  <c r="AD326" i="19"/>
  <c r="AC326" i="19"/>
  <c r="AB326" i="19"/>
  <c r="AA326" i="19"/>
  <c r="Z326" i="19"/>
  <c r="Y326" i="19"/>
  <c r="X326" i="19"/>
  <c r="W326" i="19"/>
  <c r="H327" i="19"/>
  <c r="J327" i="19"/>
  <c r="F326" i="19"/>
  <c r="J326" i="19"/>
  <c r="AE325" i="19"/>
  <c r="AD325" i="19"/>
  <c r="AC325" i="19"/>
  <c r="AB325" i="19"/>
  <c r="AA325" i="19"/>
  <c r="Z325" i="19"/>
  <c r="Y325" i="19"/>
  <c r="X325" i="19"/>
  <c r="W325" i="19"/>
  <c r="AE324" i="19"/>
  <c r="AD324" i="19"/>
  <c r="AC324" i="19"/>
  <c r="AB324" i="19"/>
  <c r="AA324" i="19"/>
  <c r="Z324" i="19"/>
  <c r="Y324" i="19"/>
  <c r="X324" i="19"/>
  <c r="W324" i="19"/>
  <c r="AE323" i="19"/>
  <c r="AD323" i="19"/>
  <c r="AC323" i="19"/>
  <c r="AB323" i="19"/>
  <c r="AA323" i="19"/>
  <c r="Z323" i="19"/>
  <c r="Y323" i="19"/>
  <c r="X323" i="19"/>
  <c r="W323" i="19"/>
  <c r="G315" i="19"/>
  <c r="G309" i="19"/>
  <c r="G310" i="19"/>
  <c r="G311" i="19"/>
  <c r="G312" i="19"/>
  <c r="G304" i="19"/>
  <c r="G305" i="19"/>
  <c r="G306" i="19"/>
  <c r="G296" i="19"/>
  <c r="G297" i="19"/>
  <c r="AE321" i="19"/>
  <c r="AD321" i="19"/>
  <c r="AC321" i="19"/>
  <c r="AB321" i="19"/>
  <c r="AA321" i="19"/>
  <c r="Z321" i="19"/>
  <c r="Y321" i="19"/>
  <c r="X321" i="19"/>
  <c r="W321" i="19"/>
  <c r="F321" i="19"/>
  <c r="J321" i="19"/>
  <c r="AE320" i="19"/>
  <c r="AD320" i="19"/>
  <c r="AC320" i="19"/>
  <c r="AB320" i="19"/>
  <c r="AA320" i="19"/>
  <c r="Z320" i="19"/>
  <c r="Y320" i="19"/>
  <c r="X320" i="19"/>
  <c r="W320" i="19"/>
  <c r="AE319" i="19"/>
  <c r="AD319" i="19"/>
  <c r="AC319" i="19"/>
  <c r="AB319" i="19"/>
  <c r="AA319" i="19"/>
  <c r="Z319" i="19"/>
  <c r="Y319" i="19"/>
  <c r="X319" i="19"/>
  <c r="W319" i="19"/>
  <c r="F319" i="19"/>
  <c r="J319" i="19"/>
  <c r="AE318" i="19"/>
  <c r="AD318" i="19"/>
  <c r="AC318" i="19"/>
  <c r="AB318" i="19"/>
  <c r="AA318" i="19"/>
  <c r="Z318" i="19"/>
  <c r="Y318" i="19"/>
  <c r="X318" i="19"/>
  <c r="W318" i="19"/>
  <c r="AF317" i="19"/>
  <c r="AE317" i="19"/>
  <c r="AD317" i="19"/>
  <c r="AC317" i="19"/>
  <c r="AB317" i="19"/>
  <c r="AA317" i="19"/>
  <c r="Z317" i="19"/>
  <c r="Y317" i="19"/>
  <c r="X317" i="19"/>
  <c r="W317" i="19"/>
  <c r="F317" i="19"/>
  <c r="J317" i="19"/>
  <c r="AE316" i="19"/>
  <c r="AD316" i="19"/>
  <c r="AC316" i="19"/>
  <c r="AB316" i="19"/>
  <c r="AA316" i="19"/>
  <c r="Z316" i="19"/>
  <c r="Y316" i="19"/>
  <c r="X316" i="19"/>
  <c r="W316" i="19"/>
  <c r="F315" i="19"/>
  <c r="AF314" i="19"/>
  <c r="AE314" i="19"/>
  <c r="AD314" i="19"/>
  <c r="AC314" i="19"/>
  <c r="AB314" i="19"/>
  <c r="AA314" i="19"/>
  <c r="Z314" i="19"/>
  <c r="Y314" i="19"/>
  <c r="X314" i="19"/>
  <c r="W314" i="19"/>
  <c r="F314" i="19"/>
  <c r="J314" i="19"/>
  <c r="AE313" i="19"/>
  <c r="AD313" i="19"/>
  <c r="AC313" i="19"/>
  <c r="AB313" i="19"/>
  <c r="AA313" i="19"/>
  <c r="Z313" i="19"/>
  <c r="Y313" i="19"/>
  <c r="X313" i="19"/>
  <c r="W313" i="19"/>
  <c r="AF312" i="19"/>
  <c r="AE312" i="19"/>
  <c r="AD312" i="19"/>
  <c r="AC312" i="19"/>
  <c r="AB312" i="19"/>
  <c r="AA312" i="19"/>
  <c r="Z312" i="19"/>
  <c r="Y312" i="19"/>
  <c r="X312" i="19"/>
  <c r="W312" i="19"/>
  <c r="F312" i="19"/>
  <c r="AF311" i="19"/>
  <c r="AE311" i="19"/>
  <c r="AD311" i="19"/>
  <c r="AC311" i="19"/>
  <c r="AB311" i="19"/>
  <c r="AA311" i="19"/>
  <c r="Z311" i="19"/>
  <c r="Y311" i="19"/>
  <c r="X311" i="19"/>
  <c r="W311" i="19"/>
  <c r="F311" i="19"/>
  <c r="AF310" i="19"/>
  <c r="AE310" i="19"/>
  <c r="AD310" i="19"/>
  <c r="AC310" i="19"/>
  <c r="AB310" i="19"/>
  <c r="AA310" i="19"/>
  <c r="Z310" i="19"/>
  <c r="Y310" i="19"/>
  <c r="X310" i="19"/>
  <c r="W310" i="19"/>
  <c r="F310" i="19"/>
  <c r="AE309" i="19"/>
  <c r="AD309" i="19"/>
  <c r="AC309" i="19"/>
  <c r="AB309" i="19"/>
  <c r="AA309" i="19"/>
  <c r="Z309" i="19"/>
  <c r="Y309" i="19"/>
  <c r="X309" i="19"/>
  <c r="W309" i="19"/>
  <c r="H309" i="19"/>
  <c r="H310" i="19"/>
  <c r="F309" i="19"/>
  <c r="AE308" i="19"/>
  <c r="AD308" i="19"/>
  <c r="AC308" i="19"/>
  <c r="AB308" i="19"/>
  <c r="AA308" i="19"/>
  <c r="Z308" i="19"/>
  <c r="Y308" i="19"/>
  <c r="X308" i="19"/>
  <c r="W308" i="19"/>
  <c r="F308" i="19"/>
  <c r="J308" i="19"/>
  <c r="AE307" i="19"/>
  <c r="AD307" i="19"/>
  <c r="AC307" i="19"/>
  <c r="AB307" i="19"/>
  <c r="AA307" i="19"/>
  <c r="Z307" i="19"/>
  <c r="Y307" i="19"/>
  <c r="X307" i="19"/>
  <c r="W307" i="19"/>
  <c r="AE306" i="19"/>
  <c r="AD306" i="19"/>
  <c r="AC306" i="19"/>
  <c r="AB306" i="19"/>
  <c r="AA306" i="19"/>
  <c r="Z306" i="19"/>
  <c r="Y306" i="19"/>
  <c r="X306" i="19"/>
  <c r="W306" i="19"/>
  <c r="F306" i="19"/>
  <c r="AE305" i="19"/>
  <c r="AD305" i="19"/>
  <c r="AC305" i="19"/>
  <c r="AB305" i="19"/>
  <c r="AA305" i="19"/>
  <c r="Z305" i="19"/>
  <c r="Y305" i="19"/>
  <c r="X305" i="19"/>
  <c r="W305" i="19"/>
  <c r="F305" i="19"/>
  <c r="AF304" i="19"/>
  <c r="AE304" i="19"/>
  <c r="AD304" i="19"/>
  <c r="AC304" i="19"/>
  <c r="AB304" i="19"/>
  <c r="AA304" i="19"/>
  <c r="Z304" i="19"/>
  <c r="Y304" i="19"/>
  <c r="X304" i="19"/>
  <c r="W304" i="19"/>
  <c r="H304" i="19"/>
  <c r="H305" i="19"/>
  <c r="F304" i="19"/>
  <c r="J304" i="19"/>
  <c r="AF303" i="19"/>
  <c r="AE303" i="19"/>
  <c r="AD303" i="19"/>
  <c r="AC303" i="19"/>
  <c r="AB303" i="19"/>
  <c r="AA303" i="19"/>
  <c r="Z303" i="19"/>
  <c r="Y303" i="19"/>
  <c r="X303" i="19"/>
  <c r="W303" i="19"/>
  <c r="F303" i="19"/>
  <c r="J303" i="19"/>
  <c r="AE302" i="19"/>
  <c r="AD302" i="19"/>
  <c r="AC302" i="19"/>
  <c r="AB302" i="19"/>
  <c r="AA302" i="19"/>
  <c r="Z302" i="19"/>
  <c r="Y302" i="19"/>
  <c r="X302" i="19"/>
  <c r="W302" i="19"/>
  <c r="F301" i="19"/>
  <c r="F300" i="19"/>
  <c r="F299" i="19"/>
  <c r="F298" i="19"/>
  <c r="AE297" i="19"/>
  <c r="AD297" i="19"/>
  <c r="AC297" i="19"/>
  <c r="AB297" i="19"/>
  <c r="AA297" i="19"/>
  <c r="Z297" i="19"/>
  <c r="Y297" i="19"/>
  <c r="X297" i="19"/>
  <c r="W297" i="19"/>
  <c r="F297" i="19"/>
  <c r="AE296" i="19"/>
  <c r="AD296" i="19"/>
  <c r="AC296" i="19"/>
  <c r="AB296" i="19"/>
  <c r="AA296" i="19"/>
  <c r="Z296" i="19"/>
  <c r="Y296" i="19"/>
  <c r="X296" i="19"/>
  <c r="W296" i="19"/>
  <c r="H296" i="19"/>
  <c r="H297" i="19"/>
  <c r="H298" i="19"/>
  <c r="H299" i="19"/>
  <c r="H300" i="19"/>
  <c r="F296" i="19"/>
  <c r="AE295" i="19"/>
  <c r="AD295" i="19"/>
  <c r="AC295" i="19"/>
  <c r="AB295" i="19"/>
  <c r="AA295" i="19"/>
  <c r="Z295" i="19"/>
  <c r="Y295" i="19"/>
  <c r="X295" i="19"/>
  <c r="W295" i="19"/>
  <c r="J295" i="19"/>
  <c r="AE294" i="19"/>
  <c r="AD294" i="19"/>
  <c r="AC294" i="19"/>
  <c r="AB294" i="19"/>
  <c r="AA294" i="19"/>
  <c r="Z294" i="19"/>
  <c r="Y294" i="19"/>
  <c r="X294" i="19"/>
  <c r="W294" i="19"/>
  <c r="AE293" i="19"/>
  <c r="AD293" i="19"/>
  <c r="AC293" i="19"/>
  <c r="AB293" i="19"/>
  <c r="AA293" i="19"/>
  <c r="Z293" i="19"/>
  <c r="Y293" i="19"/>
  <c r="X293" i="19"/>
  <c r="W293" i="19"/>
  <c r="H286" i="19"/>
  <c r="H285" i="19"/>
  <c r="H284" i="19"/>
  <c r="H283" i="19"/>
  <c r="H282" i="19"/>
  <c r="H281" i="19"/>
  <c r="J281" i="19"/>
  <c r="E282" i="19"/>
  <c r="J282" i="19"/>
  <c r="E281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54" i="19"/>
  <c r="B266" i="19"/>
  <c r="B267" i="19"/>
  <c r="B268" i="19"/>
  <c r="H252" i="19"/>
  <c r="H251" i="19"/>
  <c r="H250" i="19"/>
  <c r="H249" i="19"/>
  <c r="H248" i="19"/>
  <c r="I248" i="19"/>
  <c r="H247" i="19"/>
  <c r="B250" i="19"/>
  <c r="B251" i="19"/>
  <c r="B252" i="19"/>
  <c r="J234" i="19"/>
  <c r="G233" i="19"/>
  <c r="F233" i="19"/>
  <c r="J233" i="19"/>
  <c r="AE220" i="19"/>
  <c r="AD220" i="19"/>
  <c r="AC220" i="19"/>
  <c r="AB220" i="19"/>
  <c r="AA220" i="19"/>
  <c r="Z220" i="19"/>
  <c r="Y220" i="19"/>
  <c r="X220" i="19"/>
  <c r="W220" i="19"/>
  <c r="O220" i="19"/>
  <c r="M220" i="19"/>
  <c r="N220" i="19"/>
  <c r="J220" i="19"/>
  <c r="AE219" i="19"/>
  <c r="AD219" i="19"/>
  <c r="AC219" i="19"/>
  <c r="AB219" i="19"/>
  <c r="AA219" i="19"/>
  <c r="Z219" i="19"/>
  <c r="Y219" i="19"/>
  <c r="X219" i="19"/>
  <c r="W219" i="19"/>
  <c r="F174" i="19"/>
  <c r="J174" i="19"/>
  <c r="F175" i="19"/>
  <c r="J175" i="19"/>
  <c r="F173" i="19"/>
  <c r="J173" i="19"/>
  <c r="F172" i="19"/>
  <c r="J172" i="19"/>
  <c r="F171" i="19"/>
  <c r="J171" i="19"/>
  <c r="F170" i="19"/>
  <c r="J170" i="19"/>
  <c r="F169" i="19"/>
  <c r="J169" i="19"/>
  <c r="F160" i="19"/>
  <c r="J160" i="19"/>
  <c r="J153" i="19"/>
  <c r="F148" i="19"/>
  <c r="J148" i="19"/>
  <c r="AE142" i="19"/>
  <c r="AD142" i="19"/>
  <c r="AC142" i="19"/>
  <c r="AB142" i="19"/>
  <c r="AA142" i="19"/>
  <c r="Z142" i="19"/>
  <c r="Y142" i="19"/>
  <c r="X142" i="19"/>
  <c r="W142" i="19"/>
  <c r="F138" i="19"/>
  <c r="F137" i="19"/>
  <c r="F136" i="19"/>
  <c r="F135" i="19"/>
  <c r="F134" i="19"/>
  <c r="F133" i="19"/>
  <c r="F132" i="19"/>
  <c r="F131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F88" i="19"/>
  <c r="J88" i="19"/>
  <c r="F124" i="19"/>
  <c r="F123" i="19"/>
  <c r="H123" i="19"/>
  <c r="F118" i="19"/>
  <c r="J118" i="19"/>
  <c r="F116" i="19"/>
  <c r="J116" i="19"/>
  <c r="AF114" i="19"/>
  <c r="AE114" i="19"/>
  <c r="AD114" i="19"/>
  <c r="AC114" i="19"/>
  <c r="AB114" i="19"/>
  <c r="AA114" i="19"/>
  <c r="Z114" i="19"/>
  <c r="Y114" i="19"/>
  <c r="X114" i="19"/>
  <c r="W114" i="19"/>
  <c r="F114" i="19"/>
  <c r="J114" i="19"/>
  <c r="AE113" i="19"/>
  <c r="AD113" i="19"/>
  <c r="AC113" i="19"/>
  <c r="AB113" i="19"/>
  <c r="AA113" i="19"/>
  <c r="Z113" i="19"/>
  <c r="Y113" i="19"/>
  <c r="X113" i="19"/>
  <c r="W113" i="19"/>
  <c r="F112" i="19"/>
  <c r="J112" i="19"/>
  <c r="F111" i="19"/>
  <c r="J111" i="19"/>
  <c r="F109" i="19"/>
  <c r="AF109" i="19"/>
  <c r="AE109" i="19"/>
  <c r="AD109" i="19"/>
  <c r="AC109" i="19"/>
  <c r="AB109" i="19"/>
  <c r="AA109" i="19"/>
  <c r="Z109" i="19"/>
  <c r="Y109" i="19"/>
  <c r="X109" i="19"/>
  <c r="W109" i="19"/>
  <c r="F108" i="19"/>
  <c r="AF108" i="19"/>
  <c r="AE108" i="19"/>
  <c r="AD108" i="19"/>
  <c r="AC108" i="19"/>
  <c r="AB108" i="19"/>
  <c r="AA108" i="19"/>
  <c r="Z108" i="19"/>
  <c r="Y108" i="19"/>
  <c r="X108" i="19"/>
  <c r="W108" i="19"/>
  <c r="F107" i="19"/>
  <c r="F106" i="19"/>
  <c r="F105" i="19"/>
  <c r="J105" i="19"/>
  <c r="F103" i="19"/>
  <c r="F102" i="19"/>
  <c r="F101" i="19"/>
  <c r="F100" i="19"/>
  <c r="J100" i="19"/>
  <c r="F98" i="19"/>
  <c r="F97" i="19"/>
  <c r="F96" i="19"/>
  <c r="F95" i="19"/>
  <c r="F94" i="19"/>
  <c r="F93" i="19"/>
  <c r="AE213" i="19"/>
  <c r="AD213" i="19"/>
  <c r="AC213" i="19"/>
  <c r="AB213" i="19"/>
  <c r="AA213" i="19"/>
  <c r="Z213" i="19"/>
  <c r="Y213" i="19"/>
  <c r="X213" i="19"/>
  <c r="W213" i="19"/>
  <c r="M213" i="19"/>
  <c r="I213" i="19"/>
  <c r="F212" i="19"/>
  <c r="F210" i="19"/>
  <c r="AE209" i="19"/>
  <c r="AD209" i="19"/>
  <c r="AC209" i="19"/>
  <c r="AB209" i="19"/>
  <c r="AA209" i="19"/>
  <c r="Z209" i="19"/>
  <c r="Y209" i="19"/>
  <c r="X209" i="19"/>
  <c r="W209" i="19"/>
  <c r="AE208" i="19"/>
  <c r="AD208" i="19"/>
  <c r="AC208" i="19"/>
  <c r="AB208" i="19"/>
  <c r="AA208" i="19"/>
  <c r="Z208" i="19"/>
  <c r="Y208" i="19"/>
  <c r="X208" i="19"/>
  <c r="W208" i="19"/>
  <c r="F208" i="19"/>
  <c r="AE207" i="19"/>
  <c r="AD207" i="19"/>
  <c r="AC207" i="19"/>
  <c r="AB207" i="19"/>
  <c r="AA207" i="19"/>
  <c r="Z207" i="19"/>
  <c r="Y207" i="19"/>
  <c r="X207" i="19"/>
  <c r="W207" i="19"/>
  <c r="AE206" i="19"/>
  <c r="AD206" i="19"/>
  <c r="AC206" i="19"/>
  <c r="AB206" i="19"/>
  <c r="AA206" i="19"/>
  <c r="Z206" i="19"/>
  <c r="Y206" i="19"/>
  <c r="X206" i="19"/>
  <c r="W206" i="19"/>
  <c r="AE205" i="19"/>
  <c r="AD205" i="19"/>
  <c r="AC205" i="19"/>
  <c r="AB205" i="19"/>
  <c r="AA205" i="19"/>
  <c r="Z205" i="19"/>
  <c r="Y205" i="19"/>
  <c r="X205" i="19"/>
  <c r="W205" i="19"/>
  <c r="F205" i="19"/>
  <c r="AE204" i="19"/>
  <c r="AD204" i="19"/>
  <c r="AC204" i="19"/>
  <c r="AB204" i="19"/>
  <c r="AA204" i="19"/>
  <c r="Z204" i="19"/>
  <c r="Y204" i="19"/>
  <c r="X204" i="19"/>
  <c r="W204" i="19"/>
  <c r="F204" i="19"/>
  <c r="AE203" i="19"/>
  <c r="AD203" i="19"/>
  <c r="AC203" i="19"/>
  <c r="AB203" i="19"/>
  <c r="AA203" i="19"/>
  <c r="Z203" i="19"/>
  <c r="Y203" i="19"/>
  <c r="X203" i="19"/>
  <c r="W203" i="19"/>
  <c r="F203" i="19"/>
  <c r="AE202" i="19"/>
  <c r="AD202" i="19"/>
  <c r="AC202" i="19"/>
  <c r="AB202" i="19"/>
  <c r="AA202" i="19"/>
  <c r="Z202" i="19"/>
  <c r="Y202" i="19"/>
  <c r="X202" i="19"/>
  <c r="W202" i="19"/>
  <c r="F202" i="19"/>
  <c r="AE201" i="19"/>
  <c r="AD201" i="19"/>
  <c r="AC201" i="19"/>
  <c r="AB201" i="19"/>
  <c r="AA201" i="19"/>
  <c r="Z201" i="19"/>
  <c r="Y201" i="19"/>
  <c r="X201" i="19"/>
  <c r="W201" i="19"/>
  <c r="AE200" i="19"/>
  <c r="AD200" i="19"/>
  <c r="AC200" i="19"/>
  <c r="AB200" i="19"/>
  <c r="AA200" i="19"/>
  <c r="Z200" i="19"/>
  <c r="Y200" i="19"/>
  <c r="X200" i="19"/>
  <c r="W200" i="19"/>
  <c r="N200" i="19"/>
  <c r="N202" i="19"/>
  <c r="F200" i="19"/>
  <c r="AE199" i="19"/>
  <c r="AD199" i="19"/>
  <c r="AC199" i="19"/>
  <c r="AB199" i="19"/>
  <c r="AA199" i="19"/>
  <c r="Z199" i="19"/>
  <c r="Y199" i="19"/>
  <c r="X199" i="19"/>
  <c r="W199" i="19"/>
  <c r="H199" i="19"/>
  <c r="H200" i="19"/>
  <c r="H201" i="19"/>
  <c r="H202" i="19"/>
  <c r="H203" i="19"/>
  <c r="F199" i="19"/>
  <c r="AF198" i="19"/>
  <c r="AE198" i="19"/>
  <c r="AD198" i="19"/>
  <c r="AC198" i="19"/>
  <c r="AB198" i="19"/>
  <c r="AA198" i="19"/>
  <c r="Z198" i="19"/>
  <c r="Y198" i="19"/>
  <c r="X198" i="19"/>
  <c r="W198" i="19"/>
  <c r="F198" i="19"/>
  <c r="AE197" i="19"/>
  <c r="AD197" i="19"/>
  <c r="AC197" i="19"/>
  <c r="AB197" i="19"/>
  <c r="AA197" i="19"/>
  <c r="Z197" i="19"/>
  <c r="Y197" i="19"/>
  <c r="X197" i="19"/>
  <c r="W197" i="19"/>
  <c r="H83" i="19"/>
  <c r="H82" i="19"/>
  <c r="H81" i="19"/>
  <c r="H80" i="19"/>
  <c r="F81" i="19"/>
  <c r="F82" i="19"/>
  <c r="F83" i="19"/>
  <c r="F80" i="19"/>
  <c r="H79" i="19"/>
  <c r="H78" i="19"/>
  <c r="F68" i="19"/>
  <c r="F936" i="19"/>
  <c r="F952" i="19"/>
  <c r="F66" i="19"/>
  <c r="F934" i="19"/>
  <c r="F950" i="19"/>
  <c r="F64" i="19"/>
  <c r="F932" i="19"/>
  <c r="F948" i="19"/>
  <c r="F61" i="19"/>
  <c r="F929" i="19"/>
  <c r="F945" i="19"/>
  <c r="F59" i="19"/>
  <c r="F927" i="19"/>
  <c r="F943" i="19"/>
  <c r="F58" i="19"/>
  <c r="F926" i="19"/>
  <c r="F942" i="19"/>
  <c r="F60" i="19"/>
  <c r="F928" i="19"/>
  <c r="F944" i="19"/>
  <c r="F56" i="19"/>
  <c r="F924" i="19"/>
  <c r="F940" i="19"/>
  <c r="F55" i="19"/>
  <c r="F923" i="19"/>
  <c r="F54" i="19"/>
  <c r="F922" i="19"/>
  <c r="F938" i="19"/>
  <c r="E66" i="19"/>
  <c r="E67" i="19"/>
  <c r="E68" i="19"/>
  <c r="B66" i="19"/>
  <c r="B210" i="19"/>
  <c r="B67" i="19"/>
  <c r="B211" i="19"/>
  <c r="B68" i="19"/>
  <c r="B212" i="19"/>
  <c r="B51" i="19"/>
  <c r="B75" i="19"/>
  <c r="B185" i="19"/>
  <c r="B195" i="19"/>
  <c r="B278" i="19"/>
  <c r="E51" i="19"/>
  <c r="E75" i="19"/>
  <c r="E195" i="19"/>
  <c r="E400" i="19"/>
  <c r="E402" i="19"/>
  <c r="N24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E24" i="19"/>
  <c r="F23" i="19"/>
  <c r="F36" i="19"/>
  <c r="F264" i="19"/>
  <c r="G23" i="19"/>
  <c r="G185" i="19"/>
  <c r="G195" i="19"/>
  <c r="G278" i="19"/>
  <c r="G22" i="19"/>
  <c r="G184" i="19"/>
  <c r="G194" i="19"/>
  <c r="G277" i="19"/>
  <c r="F22" i="19"/>
  <c r="G21" i="19"/>
  <c r="F21" i="19"/>
  <c r="F183" i="19"/>
  <c r="F193" i="19"/>
  <c r="F276" i="19"/>
  <c r="H20" i="19"/>
  <c r="G20" i="19"/>
  <c r="G182" i="19"/>
  <c r="G192" i="19"/>
  <c r="G388" i="19"/>
  <c r="M391" i="19"/>
  <c r="F20" i="19"/>
  <c r="J9" i="19"/>
  <c r="J8" i="19"/>
  <c r="J7" i="19"/>
  <c r="G6" i="19"/>
  <c r="F6" i="19"/>
  <c r="F14" i="19"/>
  <c r="N2" i="19"/>
  <c r="M2" i="19"/>
  <c r="A1" i="66"/>
  <c r="A1" i="75"/>
  <c r="I89" i="74"/>
  <c r="AF857" i="19"/>
  <c r="AE857" i="19"/>
  <c r="AD857" i="19"/>
  <c r="AC857" i="19"/>
  <c r="AB857" i="19"/>
  <c r="AA857" i="19"/>
  <c r="Z857" i="19"/>
  <c r="Y857" i="19"/>
  <c r="W857" i="19"/>
  <c r="S857" i="19"/>
  <c r="P857" i="19"/>
  <c r="M857" i="19"/>
  <c r="AF856" i="19"/>
  <c r="AE856" i="19"/>
  <c r="AD856" i="19"/>
  <c r="AC856" i="19"/>
  <c r="AB856" i="19"/>
  <c r="AA856" i="19"/>
  <c r="Z856" i="19"/>
  <c r="X856" i="19"/>
  <c r="W856" i="19"/>
  <c r="T856" i="19"/>
  <c r="P856" i="19"/>
  <c r="M856" i="19"/>
  <c r="E856" i="19"/>
  <c r="E857" i="19"/>
  <c r="O857" i="19"/>
  <c r="AE855" i="19"/>
  <c r="AD855" i="19"/>
  <c r="AC855" i="19"/>
  <c r="AB855" i="19"/>
  <c r="AA855" i="19"/>
  <c r="Z855" i="19"/>
  <c r="Y855" i="19"/>
  <c r="X855" i="19"/>
  <c r="W855" i="19"/>
  <c r="AG971" i="19"/>
  <c r="E19" i="67"/>
  <c r="C51" i="74"/>
  <c r="I51" i="74"/>
  <c r="D45" i="66"/>
  <c r="F45" i="66"/>
  <c r="I50" i="74"/>
  <c r="I44" i="74"/>
  <c r="D43" i="66"/>
  <c r="F43" i="66"/>
  <c r="D44" i="66"/>
  <c r="F44" i="66"/>
  <c r="D47" i="66"/>
  <c r="F47" i="66"/>
  <c r="D41" i="66"/>
  <c r="F41" i="66"/>
  <c r="D42" i="66"/>
  <c r="F42" i="66"/>
  <c r="I41" i="74"/>
  <c r="I43" i="74"/>
  <c r="I39" i="74"/>
  <c r="C39" i="74"/>
  <c r="L39" i="74"/>
  <c r="D35" i="66"/>
  <c r="F35" i="66"/>
  <c r="D36" i="66"/>
  <c r="F36" i="66"/>
  <c r="D37" i="66"/>
  <c r="F37" i="66"/>
  <c r="D38" i="66"/>
  <c r="F38" i="66"/>
  <c r="D39" i="66"/>
  <c r="F39" i="66"/>
  <c r="J1145" i="19"/>
  <c r="J1146" i="19"/>
  <c r="J1144" i="19"/>
  <c r="J1143" i="19"/>
  <c r="F1118" i="19"/>
  <c r="F1116" i="19"/>
  <c r="B1118" i="19"/>
  <c r="B1117" i="19"/>
  <c r="B1116" i="19"/>
  <c r="AF1149" i="19"/>
  <c r="AF1141" i="19"/>
  <c r="AF1139" i="19"/>
  <c r="J1064" i="19"/>
  <c r="J1130" i="19"/>
  <c r="J1129" i="19"/>
  <c r="E1094" i="19"/>
  <c r="E1093" i="19"/>
  <c r="J1093" i="19"/>
  <c r="D1094" i="19"/>
  <c r="J1138" i="19"/>
  <c r="K1139" i="19"/>
  <c r="K1140" i="19"/>
  <c r="D605" i="32"/>
  <c r="J1087" i="19"/>
  <c r="D1073" i="19"/>
  <c r="D1076" i="19"/>
  <c r="J1076" i="19"/>
  <c r="J1067" i="19"/>
  <c r="E1052" i="19"/>
  <c r="AE1056" i="19"/>
  <c r="AD1056" i="19"/>
  <c r="AC1056" i="19"/>
  <c r="AB1056" i="19"/>
  <c r="AA1056" i="19"/>
  <c r="Z1056" i="19"/>
  <c r="Y1056" i="19"/>
  <c r="X1056" i="19"/>
  <c r="W1056" i="19"/>
  <c r="I1056" i="19"/>
  <c r="AE1054" i="19"/>
  <c r="AD1054" i="19"/>
  <c r="AC1054" i="19"/>
  <c r="AB1054" i="19"/>
  <c r="AA1054" i="19"/>
  <c r="Z1054" i="19"/>
  <c r="Y1054" i="19"/>
  <c r="X1054" i="19"/>
  <c r="W1054" i="19"/>
  <c r="AE1051" i="19"/>
  <c r="AD1051" i="19"/>
  <c r="AC1051" i="19"/>
  <c r="AB1051" i="19"/>
  <c r="AA1051" i="19"/>
  <c r="Z1051" i="19"/>
  <c r="Y1051" i="19"/>
  <c r="X1051" i="19"/>
  <c r="W1051" i="19"/>
  <c r="D1052" i="19"/>
  <c r="AE1050" i="19"/>
  <c r="AD1050" i="19"/>
  <c r="AC1050" i="19"/>
  <c r="AB1050" i="19"/>
  <c r="AA1050" i="19"/>
  <c r="Z1050" i="19"/>
  <c r="Y1050" i="19"/>
  <c r="X1050" i="19"/>
  <c r="W1050" i="19"/>
  <c r="AE1049" i="19"/>
  <c r="AD1049" i="19"/>
  <c r="AC1049" i="19"/>
  <c r="AB1049" i="19"/>
  <c r="AA1049" i="19"/>
  <c r="Z1049" i="19"/>
  <c r="Y1049" i="19"/>
  <c r="X1049" i="19"/>
  <c r="W1049" i="19"/>
  <c r="AE1048" i="19"/>
  <c r="AD1048" i="19"/>
  <c r="AC1048" i="19"/>
  <c r="AB1048" i="19"/>
  <c r="AA1048" i="19"/>
  <c r="Z1048" i="19"/>
  <c r="Y1048" i="19"/>
  <c r="X1048" i="19"/>
  <c r="W1048" i="19"/>
  <c r="I1048" i="19"/>
  <c r="AE1047" i="19"/>
  <c r="AD1047" i="19"/>
  <c r="AC1047" i="19"/>
  <c r="AB1047" i="19"/>
  <c r="AA1047" i="19"/>
  <c r="Z1047" i="19"/>
  <c r="Y1047" i="19"/>
  <c r="X1047" i="19"/>
  <c r="W1047" i="19"/>
  <c r="AE1046" i="19"/>
  <c r="AD1046" i="19"/>
  <c r="AC1046" i="19"/>
  <c r="AB1046" i="19"/>
  <c r="AA1046" i="19"/>
  <c r="Z1046" i="19"/>
  <c r="Y1046" i="19"/>
  <c r="X1046" i="19"/>
  <c r="W1046" i="19"/>
  <c r="AF1045" i="19"/>
  <c r="AE1045" i="19"/>
  <c r="AD1045" i="19"/>
  <c r="AC1045" i="19"/>
  <c r="AB1045" i="19"/>
  <c r="AA1045" i="19"/>
  <c r="Z1045" i="19"/>
  <c r="Y1045" i="19"/>
  <c r="X1045" i="19"/>
  <c r="W1045" i="19"/>
  <c r="AE1044" i="19"/>
  <c r="AD1044" i="19"/>
  <c r="AC1044" i="19"/>
  <c r="AB1044" i="19"/>
  <c r="AA1044" i="19"/>
  <c r="Z1044" i="19"/>
  <c r="Y1044" i="19"/>
  <c r="X1044" i="19"/>
  <c r="W1044" i="19"/>
  <c r="AF1043" i="19"/>
  <c r="AE1043" i="19"/>
  <c r="AD1043" i="19"/>
  <c r="AC1043" i="19"/>
  <c r="AB1043" i="19"/>
  <c r="AA1043" i="19"/>
  <c r="Z1043" i="19"/>
  <c r="Y1043" i="19"/>
  <c r="X1043" i="19"/>
  <c r="W1043" i="19"/>
  <c r="AE1042" i="19"/>
  <c r="AD1042" i="19"/>
  <c r="AC1042" i="19"/>
  <c r="AB1042" i="19"/>
  <c r="AA1042" i="19"/>
  <c r="Z1042" i="19"/>
  <c r="Y1042" i="19"/>
  <c r="X1042" i="19"/>
  <c r="W1042" i="19"/>
  <c r="AE1041" i="19"/>
  <c r="AD1041" i="19"/>
  <c r="AC1041" i="19"/>
  <c r="AB1041" i="19"/>
  <c r="AA1041" i="19"/>
  <c r="Z1041" i="19"/>
  <c r="Y1041" i="19"/>
  <c r="X1041" i="19"/>
  <c r="W1041" i="19"/>
  <c r="AE1040" i="19"/>
  <c r="AD1040" i="19"/>
  <c r="AC1040" i="19"/>
  <c r="AB1040" i="19"/>
  <c r="AA1040" i="19"/>
  <c r="Z1040" i="19"/>
  <c r="Y1040" i="19"/>
  <c r="X1040" i="19"/>
  <c r="W1040" i="19"/>
  <c r="AE1039" i="19"/>
  <c r="AD1039" i="19"/>
  <c r="AC1039" i="19"/>
  <c r="AB1039" i="19"/>
  <c r="AA1039" i="19"/>
  <c r="Z1039" i="19"/>
  <c r="Y1039" i="19"/>
  <c r="X1039" i="19"/>
  <c r="W1039" i="19"/>
  <c r="AF1038" i="19"/>
  <c r="AE1038" i="19"/>
  <c r="AD1038" i="19"/>
  <c r="AC1038" i="19"/>
  <c r="AB1038" i="19"/>
  <c r="AA1038" i="19"/>
  <c r="Z1038" i="19"/>
  <c r="Y1038" i="19"/>
  <c r="X1038" i="19"/>
  <c r="W1038" i="19"/>
  <c r="AF1037" i="19"/>
  <c r="AE1037" i="19"/>
  <c r="AD1037" i="19"/>
  <c r="AC1037" i="19"/>
  <c r="AB1037" i="19"/>
  <c r="AA1037" i="19"/>
  <c r="Z1037" i="19"/>
  <c r="Y1037" i="19"/>
  <c r="X1037" i="19"/>
  <c r="W1037" i="19"/>
  <c r="AE1036" i="19"/>
  <c r="AD1036" i="19"/>
  <c r="AC1036" i="19"/>
  <c r="AB1036" i="19"/>
  <c r="AA1036" i="19"/>
  <c r="Z1036" i="19"/>
  <c r="Y1036" i="19"/>
  <c r="X1036" i="19"/>
  <c r="W1036" i="19"/>
  <c r="AE1035" i="19"/>
  <c r="AD1035" i="19"/>
  <c r="AC1035" i="19"/>
  <c r="AB1035" i="19"/>
  <c r="AA1035" i="19"/>
  <c r="Z1035" i="19"/>
  <c r="Y1035" i="19"/>
  <c r="X1035" i="19"/>
  <c r="W1035" i="19"/>
  <c r="AE1034" i="19"/>
  <c r="AD1034" i="19"/>
  <c r="AC1034" i="19"/>
  <c r="AB1034" i="19"/>
  <c r="AA1034" i="19"/>
  <c r="Z1034" i="19"/>
  <c r="Y1034" i="19"/>
  <c r="X1034" i="19"/>
  <c r="W1034" i="19"/>
  <c r="AE1033" i="19"/>
  <c r="AD1033" i="19"/>
  <c r="AC1033" i="19"/>
  <c r="AB1033" i="19"/>
  <c r="AA1033" i="19"/>
  <c r="Z1033" i="19"/>
  <c r="Y1033" i="19"/>
  <c r="X1033" i="19"/>
  <c r="W1033" i="19"/>
  <c r="AE1032" i="19"/>
  <c r="AD1032" i="19"/>
  <c r="AC1032" i="19"/>
  <c r="AB1032" i="19"/>
  <c r="AA1032" i="19"/>
  <c r="Z1032" i="19"/>
  <c r="Y1032" i="19"/>
  <c r="X1032" i="19"/>
  <c r="W1032" i="19"/>
  <c r="AF1031" i="19"/>
  <c r="AE1031" i="19"/>
  <c r="AD1031" i="19"/>
  <c r="AC1031" i="19"/>
  <c r="AB1031" i="19"/>
  <c r="AA1031" i="19"/>
  <c r="Z1031" i="19"/>
  <c r="Y1031" i="19"/>
  <c r="X1031" i="19"/>
  <c r="W1031" i="19"/>
  <c r="AE1030" i="19"/>
  <c r="AD1030" i="19"/>
  <c r="AC1030" i="19"/>
  <c r="AB1030" i="19"/>
  <c r="AA1030" i="19"/>
  <c r="Z1030" i="19"/>
  <c r="Y1030" i="19"/>
  <c r="X1030" i="19"/>
  <c r="W1030" i="19"/>
  <c r="AE1029" i="19"/>
  <c r="AD1029" i="19"/>
  <c r="AC1029" i="19"/>
  <c r="AB1029" i="19"/>
  <c r="AA1029" i="19"/>
  <c r="Z1029" i="19"/>
  <c r="Y1029" i="19"/>
  <c r="X1029" i="19"/>
  <c r="W1029" i="19"/>
  <c r="AE1028" i="19"/>
  <c r="AD1028" i="19"/>
  <c r="AC1028" i="19"/>
  <c r="AB1028" i="19"/>
  <c r="AA1028" i="19"/>
  <c r="Z1028" i="19"/>
  <c r="Y1028" i="19"/>
  <c r="X1028" i="19"/>
  <c r="W1028" i="19"/>
  <c r="H1002" i="19"/>
  <c r="J157" i="19"/>
  <c r="AF780" i="19"/>
  <c r="AE780" i="19"/>
  <c r="AD780" i="19"/>
  <c r="AC780" i="19"/>
  <c r="AB780" i="19"/>
  <c r="AA780" i="19"/>
  <c r="Z780" i="19"/>
  <c r="X780" i="19"/>
  <c r="W780" i="19"/>
  <c r="S780" i="19"/>
  <c r="T780" i="19"/>
  <c r="D780" i="19"/>
  <c r="P780" i="19"/>
  <c r="M780" i="19"/>
  <c r="AF779" i="19"/>
  <c r="AE779" i="19"/>
  <c r="AD779" i="19"/>
  <c r="AC779" i="19"/>
  <c r="AB779" i="19"/>
  <c r="AA779" i="19"/>
  <c r="Z779" i="19"/>
  <c r="X779" i="19"/>
  <c r="W779" i="19"/>
  <c r="S779" i="19"/>
  <c r="P779" i="19"/>
  <c r="M779" i="19"/>
  <c r="E779" i="19"/>
  <c r="AF778" i="19"/>
  <c r="AE778" i="19"/>
  <c r="AD778" i="19"/>
  <c r="AC778" i="19"/>
  <c r="AB778" i="19"/>
  <c r="AA778" i="19"/>
  <c r="Z778" i="19"/>
  <c r="Y778" i="19"/>
  <c r="X778" i="19"/>
  <c r="W778" i="19"/>
  <c r="AF776" i="19"/>
  <c r="AE776" i="19"/>
  <c r="AD776" i="19"/>
  <c r="AC776" i="19"/>
  <c r="AB776" i="19"/>
  <c r="AA776" i="19"/>
  <c r="Z776" i="19"/>
  <c r="X776" i="19"/>
  <c r="W776" i="19"/>
  <c r="S776" i="19"/>
  <c r="P776" i="19"/>
  <c r="AF775" i="19"/>
  <c r="AE775" i="19"/>
  <c r="AD775" i="19"/>
  <c r="AC775" i="19"/>
  <c r="AB775" i="19"/>
  <c r="AA775" i="19"/>
  <c r="Z775" i="19"/>
  <c r="X775" i="19"/>
  <c r="W775" i="19"/>
  <c r="S775" i="19"/>
  <c r="P775" i="19"/>
  <c r="AF774" i="19"/>
  <c r="AE774" i="19"/>
  <c r="AD774" i="19"/>
  <c r="AC774" i="19"/>
  <c r="AB774" i="19"/>
  <c r="AA774" i="19"/>
  <c r="Z774" i="19"/>
  <c r="X774" i="19"/>
  <c r="W774" i="19"/>
  <c r="S774" i="19"/>
  <c r="P774" i="19"/>
  <c r="M774" i="19"/>
  <c r="U774" i="19"/>
  <c r="F774" i="19"/>
  <c r="AF773" i="19"/>
  <c r="AE773" i="19"/>
  <c r="AD773" i="19"/>
  <c r="AC773" i="19"/>
  <c r="AB773" i="19"/>
  <c r="AA773" i="19"/>
  <c r="Z773" i="19"/>
  <c r="X773" i="19"/>
  <c r="W773" i="19"/>
  <c r="S773" i="19"/>
  <c r="P773" i="19"/>
  <c r="M773" i="19"/>
  <c r="E773" i="19"/>
  <c r="E774" i="19"/>
  <c r="O774" i="19"/>
  <c r="AF772" i="19"/>
  <c r="AE772" i="19"/>
  <c r="AD772" i="19"/>
  <c r="AC772" i="19"/>
  <c r="AB772" i="19"/>
  <c r="AA772" i="19"/>
  <c r="Z772" i="19"/>
  <c r="Y772" i="19"/>
  <c r="X772" i="19"/>
  <c r="W772" i="19"/>
  <c r="N773" i="19"/>
  <c r="T774" i="19"/>
  <c r="D774" i="19"/>
  <c r="AF769" i="19"/>
  <c r="AE769" i="19"/>
  <c r="AD769" i="19"/>
  <c r="AC769" i="19"/>
  <c r="AB769" i="19"/>
  <c r="AA769" i="19"/>
  <c r="X769" i="19"/>
  <c r="W769" i="19"/>
  <c r="S769" i="19"/>
  <c r="P769" i="19"/>
  <c r="AF768" i="19"/>
  <c r="AE768" i="19"/>
  <c r="AD768" i="19"/>
  <c r="AC768" i="19"/>
  <c r="AB768" i="19"/>
  <c r="AA768" i="19"/>
  <c r="X768" i="19"/>
  <c r="W768" i="19"/>
  <c r="S768" i="19"/>
  <c r="P768" i="19"/>
  <c r="AF767" i="19"/>
  <c r="AE767" i="19"/>
  <c r="AD767" i="19"/>
  <c r="AC767" i="19"/>
  <c r="AB767" i="19"/>
  <c r="AA767" i="19"/>
  <c r="X767" i="19"/>
  <c r="W767" i="19"/>
  <c r="S767" i="19"/>
  <c r="P767" i="19"/>
  <c r="M767" i="19"/>
  <c r="AF766" i="19"/>
  <c r="AE766" i="19"/>
  <c r="AD766" i="19"/>
  <c r="AC766" i="19"/>
  <c r="AB766" i="19"/>
  <c r="AA766" i="19"/>
  <c r="X766" i="19"/>
  <c r="W766" i="19"/>
  <c r="S766" i="19"/>
  <c r="P766" i="19"/>
  <c r="M766" i="19"/>
  <c r="T768" i="19"/>
  <c r="D768" i="19"/>
  <c r="E766" i="19"/>
  <c r="E767" i="19"/>
  <c r="O767" i="19"/>
  <c r="AF765" i="19"/>
  <c r="AE765" i="19"/>
  <c r="AD765" i="19"/>
  <c r="AC765" i="19"/>
  <c r="AB765" i="19"/>
  <c r="AA765" i="19"/>
  <c r="Z765" i="19"/>
  <c r="Y765" i="19"/>
  <c r="X765" i="19"/>
  <c r="W765" i="19"/>
  <c r="K756" i="19"/>
  <c r="AE659" i="19"/>
  <c r="AD659" i="19"/>
  <c r="AC659" i="19"/>
  <c r="AB659" i="19"/>
  <c r="AA659" i="19"/>
  <c r="Z659" i="19"/>
  <c r="X659" i="19"/>
  <c r="W659" i="19"/>
  <c r="S659" i="19"/>
  <c r="AE658" i="19"/>
  <c r="AD658" i="19"/>
  <c r="AC658" i="19"/>
  <c r="AB658" i="19"/>
  <c r="AA658" i="19"/>
  <c r="Z658" i="19"/>
  <c r="X658" i="19"/>
  <c r="W658" i="19"/>
  <c r="S658" i="19"/>
  <c r="T658" i="19"/>
  <c r="D658" i="19"/>
  <c r="AF657" i="19"/>
  <c r="AE657" i="19"/>
  <c r="AD657" i="19"/>
  <c r="AC657" i="19"/>
  <c r="AB657" i="19"/>
  <c r="AA657" i="19"/>
  <c r="Z657" i="19"/>
  <c r="Y657" i="19"/>
  <c r="X657" i="19"/>
  <c r="W657" i="19"/>
  <c r="AF656" i="19"/>
  <c r="AE656" i="19"/>
  <c r="AD656" i="19"/>
  <c r="AC656" i="19"/>
  <c r="AB656" i="19"/>
  <c r="Z656" i="19"/>
  <c r="Y656" i="19"/>
  <c r="X656" i="19"/>
  <c r="W656" i="19"/>
  <c r="T656" i="19"/>
  <c r="P656" i="19"/>
  <c r="M656" i="19"/>
  <c r="AF655" i="19"/>
  <c r="AE655" i="19"/>
  <c r="AD655" i="19"/>
  <c r="AC655" i="19"/>
  <c r="AB655" i="19"/>
  <c r="Z655" i="19"/>
  <c r="Y655" i="19"/>
  <c r="X655" i="19"/>
  <c r="W655" i="19"/>
  <c r="T655" i="19"/>
  <c r="P655" i="19"/>
  <c r="M655" i="19"/>
  <c r="E655" i="19"/>
  <c r="E658" i="19"/>
  <c r="E659" i="19"/>
  <c r="AF654" i="19"/>
  <c r="AE654" i="19"/>
  <c r="AD654" i="19"/>
  <c r="AC654" i="19"/>
  <c r="AB654" i="19"/>
  <c r="AA654" i="19"/>
  <c r="Z654" i="19"/>
  <c r="Y654" i="19"/>
  <c r="X654" i="19"/>
  <c r="W654" i="19"/>
  <c r="AE777" i="19"/>
  <c r="AD777" i="19"/>
  <c r="AC777" i="19"/>
  <c r="AB777" i="19"/>
  <c r="AA777" i="19"/>
  <c r="Z777" i="19"/>
  <c r="Y777" i="19"/>
  <c r="X777" i="19"/>
  <c r="W777" i="19"/>
  <c r="AE771" i="19"/>
  <c r="AD771" i="19"/>
  <c r="AC771" i="19"/>
  <c r="AB771" i="19"/>
  <c r="AA771" i="19"/>
  <c r="Z771" i="19"/>
  <c r="Y771" i="19"/>
  <c r="X771" i="19"/>
  <c r="W771" i="19"/>
  <c r="AE764" i="19"/>
  <c r="AD764" i="19"/>
  <c r="AC764" i="19"/>
  <c r="AB764" i="19"/>
  <c r="AA764" i="19"/>
  <c r="Z764" i="19"/>
  <c r="Y764" i="19"/>
  <c r="X764" i="19"/>
  <c r="W764" i="19"/>
  <c r="N766" i="19"/>
  <c r="AE763" i="19"/>
  <c r="AD763" i="19"/>
  <c r="AC763" i="19"/>
  <c r="AB763" i="19"/>
  <c r="AA763" i="19"/>
  <c r="Z763" i="19"/>
  <c r="Y763" i="19"/>
  <c r="X763" i="19"/>
  <c r="W763" i="19"/>
  <c r="AE761" i="19"/>
  <c r="AD761" i="19"/>
  <c r="AC761" i="19"/>
  <c r="AB761" i="19"/>
  <c r="AA761" i="19"/>
  <c r="Z761" i="19"/>
  <c r="Y761" i="19"/>
  <c r="X761" i="19"/>
  <c r="W761" i="19"/>
  <c r="AF653" i="19"/>
  <c r="AE653" i="19"/>
  <c r="AD653" i="19"/>
  <c r="AC653" i="19"/>
  <c r="AB653" i="19"/>
  <c r="AA653" i="19"/>
  <c r="Z653" i="19"/>
  <c r="Y653" i="19"/>
  <c r="X653" i="19"/>
  <c r="W653" i="19"/>
  <c r="AE652" i="19"/>
  <c r="AD652" i="19"/>
  <c r="AC652" i="19"/>
  <c r="AB652" i="19"/>
  <c r="AA652" i="19"/>
  <c r="Z652" i="19"/>
  <c r="Y652" i="19"/>
  <c r="X652" i="19"/>
  <c r="W652" i="19"/>
  <c r="AE651" i="19"/>
  <c r="AD651" i="19"/>
  <c r="AC651" i="19"/>
  <c r="AB651" i="19"/>
  <c r="AA651" i="19"/>
  <c r="Z651" i="19"/>
  <c r="Y651" i="19"/>
  <c r="X651" i="19"/>
  <c r="W651" i="19"/>
  <c r="AE650" i="19"/>
  <c r="AD650" i="19"/>
  <c r="AC650" i="19"/>
  <c r="AB650" i="19"/>
  <c r="AA650" i="19"/>
  <c r="Z650" i="19"/>
  <c r="Y650" i="19"/>
  <c r="X650" i="19"/>
  <c r="W650" i="19"/>
  <c r="AE487" i="19"/>
  <c r="AD487" i="19"/>
  <c r="AC487" i="19"/>
  <c r="AB487" i="19"/>
  <c r="AA487" i="19"/>
  <c r="Z487" i="19"/>
  <c r="X487" i="19"/>
  <c r="W487" i="19"/>
  <c r="S487" i="19"/>
  <c r="AE486" i="19"/>
  <c r="AD486" i="19"/>
  <c r="AC486" i="19"/>
  <c r="AB486" i="19"/>
  <c r="AA486" i="19"/>
  <c r="Z486" i="19"/>
  <c r="X486" i="19"/>
  <c r="W486" i="19"/>
  <c r="S486" i="19"/>
  <c r="AF485" i="19"/>
  <c r="AE485" i="19"/>
  <c r="AD485" i="19"/>
  <c r="AC485" i="19"/>
  <c r="AB485" i="19"/>
  <c r="AA485" i="19"/>
  <c r="Z485" i="19"/>
  <c r="Y485" i="19"/>
  <c r="X485" i="19"/>
  <c r="W485" i="19"/>
  <c r="AF483" i="19"/>
  <c r="AE483" i="19"/>
  <c r="AD483" i="19"/>
  <c r="AC483" i="19"/>
  <c r="AB483" i="19"/>
  <c r="Z483" i="19"/>
  <c r="Y483" i="19"/>
  <c r="X483" i="19"/>
  <c r="W483" i="19"/>
  <c r="T483" i="19"/>
  <c r="P483" i="19"/>
  <c r="M483" i="19"/>
  <c r="U487" i="19"/>
  <c r="F487" i="19"/>
  <c r="AF482" i="19"/>
  <c r="AE482" i="19"/>
  <c r="AD482" i="19"/>
  <c r="AC482" i="19"/>
  <c r="AB482" i="19"/>
  <c r="Z482" i="19"/>
  <c r="Y482" i="19"/>
  <c r="X482" i="19"/>
  <c r="W482" i="19"/>
  <c r="T482" i="19"/>
  <c r="P482" i="19"/>
  <c r="M482" i="19"/>
  <c r="E482" i="19"/>
  <c r="O482" i="19"/>
  <c r="O486" i="19"/>
  <c r="O487" i="19"/>
  <c r="AF481" i="19"/>
  <c r="AE481" i="19"/>
  <c r="AD481" i="19"/>
  <c r="AC481" i="19"/>
  <c r="AB481" i="19"/>
  <c r="AA481" i="19"/>
  <c r="Z481" i="19"/>
  <c r="Y481" i="19"/>
  <c r="X481" i="19"/>
  <c r="W481" i="19"/>
  <c r="AE480" i="19"/>
  <c r="AD480" i="19"/>
  <c r="AC480" i="19"/>
  <c r="AB480" i="19"/>
  <c r="AA480" i="19"/>
  <c r="Z480" i="19"/>
  <c r="Y480" i="19"/>
  <c r="X480" i="19"/>
  <c r="W480" i="19"/>
  <c r="AE479" i="19"/>
  <c r="AD479" i="19"/>
  <c r="AC479" i="19"/>
  <c r="AB479" i="19"/>
  <c r="AA479" i="19"/>
  <c r="Z479" i="19"/>
  <c r="Y479" i="19"/>
  <c r="X479" i="19"/>
  <c r="W479" i="19"/>
  <c r="AE478" i="19"/>
  <c r="AD478" i="19"/>
  <c r="AC478" i="19"/>
  <c r="AB478" i="19"/>
  <c r="AA478" i="19"/>
  <c r="Z478" i="19"/>
  <c r="Y478" i="19"/>
  <c r="X478" i="19"/>
  <c r="W478" i="19"/>
  <c r="J149" i="19"/>
  <c r="I140" i="19"/>
  <c r="AE120" i="19"/>
  <c r="AD120" i="19"/>
  <c r="AC120" i="19"/>
  <c r="AB120" i="19"/>
  <c r="AA120" i="19"/>
  <c r="Z120" i="19"/>
  <c r="Y120" i="19"/>
  <c r="X120" i="19"/>
  <c r="W120" i="19"/>
  <c r="AE125" i="19"/>
  <c r="AD125" i="19"/>
  <c r="AC125" i="19"/>
  <c r="AB125" i="19"/>
  <c r="AA125" i="19"/>
  <c r="Z125" i="19"/>
  <c r="Y125" i="19"/>
  <c r="X125" i="19"/>
  <c r="W125" i="19"/>
  <c r="F86" i="19"/>
  <c r="J86" i="19"/>
  <c r="J92" i="19"/>
  <c r="AE933" i="19"/>
  <c r="AD933" i="19"/>
  <c r="AC933" i="19"/>
  <c r="AB933" i="19"/>
  <c r="AA933" i="19"/>
  <c r="Z933" i="19"/>
  <c r="Y933" i="19"/>
  <c r="X933" i="19"/>
  <c r="W933" i="19"/>
  <c r="AE265" i="19"/>
  <c r="AD265" i="19"/>
  <c r="AC265" i="19"/>
  <c r="AB265" i="19"/>
  <c r="AA265" i="19"/>
  <c r="Z265" i="19"/>
  <c r="Y265" i="19"/>
  <c r="X265" i="19"/>
  <c r="W265" i="19"/>
  <c r="B265" i="19"/>
  <c r="AE262" i="19"/>
  <c r="AD262" i="19"/>
  <c r="AC262" i="19"/>
  <c r="AB262" i="19"/>
  <c r="AA262" i="19"/>
  <c r="Z262" i="19"/>
  <c r="Y262" i="19"/>
  <c r="X262" i="19"/>
  <c r="W262" i="19"/>
  <c r="B262" i="19"/>
  <c r="E61" i="19"/>
  <c r="E62" i="19"/>
  <c r="E63" i="19"/>
  <c r="E207" i="19"/>
  <c r="E64" i="19"/>
  <c r="E208" i="19"/>
  <c r="E65" i="19"/>
  <c r="E209" i="19"/>
  <c r="E55" i="19"/>
  <c r="E199" i="19"/>
  <c r="E56" i="19"/>
  <c r="E924" i="19"/>
  <c r="E940" i="19"/>
  <c r="E57" i="19"/>
  <c r="E925" i="19"/>
  <c r="E941" i="19"/>
  <c r="E58" i="19"/>
  <c r="E59" i="19"/>
  <c r="E203" i="19"/>
  <c r="E60" i="19"/>
  <c r="E928" i="19"/>
  <c r="E944" i="19"/>
  <c r="E54" i="19"/>
  <c r="AE65" i="19"/>
  <c r="AD65" i="19"/>
  <c r="AC65" i="19"/>
  <c r="AB65" i="19"/>
  <c r="AA65" i="19"/>
  <c r="Z65" i="19"/>
  <c r="Y65" i="19"/>
  <c r="X65" i="19"/>
  <c r="W65" i="19"/>
  <c r="B65" i="19"/>
  <c r="B933" i="19"/>
  <c r="B949" i="19"/>
  <c r="AE62" i="19"/>
  <c r="AD62" i="19"/>
  <c r="AC62" i="19"/>
  <c r="AB62" i="19"/>
  <c r="AA62" i="19"/>
  <c r="Z62" i="19"/>
  <c r="Y62" i="19"/>
  <c r="X62" i="19"/>
  <c r="W62" i="19"/>
  <c r="B62" i="19"/>
  <c r="B930" i="19"/>
  <c r="B946" i="19"/>
  <c r="AE37" i="19"/>
  <c r="AD37" i="19"/>
  <c r="AC37" i="19"/>
  <c r="AB37" i="19"/>
  <c r="AA37" i="19"/>
  <c r="Z37" i="19"/>
  <c r="Y37" i="19"/>
  <c r="X37" i="19"/>
  <c r="W37" i="19"/>
  <c r="AE34" i="19"/>
  <c r="AD34" i="19"/>
  <c r="AC34" i="19"/>
  <c r="AB34" i="19"/>
  <c r="AA34" i="19"/>
  <c r="Z34" i="19"/>
  <c r="Y34" i="19"/>
  <c r="X34" i="19"/>
  <c r="W34" i="19"/>
  <c r="G551" i="32"/>
  <c r="G546" i="32"/>
  <c r="F41" i="83"/>
  <c r="F39" i="83"/>
  <c r="F26" i="83"/>
  <c r="F25" i="83"/>
  <c r="F24" i="83"/>
  <c r="F23" i="83"/>
  <c r="F22" i="83"/>
  <c r="F21" i="83"/>
  <c r="F20" i="83"/>
  <c r="F19" i="83"/>
  <c r="F18" i="83"/>
  <c r="F17" i="83"/>
  <c r="F16" i="83"/>
  <c r="F11" i="83"/>
  <c r="F15" i="83"/>
  <c r="F14" i="83"/>
  <c r="F13" i="83"/>
  <c r="F12" i="83"/>
  <c r="F31" i="83"/>
  <c r="F1" i="83"/>
  <c r="F5" i="83"/>
  <c r="F6" i="83"/>
  <c r="F7" i="83"/>
  <c r="F4" i="83"/>
  <c r="C7" i="82"/>
  <c r="K554" i="32"/>
  <c r="K556" i="32"/>
  <c r="H1060" i="19"/>
  <c r="J1060" i="19"/>
  <c r="K1061" i="19"/>
  <c r="K1062" i="19"/>
  <c r="D555" i="32"/>
  <c r="D557" i="32"/>
  <c r="C557" i="32"/>
  <c r="C33" i="66"/>
  <c r="B64" i="66"/>
  <c r="AF1261" i="19"/>
  <c r="AF1256" i="19"/>
  <c r="K73" i="74"/>
  <c r="I73" i="74"/>
  <c r="C73" i="74"/>
  <c r="L73" i="74"/>
  <c r="H17" i="74"/>
  <c r="I72" i="74"/>
  <c r="F7" i="82"/>
  <c r="F6" i="82"/>
  <c r="F3" i="82"/>
  <c r="I90" i="74"/>
  <c r="D32" i="66"/>
  <c r="F32" i="66"/>
  <c r="G548" i="32"/>
  <c r="B47" i="34"/>
  <c r="D47" i="34"/>
  <c r="F47" i="34"/>
  <c r="J47" i="34"/>
  <c r="B40" i="34"/>
  <c r="D40" i="34"/>
  <c r="F40" i="34"/>
  <c r="J40" i="34"/>
  <c r="B18" i="34"/>
  <c r="D18" i="34"/>
  <c r="F18" i="34"/>
  <c r="J18" i="34"/>
  <c r="B21" i="34"/>
  <c r="D21" i="34"/>
  <c r="F21" i="34"/>
  <c r="N21" i="34"/>
  <c r="J21" i="34"/>
  <c r="B39" i="34"/>
  <c r="D39" i="34"/>
  <c r="F39" i="34"/>
  <c r="B30" i="34"/>
  <c r="D30" i="34"/>
  <c r="F30" i="34"/>
  <c r="B17" i="34"/>
  <c r="D17" i="34"/>
  <c r="F17" i="34"/>
  <c r="B50" i="34"/>
  <c r="D50" i="34"/>
  <c r="F50" i="34"/>
  <c r="J50" i="34"/>
  <c r="K50" i="34"/>
  <c r="L50" i="34"/>
  <c r="F1002" i="19"/>
  <c r="C418" i="32"/>
  <c r="C417" i="32"/>
  <c r="G297" i="32"/>
  <c r="G292" i="32"/>
  <c r="B38" i="34"/>
  <c r="D38" i="34"/>
  <c r="F38" i="34"/>
  <c r="B29" i="34"/>
  <c r="D29" i="34"/>
  <c r="F29" i="34"/>
  <c r="B16" i="34"/>
  <c r="D16" i="34"/>
  <c r="F16" i="34"/>
  <c r="G547" i="32"/>
  <c r="D31" i="66"/>
  <c r="F31" i="66"/>
  <c r="AE886" i="19"/>
  <c r="AD886" i="19"/>
  <c r="AC886" i="19"/>
  <c r="AB886" i="19"/>
  <c r="AA886" i="19"/>
  <c r="Z886" i="19"/>
  <c r="Y886" i="19"/>
  <c r="X886" i="19"/>
  <c r="W886" i="19"/>
  <c r="AG885" i="19"/>
  <c r="AF885" i="19"/>
  <c r="AE885" i="19"/>
  <c r="AD885" i="19"/>
  <c r="AC885" i="19"/>
  <c r="AB885" i="19"/>
  <c r="AA885" i="19"/>
  <c r="Z885" i="19"/>
  <c r="Y885" i="19"/>
  <c r="X885" i="19"/>
  <c r="W885" i="19"/>
  <c r="AE884" i="19"/>
  <c r="AD884" i="19"/>
  <c r="AC884" i="19"/>
  <c r="AB884" i="19"/>
  <c r="AA884" i="19"/>
  <c r="Z884" i="19"/>
  <c r="Y884" i="19"/>
  <c r="X884" i="19"/>
  <c r="W884" i="19"/>
  <c r="AG883" i="19"/>
  <c r="AF883" i="19"/>
  <c r="AE883" i="19"/>
  <c r="AD883" i="19"/>
  <c r="AC883" i="19"/>
  <c r="AB883" i="19"/>
  <c r="AA883" i="19"/>
  <c r="Z883" i="19"/>
  <c r="Y883" i="19"/>
  <c r="X883" i="19"/>
  <c r="W883" i="19"/>
  <c r="AE882" i="19"/>
  <c r="AD882" i="19"/>
  <c r="AC882" i="19"/>
  <c r="AB882" i="19"/>
  <c r="AA882" i="19"/>
  <c r="Z882" i="19"/>
  <c r="Y882" i="19"/>
  <c r="X882" i="19"/>
  <c r="W882" i="19"/>
  <c r="AE853" i="19"/>
  <c r="AD853" i="19"/>
  <c r="AC853" i="19"/>
  <c r="AB853" i="19"/>
  <c r="AA853" i="19"/>
  <c r="Z853" i="19"/>
  <c r="Y853" i="19"/>
  <c r="X853" i="19"/>
  <c r="W853" i="19"/>
  <c r="O853" i="19"/>
  <c r="M853" i="19"/>
  <c r="N853" i="19"/>
  <c r="AE852" i="19"/>
  <c r="AD852" i="19"/>
  <c r="AC852" i="19"/>
  <c r="AB852" i="19"/>
  <c r="AA852" i="19"/>
  <c r="Z852" i="19"/>
  <c r="Y852" i="19"/>
  <c r="X852" i="19"/>
  <c r="W852" i="19"/>
  <c r="AE382" i="19"/>
  <c r="AD382" i="19"/>
  <c r="AC382" i="19"/>
  <c r="AB382" i="19"/>
  <c r="AA382" i="19"/>
  <c r="Z382" i="19"/>
  <c r="Y382" i="19"/>
  <c r="X382" i="19"/>
  <c r="W382" i="19"/>
  <c r="I382" i="19"/>
  <c r="AE373" i="19"/>
  <c r="AD373" i="19"/>
  <c r="AC373" i="19"/>
  <c r="AB373" i="19"/>
  <c r="AA373" i="19"/>
  <c r="Z373" i="19"/>
  <c r="Y373" i="19"/>
  <c r="X373" i="19"/>
  <c r="W373" i="19"/>
  <c r="AE176" i="19"/>
  <c r="AD176" i="19"/>
  <c r="AC176" i="19"/>
  <c r="AB176" i="19"/>
  <c r="AA176" i="19"/>
  <c r="Z176" i="19"/>
  <c r="Y176" i="19"/>
  <c r="X176" i="19"/>
  <c r="W176" i="19"/>
  <c r="I176" i="19"/>
  <c r="AE168" i="19"/>
  <c r="AD168" i="19"/>
  <c r="AC168" i="19"/>
  <c r="AB168" i="19"/>
  <c r="AA168" i="19"/>
  <c r="Z168" i="19"/>
  <c r="Y168" i="19"/>
  <c r="X168" i="19"/>
  <c r="W168" i="19"/>
  <c r="O168" i="19"/>
  <c r="M168" i="19"/>
  <c r="N168" i="19"/>
  <c r="AE167" i="19"/>
  <c r="AD167" i="19"/>
  <c r="AC167" i="19"/>
  <c r="AB167" i="19"/>
  <c r="AA167" i="19"/>
  <c r="Z167" i="19"/>
  <c r="Y167" i="19"/>
  <c r="X167" i="19"/>
  <c r="W167" i="19"/>
  <c r="I74" i="74"/>
  <c r="I75" i="74"/>
  <c r="D65" i="66"/>
  <c r="F65" i="66"/>
  <c r="D66" i="66"/>
  <c r="F66" i="66"/>
  <c r="N365" i="19"/>
  <c r="M366" i="19"/>
  <c r="M367" i="19"/>
  <c r="M365" i="19"/>
  <c r="E1012" i="19"/>
  <c r="F1012" i="19"/>
  <c r="J1012" i="19"/>
  <c r="K1013" i="19"/>
  <c r="K1014" i="19"/>
  <c r="K1015" i="19"/>
  <c r="D502" i="32"/>
  <c r="C502" i="32"/>
  <c r="C19" i="66"/>
  <c r="G705" i="32"/>
  <c r="G706" i="32"/>
  <c r="J129" i="74"/>
  <c r="I123" i="74"/>
  <c r="J123" i="74"/>
  <c r="J124" i="74"/>
  <c r="J125" i="74"/>
  <c r="J126" i="74"/>
  <c r="I124" i="74"/>
  <c r="I88" i="74"/>
  <c r="I87" i="74"/>
  <c r="I28" i="74"/>
  <c r="I11" i="74"/>
  <c r="D308" i="32"/>
  <c r="C308" i="32"/>
  <c r="C322" i="32"/>
  <c r="C392" i="32"/>
  <c r="C378" i="32"/>
  <c r="C364" i="32"/>
  <c r="B22" i="66"/>
  <c r="B21" i="66"/>
  <c r="B20" i="66"/>
  <c r="E1259" i="19"/>
  <c r="E1260" i="19"/>
  <c r="E1255" i="19"/>
  <c r="K1255" i="19"/>
  <c r="B1259" i="19"/>
  <c r="B1260" i="19"/>
  <c r="B1255" i="19"/>
  <c r="I983" i="19"/>
  <c r="F962" i="19"/>
  <c r="F970" i="19"/>
  <c r="B962" i="19"/>
  <c r="B963" i="19"/>
  <c r="B964" i="19"/>
  <c r="B965" i="19"/>
  <c r="B966" i="19"/>
  <c r="B967" i="19"/>
  <c r="B968" i="19"/>
  <c r="B970" i="19"/>
  <c r="B961" i="19"/>
  <c r="AJ232" i="19"/>
  <c r="AG232" i="19"/>
  <c r="AE232" i="19"/>
  <c r="AD232" i="19"/>
  <c r="AC232" i="19"/>
  <c r="AB232" i="19"/>
  <c r="AA232" i="19"/>
  <c r="Z232" i="19"/>
  <c r="Y232" i="19"/>
  <c r="X232" i="19"/>
  <c r="W232" i="19"/>
  <c r="AE230" i="19"/>
  <c r="AD230" i="19"/>
  <c r="AC230" i="19"/>
  <c r="AB230" i="19"/>
  <c r="AA230" i="19"/>
  <c r="Z230" i="19"/>
  <c r="Y230" i="19"/>
  <c r="X230" i="19"/>
  <c r="W230" i="19"/>
  <c r="G230" i="19"/>
  <c r="J230" i="19"/>
  <c r="F230" i="19"/>
  <c r="F231" i="19"/>
  <c r="J231" i="19"/>
  <c r="AJ229" i="19"/>
  <c r="AG229" i="19"/>
  <c r="AE229" i="19"/>
  <c r="AD229" i="19"/>
  <c r="AC229" i="19"/>
  <c r="AB229" i="19"/>
  <c r="AA229" i="19"/>
  <c r="Z229" i="19"/>
  <c r="Y229" i="19"/>
  <c r="X229" i="19"/>
  <c r="W229" i="19"/>
  <c r="AE218" i="19"/>
  <c r="AD218" i="19"/>
  <c r="AC218" i="19"/>
  <c r="AB218" i="19"/>
  <c r="AA218" i="19"/>
  <c r="Z218" i="19"/>
  <c r="Y218" i="19"/>
  <c r="X218" i="19"/>
  <c r="W218" i="19"/>
  <c r="O218" i="19"/>
  <c r="M218" i="19"/>
  <c r="N218" i="19"/>
  <c r="J218" i="19"/>
  <c r="AE217" i="19"/>
  <c r="AD217" i="19"/>
  <c r="AC217" i="19"/>
  <c r="AB217" i="19"/>
  <c r="AA217" i="19"/>
  <c r="Z217" i="19"/>
  <c r="Y217" i="19"/>
  <c r="X217" i="19"/>
  <c r="W217" i="19"/>
  <c r="AF845" i="19"/>
  <c r="AE845" i="19"/>
  <c r="AD845" i="19"/>
  <c r="AC845" i="19"/>
  <c r="AB845" i="19"/>
  <c r="AA845" i="19"/>
  <c r="Z845" i="19"/>
  <c r="Y845" i="19"/>
  <c r="W845" i="19"/>
  <c r="S845" i="19"/>
  <c r="P845" i="19"/>
  <c r="M845" i="19"/>
  <c r="U844" i="19"/>
  <c r="F844" i="19"/>
  <c r="J844" i="19"/>
  <c r="AF844" i="19"/>
  <c r="AE844" i="19"/>
  <c r="AD844" i="19"/>
  <c r="AC844" i="19"/>
  <c r="AB844" i="19"/>
  <c r="AA844" i="19"/>
  <c r="Z844" i="19"/>
  <c r="X844" i="19"/>
  <c r="W844" i="19"/>
  <c r="T844" i="19"/>
  <c r="P844" i="19"/>
  <c r="N844" i="19"/>
  <c r="M844" i="19"/>
  <c r="E844" i="19"/>
  <c r="E845" i="19"/>
  <c r="AE843" i="19"/>
  <c r="AD843" i="19"/>
  <c r="AC843" i="19"/>
  <c r="AB843" i="19"/>
  <c r="AA843" i="19"/>
  <c r="Z843" i="19"/>
  <c r="Y843" i="19"/>
  <c r="X843" i="19"/>
  <c r="W843" i="19"/>
  <c r="S790" i="19"/>
  <c r="T790" i="19"/>
  <c r="D790" i="19"/>
  <c r="AF790" i="19"/>
  <c r="AE790" i="19"/>
  <c r="AD790" i="19"/>
  <c r="AC790" i="19"/>
  <c r="AB790" i="19"/>
  <c r="AA790" i="19"/>
  <c r="Z790" i="19"/>
  <c r="Y790" i="19"/>
  <c r="W790" i="19"/>
  <c r="P790" i="19"/>
  <c r="M790" i="19"/>
  <c r="AF789" i="19"/>
  <c r="AE789" i="19"/>
  <c r="AD789" i="19"/>
  <c r="AC789" i="19"/>
  <c r="AB789" i="19"/>
  <c r="AA789" i="19"/>
  <c r="Z789" i="19"/>
  <c r="X789" i="19"/>
  <c r="W789" i="19"/>
  <c r="T789" i="19"/>
  <c r="P789" i="19"/>
  <c r="N789" i="19"/>
  <c r="M789" i="19"/>
  <c r="E789" i="19"/>
  <c r="AE788" i="19"/>
  <c r="AD788" i="19"/>
  <c r="AC788" i="19"/>
  <c r="AB788" i="19"/>
  <c r="AA788" i="19"/>
  <c r="Z788" i="19"/>
  <c r="Y788" i="19"/>
  <c r="X788" i="19"/>
  <c r="W788" i="19"/>
  <c r="AG757" i="19"/>
  <c r="AF757" i="19"/>
  <c r="AE757" i="19"/>
  <c r="AD757" i="19"/>
  <c r="AC757" i="19"/>
  <c r="AB757" i="19"/>
  <c r="AA757" i="19"/>
  <c r="Z757" i="19"/>
  <c r="Y757" i="19"/>
  <c r="X757" i="19"/>
  <c r="W757" i="19"/>
  <c r="AE756" i="19"/>
  <c r="AD756" i="19"/>
  <c r="AC756" i="19"/>
  <c r="AB756" i="19"/>
  <c r="AA756" i="19"/>
  <c r="Z756" i="19"/>
  <c r="Y756" i="19"/>
  <c r="X756" i="19"/>
  <c r="W756" i="19"/>
  <c r="AE760" i="19"/>
  <c r="AD760" i="19"/>
  <c r="AC760" i="19"/>
  <c r="AB760" i="19"/>
  <c r="AA760" i="19"/>
  <c r="Z760" i="19"/>
  <c r="Y760" i="19"/>
  <c r="X760" i="19"/>
  <c r="W760" i="19"/>
  <c r="AG759" i="19"/>
  <c r="AF759" i="19"/>
  <c r="AE759" i="19"/>
  <c r="AD759" i="19"/>
  <c r="AC759" i="19"/>
  <c r="AB759" i="19"/>
  <c r="AA759" i="19"/>
  <c r="Z759" i="19"/>
  <c r="Y759" i="19"/>
  <c r="X759" i="19"/>
  <c r="W759" i="19"/>
  <c r="AE758" i="19"/>
  <c r="AD758" i="19"/>
  <c r="AC758" i="19"/>
  <c r="AB758" i="19"/>
  <c r="AA758" i="19"/>
  <c r="Z758" i="19"/>
  <c r="Y758" i="19"/>
  <c r="X758" i="19"/>
  <c r="W758" i="19"/>
  <c r="AG755" i="19"/>
  <c r="AF755" i="19"/>
  <c r="AE755" i="19"/>
  <c r="AD755" i="19"/>
  <c r="AC755" i="19"/>
  <c r="AB755" i="19"/>
  <c r="AA755" i="19"/>
  <c r="Z755" i="19"/>
  <c r="Y755" i="19"/>
  <c r="X755" i="19"/>
  <c r="W755" i="19"/>
  <c r="AE754" i="19"/>
  <c r="AD754" i="19"/>
  <c r="AC754" i="19"/>
  <c r="AB754" i="19"/>
  <c r="AA754" i="19"/>
  <c r="Z754" i="19"/>
  <c r="Y754" i="19"/>
  <c r="X754" i="19"/>
  <c r="W754" i="19"/>
  <c r="AG646" i="19"/>
  <c r="AF646" i="19"/>
  <c r="AE646" i="19"/>
  <c r="AD646" i="19"/>
  <c r="AC646" i="19"/>
  <c r="AB646" i="19"/>
  <c r="AA646" i="19"/>
  <c r="Z646" i="19"/>
  <c r="Y646" i="19"/>
  <c r="X646" i="19"/>
  <c r="W646" i="19"/>
  <c r="AE645" i="19"/>
  <c r="AD645" i="19"/>
  <c r="AC645" i="19"/>
  <c r="AB645" i="19"/>
  <c r="AA645" i="19"/>
  <c r="Z645" i="19"/>
  <c r="Y645" i="19"/>
  <c r="X645" i="19"/>
  <c r="W645" i="19"/>
  <c r="AE366" i="19"/>
  <c r="AD366" i="19"/>
  <c r="AC366" i="19"/>
  <c r="AB366" i="19"/>
  <c r="AA366" i="19"/>
  <c r="Z366" i="19"/>
  <c r="Y366" i="19"/>
  <c r="X366" i="19"/>
  <c r="W366" i="19"/>
  <c r="G366" i="19"/>
  <c r="I366" i="19"/>
  <c r="AE365" i="19"/>
  <c r="AD365" i="19"/>
  <c r="AC365" i="19"/>
  <c r="AB365" i="19"/>
  <c r="AA365" i="19"/>
  <c r="Z365" i="19"/>
  <c r="Y365" i="19"/>
  <c r="X365" i="19"/>
  <c r="W365" i="19"/>
  <c r="AE364" i="19"/>
  <c r="AD364" i="19"/>
  <c r="AC364" i="19"/>
  <c r="AB364" i="19"/>
  <c r="AA364" i="19"/>
  <c r="Z364" i="19"/>
  <c r="Y364" i="19"/>
  <c r="X364" i="19"/>
  <c r="W364" i="19"/>
  <c r="O364" i="19"/>
  <c r="M364" i="19"/>
  <c r="N364" i="19"/>
  <c r="S457" i="19"/>
  <c r="S456" i="19"/>
  <c r="T456" i="19"/>
  <c r="AG449" i="19"/>
  <c r="AF449" i="19"/>
  <c r="AE449" i="19"/>
  <c r="AD449" i="19"/>
  <c r="AC449" i="19"/>
  <c r="AB449" i="19"/>
  <c r="AA449" i="19"/>
  <c r="Z449" i="19"/>
  <c r="Y449" i="19"/>
  <c r="X449" i="19"/>
  <c r="W449" i="19"/>
  <c r="AE448" i="19"/>
  <c r="AD448" i="19"/>
  <c r="AC448" i="19"/>
  <c r="AB448" i="19"/>
  <c r="AA448" i="19"/>
  <c r="Z448" i="19"/>
  <c r="Y448" i="19"/>
  <c r="X448" i="19"/>
  <c r="W448" i="19"/>
  <c r="AE413" i="19"/>
  <c r="AD413" i="19"/>
  <c r="AC413" i="19"/>
  <c r="AB413" i="19"/>
  <c r="AA413" i="19"/>
  <c r="Z413" i="19"/>
  <c r="Y413" i="19"/>
  <c r="W413" i="19"/>
  <c r="U413" i="19"/>
  <c r="F413" i="19"/>
  <c r="S413" i="19"/>
  <c r="T413" i="19"/>
  <c r="AE458" i="19"/>
  <c r="AD458" i="19"/>
  <c r="AC458" i="19"/>
  <c r="AB458" i="19"/>
  <c r="AA458" i="19"/>
  <c r="Z458" i="19"/>
  <c r="Y458" i="19"/>
  <c r="W458" i="19"/>
  <c r="U458" i="19"/>
  <c r="F458" i="19"/>
  <c r="S458" i="19"/>
  <c r="T458" i="19"/>
  <c r="D458" i="19"/>
  <c r="AE457" i="19"/>
  <c r="AD457" i="19"/>
  <c r="AC457" i="19"/>
  <c r="AB457" i="19"/>
  <c r="AA457" i="19"/>
  <c r="Z457" i="19"/>
  <c r="X457" i="19"/>
  <c r="W457" i="19"/>
  <c r="AE456" i="19"/>
  <c r="AD456" i="19"/>
  <c r="AC456" i="19"/>
  <c r="AB456" i="19"/>
  <c r="AA456" i="19"/>
  <c r="Z456" i="19"/>
  <c r="X456" i="19"/>
  <c r="W456" i="19"/>
  <c r="M456" i="19"/>
  <c r="AF455" i="19"/>
  <c r="AE455" i="19"/>
  <c r="AD455" i="19"/>
  <c r="AC455" i="19"/>
  <c r="AB455" i="19"/>
  <c r="AA455" i="19"/>
  <c r="Z455" i="19"/>
  <c r="Y455" i="19"/>
  <c r="X455" i="19"/>
  <c r="W455" i="19"/>
  <c r="AE454" i="19"/>
  <c r="AD454" i="19"/>
  <c r="AC454" i="19"/>
  <c r="AB454" i="19"/>
  <c r="Z454" i="19"/>
  <c r="Y454" i="19"/>
  <c r="X454" i="19"/>
  <c r="W454" i="19"/>
  <c r="T454" i="19"/>
  <c r="N454" i="19"/>
  <c r="M454" i="19"/>
  <c r="E454" i="19"/>
  <c r="E456" i="19"/>
  <c r="E457" i="19"/>
  <c r="E458" i="19"/>
  <c r="J458" i="19"/>
  <c r="K475" i="19"/>
  <c r="K476" i="19"/>
  <c r="D350" i="32"/>
  <c r="C350" i="32"/>
  <c r="AF453" i="19"/>
  <c r="AE453" i="19"/>
  <c r="AD453" i="19"/>
  <c r="AC453" i="19"/>
  <c r="AB453" i="19"/>
  <c r="AA453" i="19"/>
  <c r="Z453" i="19"/>
  <c r="Y453" i="19"/>
  <c r="X453" i="19"/>
  <c r="W453" i="19"/>
  <c r="AE842" i="19"/>
  <c r="AD842" i="19"/>
  <c r="AC842" i="19"/>
  <c r="AB842" i="19"/>
  <c r="AA842" i="19"/>
  <c r="Z842" i="19"/>
  <c r="Y842" i="19"/>
  <c r="X842" i="19"/>
  <c r="W842" i="19"/>
  <c r="AE841" i="19"/>
  <c r="AD841" i="19"/>
  <c r="AC841" i="19"/>
  <c r="AB841" i="19"/>
  <c r="AA841" i="19"/>
  <c r="Z841" i="19"/>
  <c r="Y841" i="19"/>
  <c r="X841" i="19"/>
  <c r="W841" i="19"/>
  <c r="AE840" i="19"/>
  <c r="AD840" i="19"/>
  <c r="AC840" i="19"/>
  <c r="AB840" i="19"/>
  <c r="AA840" i="19"/>
  <c r="Z840" i="19"/>
  <c r="Y840" i="19"/>
  <c r="X840" i="19"/>
  <c r="W840" i="19"/>
  <c r="AE787" i="19"/>
  <c r="AD787" i="19"/>
  <c r="AC787" i="19"/>
  <c r="AB787" i="19"/>
  <c r="AA787" i="19"/>
  <c r="Z787" i="19"/>
  <c r="Y787" i="19"/>
  <c r="X787" i="19"/>
  <c r="W787" i="19"/>
  <c r="AE786" i="19"/>
  <c r="AD786" i="19"/>
  <c r="AC786" i="19"/>
  <c r="AB786" i="19"/>
  <c r="AA786" i="19"/>
  <c r="Z786" i="19"/>
  <c r="Y786" i="19"/>
  <c r="X786" i="19"/>
  <c r="W786" i="19"/>
  <c r="O786" i="19"/>
  <c r="M786" i="19"/>
  <c r="N786" i="19"/>
  <c r="AE785" i="19"/>
  <c r="AD785" i="19"/>
  <c r="AC785" i="19"/>
  <c r="AB785" i="19"/>
  <c r="AA785" i="19"/>
  <c r="Z785" i="19"/>
  <c r="Y785" i="19"/>
  <c r="X785" i="19"/>
  <c r="W785" i="19"/>
  <c r="AH452" i="19"/>
  <c r="AG452" i="19"/>
  <c r="AF452" i="19"/>
  <c r="AE452" i="19"/>
  <c r="AD452" i="19"/>
  <c r="AC452" i="19"/>
  <c r="AB452" i="19"/>
  <c r="AA452" i="19"/>
  <c r="Z452" i="19"/>
  <c r="Y452" i="19"/>
  <c r="X452" i="19"/>
  <c r="W452" i="19"/>
  <c r="AE451" i="19"/>
  <c r="AD451" i="19"/>
  <c r="AC451" i="19"/>
  <c r="AB451" i="19"/>
  <c r="AA451" i="19"/>
  <c r="Z451" i="19"/>
  <c r="Y451" i="19"/>
  <c r="X451" i="19"/>
  <c r="W451" i="19"/>
  <c r="S412" i="19"/>
  <c r="AE412" i="19"/>
  <c r="AD412" i="19"/>
  <c r="AC412" i="19"/>
  <c r="AB412" i="19"/>
  <c r="AA412" i="19"/>
  <c r="Z412" i="19"/>
  <c r="X412" i="19"/>
  <c r="W412" i="19"/>
  <c r="M412" i="19"/>
  <c r="AF411" i="19"/>
  <c r="AE411" i="19"/>
  <c r="AD411" i="19"/>
  <c r="AC411" i="19"/>
  <c r="AB411" i="19"/>
  <c r="AA411" i="19"/>
  <c r="Z411" i="19"/>
  <c r="Y411" i="19"/>
  <c r="X411" i="19"/>
  <c r="W411" i="19"/>
  <c r="AF410" i="19"/>
  <c r="AE410" i="19"/>
  <c r="AD410" i="19"/>
  <c r="AC410" i="19"/>
  <c r="AB410" i="19"/>
  <c r="Z410" i="19"/>
  <c r="Y410" i="19"/>
  <c r="X410" i="19"/>
  <c r="W410" i="19"/>
  <c r="T410" i="19"/>
  <c r="M410" i="19"/>
  <c r="U412" i="19"/>
  <c r="F412" i="19"/>
  <c r="AF409" i="19"/>
  <c r="AE409" i="19"/>
  <c r="AD409" i="19"/>
  <c r="AC409" i="19"/>
  <c r="AB409" i="19"/>
  <c r="AA409" i="19"/>
  <c r="Z409" i="19"/>
  <c r="Y409" i="19"/>
  <c r="X409" i="19"/>
  <c r="W409" i="19"/>
  <c r="AH408" i="19"/>
  <c r="AG408" i="19"/>
  <c r="AF408" i="19"/>
  <c r="AE408" i="19"/>
  <c r="AD408" i="19"/>
  <c r="AC408" i="19"/>
  <c r="AB408" i="19"/>
  <c r="AA408" i="19"/>
  <c r="Z408" i="19"/>
  <c r="Y408" i="19"/>
  <c r="X408" i="19"/>
  <c r="W408" i="19"/>
  <c r="AE390" i="19"/>
  <c r="AD390" i="19"/>
  <c r="AC390" i="19"/>
  <c r="AB390" i="19"/>
  <c r="Z390" i="19"/>
  <c r="Y390" i="19"/>
  <c r="X390" i="19"/>
  <c r="W390" i="19"/>
  <c r="N390" i="19"/>
  <c r="AE389" i="19"/>
  <c r="AD389" i="19"/>
  <c r="AC389" i="19"/>
  <c r="AB389" i="19"/>
  <c r="AA389" i="19"/>
  <c r="Z389" i="19"/>
  <c r="Y389" i="19"/>
  <c r="X389" i="19"/>
  <c r="W389" i="19"/>
  <c r="AE392" i="19"/>
  <c r="AD392" i="19"/>
  <c r="AC392" i="19"/>
  <c r="AB392" i="19"/>
  <c r="AA392" i="19"/>
  <c r="Z392" i="19"/>
  <c r="Y392" i="19"/>
  <c r="X392" i="19"/>
  <c r="W392" i="19"/>
  <c r="AE388" i="19"/>
  <c r="AD388" i="19"/>
  <c r="AC388" i="19"/>
  <c r="AB388" i="19"/>
  <c r="AA388" i="19"/>
  <c r="Z388" i="19"/>
  <c r="Y388" i="19"/>
  <c r="X388" i="19"/>
  <c r="W388" i="19"/>
  <c r="I368" i="19"/>
  <c r="J371" i="19"/>
  <c r="K372" i="19"/>
  <c r="AH289" i="19"/>
  <c r="AG289" i="19"/>
  <c r="AF289" i="19"/>
  <c r="AE289" i="19"/>
  <c r="AD289" i="19"/>
  <c r="AC289" i="19"/>
  <c r="AB289" i="19"/>
  <c r="AA289" i="19"/>
  <c r="Z289" i="19"/>
  <c r="Y289" i="19"/>
  <c r="X289" i="19"/>
  <c r="W289" i="19"/>
  <c r="AH281" i="19"/>
  <c r="AG281" i="19"/>
  <c r="AF281" i="19"/>
  <c r="AE281" i="19"/>
  <c r="AD281" i="19"/>
  <c r="AC281" i="19"/>
  <c r="AB281" i="19"/>
  <c r="AA281" i="19"/>
  <c r="Z281" i="19"/>
  <c r="Y281" i="19"/>
  <c r="X281" i="19"/>
  <c r="W281" i="19"/>
  <c r="AE372" i="19"/>
  <c r="AD372" i="19"/>
  <c r="AC372" i="19"/>
  <c r="AB372" i="19"/>
  <c r="AA372" i="19"/>
  <c r="Z372" i="19"/>
  <c r="Y372" i="19"/>
  <c r="X372" i="19"/>
  <c r="W372" i="19"/>
  <c r="I372" i="19"/>
  <c r="AE371" i="19"/>
  <c r="AD371" i="19"/>
  <c r="AC371" i="19"/>
  <c r="AB371" i="19"/>
  <c r="AA371" i="19"/>
  <c r="Z371" i="19"/>
  <c r="Y371" i="19"/>
  <c r="X371" i="19"/>
  <c r="W371" i="19"/>
  <c r="AE370" i="19"/>
  <c r="AD370" i="19"/>
  <c r="AC370" i="19"/>
  <c r="AB370" i="19"/>
  <c r="AA370" i="19"/>
  <c r="Z370" i="19"/>
  <c r="Y370" i="19"/>
  <c r="X370" i="19"/>
  <c r="W370" i="19"/>
  <c r="O370" i="19"/>
  <c r="M370" i="19"/>
  <c r="N370" i="19"/>
  <c r="AE369" i="19"/>
  <c r="AD369" i="19"/>
  <c r="AC369" i="19"/>
  <c r="AB369" i="19"/>
  <c r="AA369" i="19"/>
  <c r="Z369" i="19"/>
  <c r="Y369" i="19"/>
  <c r="X369" i="19"/>
  <c r="W369" i="19"/>
  <c r="AE352" i="19"/>
  <c r="AD352" i="19"/>
  <c r="AC352" i="19"/>
  <c r="AB352" i="19"/>
  <c r="AA352" i="19"/>
  <c r="Z352" i="19"/>
  <c r="Y352" i="19"/>
  <c r="X352" i="19"/>
  <c r="W352" i="19"/>
  <c r="B248" i="19"/>
  <c r="B249" i="19"/>
  <c r="B247" i="19"/>
  <c r="H255" i="19"/>
  <c r="H256" i="19"/>
  <c r="H257" i="19"/>
  <c r="H258" i="19"/>
  <c r="H259" i="19"/>
  <c r="H260" i="19"/>
  <c r="H261" i="19"/>
  <c r="B255" i="19"/>
  <c r="B256" i="19"/>
  <c r="B257" i="19"/>
  <c r="B258" i="19"/>
  <c r="B259" i="19"/>
  <c r="B260" i="19"/>
  <c r="B261" i="19"/>
  <c r="B263" i="19"/>
  <c r="B264" i="19"/>
  <c r="B254" i="19"/>
  <c r="G228" i="19"/>
  <c r="G227" i="19"/>
  <c r="F228" i="19"/>
  <c r="F227" i="19"/>
  <c r="AE216" i="19"/>
  <c r="AD216" i="19"/>
  <c r="AC216" i="19"/>
  <c r="AB216" i="19"/>
  <c r="AA216" i="19"/>
  <c r="Z216" i="19"/>
  <c r="Y216" i="19"/>
  <c r="X216" i="19"/>
  <c r="W216" i="19"/>
  <c r="O216" i="19"/>
  <c r="M216" i="19"/>
  <c r="N216" i="19"/>
  <c r="J216" i="19"/>
  <c r="AE166" i="19"/>
  <c r="AD166" i="19"/>
  <c r="AC166" i="19"/>
  <c r="AB166" i="19"/>
  <c r="AA166" i="19"/>
  <c r="Z166" i="19"/>
  <c r="Y166" i="19"/>
  <c r="X166" i="19"/>
  <c r="W166" i="19"/>
  <c r="I166" i="19"/>
  <c r="AE165" i="19"/>
  <c r="AD165" i="19"/>
  <c r="AC165" i="19"/>
  <c r="AB165" i="19"/>
  <c r="AA165" i="19"/>
  <c r="Z165" i="19"/>
  <c r="Y165" i="19"/>
  <c r="X165" i="19"/>
  <c r="W165" i="19"/>
  <c r="J165" i="19"/>
  <c r="K166" i="19"/>
  <c r="AE164" i="19"/>
  <c r="AD164" i="19"/>
  <c r="AC164" i="19"/>
  <c r="AB164" i="19"/>
  <c r="AA164" i="19"/>
  <c r="Z164" i="19"/>
  <c r="Y164" i="19"/>
  <c r="X164" i="19"/>
  <c r="W164" i="19"/>
  <c r="O164" i="19"/>
  <c r="M164" i="19"/>
  <c r="N164" i="19"/>
  <c r="AE163" i="19"/>
  <c r="AD163" i="19"/>
  <c r="AC163" i="19"/>
  <c r="AB163" i="19"/>
  <c r="AA163" i="19"/>
  <c r="Z163" i="19"/>
  <c r="Y163" i="19"/>
  <c r="X163" i="19"/>
  <c r="W163" i="19"/>
  <c r="J156" i="19"/>
  <c r="J154" i="19"/>
  <c r="J158" i="19"/>
  <c r="J159" i="19"/>
  <c r="J161" i="19"/>
  <c r="AE155" i="19"/>
  <c r="AD155" i="19"/>
  <c r="AC155" i="19"/>
  <c r="AB155" i="19"/>
  <c r="AA155" i="19"/>
  <c r="Z155" i="19"/>
  <c r="Y155" i="19"/>
  <c r="X155" i="19"/>
  <c r="W155" i="19"/>
  <c r="J155" i="19"/>
  <c r="K162" i="19"/>
  <c r="D123" i="32"/>
  <c r="AE149" i="19"/>
  <c r="AD149" i="19"/>
  <c r="AC149" i="19"/>
  <c r="AB149" i="19"/>
  <c r="AA149" i="19"/>
  <c r="Z149" i="19"/>
  <c r="Y149" i="19"/>
  <c r="X149" i="19"/>
  <c r="W149" i="19"/>
  <c r="AE148" i="19"/>
  <c r="AD148" i="19"/>
  <c r="AC148" i="19"/>
  <c r="AB148" i="19"/>
  <c r="AA148" i="19"/>
  <c r="Z148" i="19"/>
  <c r="Y148" i="19"/>
  <c r="X148" i="19"/>
  <c r="W148" i="19"/>
  <c r="AE145" i="19"/>
  <c r="AD145" i="19"/>
  <c r="AC145" i="19"/>
  <c r="AB145" i="19"/>
  <c r="AA145" i="19"/>
  <c r="Z145" i="19"/>
  <c r="Y145" i="19"/>
  <c r="X145" i="19"/>
  <c r="W145" i="19"/>
  <c r="F87" i="19"/>
  <c r="J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AE132" i="19"/>
  <c r="AD132" i="19"/>
  <c r="AC132" i="19"/>
  <c r="AB132" i="19"/>
  <c r="AA132" i="19"/>
  <c r="Z132" i="19"/>
  <c r="Y132" i="19"/>
  <c r="X132" i="19"/>
  <c r="W132" i="19"/>
  <c r="AF130" i="19"/>
  <c r="AE130" i="19"/>
  <c r="AD130" i="19"/>
  <c r="AC130" i="19"/>
  <c r="AB130" i="19"/>
  <c r="AA130" i="19"/>
  <c r="Z130" i="19"/>
  <c r="Y130" i="19"/>
  <c r="X130" i="19"/>
  <c r="W130" i="19"/>
  <c r="AE129" i="19"/>
  <c r="AD129" i="19"/>
  <c r="AC129" i="19"/>
  <c r="AB129" i="19"/>
  <c r="AA129" i="19"/>
  <c r="Z129" i="19"/>
  <c r="Y129" i="19"/>
  <c r="X129" i="19"/>
  <c r="W129" i="19"/>
  <c r="AE127" i="19"/>
  <c r="AD127" i="19"/>
  <c r="AC127" i="19"/>
  <c r="AB127" i="19"/>
  <c r="AA127" i="19"/>
  <c r="Z127" i="19"/>
  <c r="Y127" i="19"/>
  <c r="X127" i="19"/>
  <c r="W127" i="19"/>
  <c r="AE131" i="19"/>
  <c r="AD131" i="19"/>
  <c r="AC131" i="19"/>
  <c r="AB131" i="19"/>
  <c r="AA131" i="19"/>
  <c r="Z131" i="19"/>
  <c r="Y131" i="19"/>
  <c r="X131" i="19"/>
  <c r="W131" i="19"/>
  <c r="AE126" i="19"/>
  <c r="AD126" i="19"/>
  <c r="AC126" i="19"/>
  <c r="AB126" i="19"/>
  <c r="AA126" i="19"/>
  <c r="Z126" i="19"/>
  <c r="Y126" i="19"/>
  <c r="X126" i="19"/>
  <c r="W126" i="19"/>
  <c r="AF123" i="19"/>
  <c r="AE123" i="19"/>
  <c r="AD123" i="19"/>
  <c r="AC123" i="19"/>
  <c r="AB123" i="19"/>
  <c r="AA123" i="19"/>
  <c r="Z123" i="19"/>
  <c r="Y123" i="19"/>
  <c r="X123" i="19"/>
  <c r="W123" i="19"/>
  <c r="AE124" i="19"/>
  <c r="AD124" i="19"/>
  <c r="AC124" i="19"/>
  <c r="AB124" i="19"/>
  <c r="AA124" i="19"/>
  <c r="Z124" i="19"/>
  <c r="Y124" i="19"/>
  <c r="X124" i="19"/>
  <c r="W124" i="19"/>
  <c r="AE122" i="19"/>
  <c r="AD122" i="19"/>
  <c r="AC122" i="19"/>
  <c r="AB122" i="19"/>
  <c r="AA122" i="19"/>
  <c r="Z122" i="19"/>
  <c r="Y122" i="19"/>
  <c r="X122" i="19"/>
  <c r="W122" i="19"/>
  <c r="AE118" i="19"/>
  <c r="AD118" i="19"/>
  <c r="AC118" i="19"/>
  <c r="AB118" i="19"/>
  <c r="AA118" i="19"/>
  <c r="Z118" i="19"/>
  <c r="Y118" i="19"/>
  <c r="X118" i="19"/>
  <c r="W118" i="19"/>
  <c r="AE117" i="19"/>
  <c r="AD117" i="19"/>
  <c r="AC117" i="19"/>
  <c r="AB117" i="19"/>
  <c r="AA117" i="19"/>
  <c r="Z117" i="19"/>
  <c r="Y117" i="19"/>
  <c r="X117" i="19"/>
  <c r="W117" i="19"/>
  <c r="H106" i="19"/>
  <c r="H101" i="19"/>
  <c r="J101" i="19"/>
  <c r="AF107" i="19"/>
  <c r="AE107" i="19"/>
  <c r="AD107" i="19"/>
  <c r="AC107" i="19"/>
  <c r="AB107" i="19"/>
  <c r="AA107" i="19"/>
  <c r="Z107" i="19"/>
  <c r="Y107" i="19"/>
  <c r="X107" i="19"/>
  <c r="W107" i="19"/>
  <c r="AE106" i="19"/>
  <c r="AD106" i="19"/>
  <c r="AC106" i="19"/>
  <c r="AB106" i="19"/>
  <c r="AA106" i="19"/>
  <c r="Z106" i="19"/>
  <c r="Y106" i="19"/>
  <c r="X106" i="19"/>
  <c r="W106" i="19"/>
  <c r="AF101" i="19"/>
  <c r="AE101" i="19"/>
  <c r="AD101" i="19"/>
  <c r="AC101" i="19"/>
  <c r="AB101" i="19"/>
  <c r="AA101" i="19"/>
  <c r="Z101" i="19"/>
  <c r="Y101" i="19"/>
  <c r="X101" i="19"/>
  <c r="W101" i="19"/>
  <c r="AE94" i="19"/>
  <c r="AD94" i="19"/>
  <c r="AC94" i="19"/>
  <c r="AB94" i="19"/>
  <c r="AA94" i="19"/>
  <c r="Z94" i="19"/>
  <c r="Y94" i="19"/>
  <c r="X94" i="19"/>
  <c r="W94" i="19"/>
  <c r="AE93" i="19"/>
  <c r="AD93" i="19"/>
  <c r="AC93" i="19"/>
  <c r="AB93" i="19"/>
  <c r="AA93" i="19"/>
  <c r="Z93" i="19"/>
  <c r="Y93" i="19"/>
  <c r="X93" i="19"/>
  <c r="W93" i="19"/>
  <c r="AE92" i="19"/>
  <c r="AD92" i="19"/>
  <c r="AC92" i="19"/>
  <c r="AB92" i="19"/>
  <c r="AA92" i="19"/>
  <c r="Z92" i="19"/>
  <c r="Y92" i="19"/>
  <c r="X92" i="19"/>
  <c r="W92" i="19"/>
  <c r="F79" i="19"/>
  <c r="J79" i="19"/>
  <c r="B55" i="19"/>
  <c r="B56" i="19"/>
  <c r="B924" i="19"/>
  <c r="B940" i="19"/>
  <c r="B57" i="19"/>
  <c r="B925" i="19"/>
  <c r="B941" i="19"/>
  <c r="B58" i="19"/>
  <c r="B926" i="19"/>
  <c r="B942" i="19"/>
  <c r="B59" i="19"/>
  <c r="B203" i="19"/>
  <c r="B60" i="19"/>
  <c r="B204" i="19"/>
  <c r="B61" i="19"/>
  <c r="B929" i="19"/>
  <c r="B945" i="19"/>
  <c r="B63" i="19"/>
  <c r="B931" i="19"/>
  <c r="B947" i="19"/>
  <c r="B64" i="19"/>
  <c r="B208" i="19"/>
  <c r="B54" i="19"/>
  <c r="B922" i="19"/>
  <c r="B938" i="19"/>
  <c r="E50" i="19"/>
  <c r="E74" i="19"/>
  <c r="E82" i="19"/>
  <c r="B50" i="19"/>
  <c r="B74" i="19"/>
  <c r="B184" i="19"/>
  <c r="B194" i="19"/>
  <c r="G27" i="19"/>
  <c r="G28" i="19"/>
  <c r="G29" i="19"/>
  <c r="F29" i="19"/>
  <c r="AE41" i="19"/>
  <c r="AD41" i="19"/>
  <c r="AC41" i="19"/>
  <c r="AB41" i="19"/>
  <c r="AA41" i="19"/>
  <c r="Z41" i="19"/>
  <c r="Y41" i="19"/>
  <c r="X41" i="19"/>
  <c r="W41" i="19"/>
  <c r="M41" i="19"/>
  <c r="I41" i="19"/>
  <c r="AE36" i="19"/>
  <c r="AD36" i="19"/>
  <c r="AC36" i="19"/>
  <c r="AB36" i="19"/>
  <c r="AA36" i="19"/>
  <c r="Z36" i="19"/>
  <c r="Y36" i="19"/>
  <c r="X36" i="19"/>
  <c r="W36" i="19"/>
  <c r="AE35" i="19"/>
  <c r="AD35" i="19"/>
  <c r="AC35" i="19"/>
  <c r="AB35" i="19"/>
  <c r="AA35" i="19"/>
  <c r="Z35" i="19"/>
  <c r="Y35" i="19"/>
  <c r="X35" i="19"/>
  <c r="W35" i="19"/>
  <c r="AE33" i="19"/>
  <c r="AD33" i="19"/>
  <c r="AC33" i="19"/>
  <c r="AB33" i="19"/>
  <c r="AA33" i="19"/>
  <c r="Z33" i="19"/>
  <c r="Y33" i="19"/>
  <c r="X33" i="19"/>
  <c r="W33" i="19"/>
  <c r="AE32" i="19"/>
  <c r="AD32" i="19"/>
  <c r="AC32" i="19"/>
  <c r="AB32" i="19"/>
  <c r="AA32" i="19"/>
  <c r="Z32" i="19"/>
  <c r="Y32" i="19"/>
  <c r="X32" i="19"/>
  <c r="W32" i="19"/>
  <c r="AE31" i="19"/>
  <c r="AD31" i="19"/>
  <c r="AC31" i="19"/>
  <c r="AB31" i="19"/>
  <c r="AA31" i="19"/>
  <c r="Z31" i="19"/>
  <c r="Y31" i="19"/>
  <c r="X31" i="19"/>
  <c r="W31" i="19"/>
  <c r="AE30" i="19"/>
  <c r="AD30" i="19"/>
  <c r="AC30" i="19"/>
  <c r="AB30" i="19"/>
  <c r="AA30" i="19"/>
  <c r="Z30" i="19"/>
  <c r="Y30" i="19"/>
  <c r="X30" i="19"/>
  <c r="W30" i="19"/>
  <c r="AE29" i="19"/>
  <c r="AD29" i="19"/>
  <c r="AC29" i="19"/>
  <c r="AB29" i="19"/>
  <c r="AA29" i="19"/>
  <c r="Z29" i="19"/>
  <c r="Y29" i="19"/>
  <c r="X29" i="19"/>
  <c r="W29" i="19"/>
  <c r="AE28" i="19"/>
  <c r="AD28" i="19"/>
  <c r="AC28" i="19"/>
  <c r="AB28" i="19"/>
  <c r="AA28" i="19"/>
  <c r="Z28" i="19"/>
  <c r="Y28" i="19"/>
  <c r="X28" i="19"/>
  <c r="W28" i="19"/>
  <c r="N28" i="19"/>
  <c r="N30" i="19"/>
  <c r="AE27" i="19"/>
  <c r="AD27" i="19"/>
  <c r="AC27" i="19"/>
  <c r="AB27" i="19"/>
  <c r="AA27" i="19"/>
  <c r="Z27" i="19"/>
  <c r="Y27" i="19"/>
  <c r="X27" i="19"/>
  <c r="W27" i="19"/>
  <c r="AF26" i="19"/>
  <c r="AE26" i="19"/>
  <c r="AD26" i="19"/>
  <c r="AC26" i="19"/>
  <c r="AB26" i="19"/>
  <c r="AA26" i="19"/>
  <c r="Z26" i="19"/>
  <c r="Y26" i="19"/>
  <c r="X26" i="19"/>
  <c r="W26" i="19"/>
  <c r="AE25" i="19"/>
  <c r="AD25" i="19"/>
  <c r="AC25" i="19"/>
  <c r="AB25" i="19"/>
  <c r="AA25" i="19"/>
  <c r="Z25" i="19"/>
  <c r="Y25" i="19"/>
  <c r="X25" i="19"/>
  <c r="W25" i="19"/>
  <c r="I14" i="66"/>
  <c r="I986" i="19"/>
  <c r="I985" i="19"/>
  <c r="I984" i="19"/>
  <c r="I982" i="19"/>
  <c r="I981" i="19"/>
  <c r="T12" i="34"/>
  <c r="B19" i="66"/>
  <c r="I18" i="74"/>
  <c r="AE10" i="19"/>
  <c r="AD10" i="19"/>
  <c r="AC10" i="19"/>
  <c r="AB10" i="19"/>
  <c r="AA10" i="19"/>
  <c r="Z10" i="19"/>
  <c r="Y10" i="19"/>
  <c r="X10" i="19"/>
  <c r="W10" i="19"/>
  <c r="W287" i="19"/>
  <c r="X287" i="19"/>
  <c r="Y287" i="19"/>
  <c r="Z287" i="19"/>
  <c r="AA287" i="19"/>
  <c r="AB287" i="19"/>
  <c r="AC287" i="19"/>
  <c r="AD287" i="19"/>
  <c r="AE287" i="19"/>
  <c r="W288" i="19"/>
  <c r="X288" i="19"/>
  <c r="Y288" i="19"/>
  <c r="Z288" i="19"/>
  <c r="AA288" i="19"/>
  <c r="AB288" i="19"/>
  <c r="AC288" i="19"/>
  <c r="AD288" i="19"/>
  <c r="AE288" i="19"/>
  <c r="W292" i="19"/>
  <c r="X292" i="19"/>
  <c r="Y292" i="19"/>
  <c r="Z292" i="19"/>
  <c r="AA292" i="19"/>
  <c r="AB292" i="19"/>
  <c r="AC292" i="19"/>
  <c r="AD292" i="19"/>
  <c r="AE292" i="19"/>
  <c r="W322" i="19"/>
  <c r="X322" i="19"/>
  <c r="Y322" i="19"/>
  <c r="Z322" i="19"/>
  <c r="AA322" i="19"/>
  <c r="AB322" i="19"/>
  <c r="AC322" i="19"/>
  <c r="AD322" i="19"/>
  <c r="AE322" i="19"/>
  <c r="W343" i="19"/>
  <c r="X343" i="19"/>
  <c r="Y343" i="19"/>
  <c r="Z343" i="19"/>
  <c r="AA343" i="19"/>
  <c r="AB343" i="19"/>
  <c r="AC343" i="19"/>
  <c r="AD343" i="19"/>
  <c r="AE343" i="19"/>
  <c r="W368" i="19"/>
  <c r="X368" i="19"/>
  <c r="Y368" i="19"/>
  <c r="Z368" i="19"/>
  <c r="AA368" i="19"/>
  <c r="AB368" i="19"/>
  <c r="AC368" i="19"/>
  <c r="AD368" i="19"/>
  <c r="AE368" i="19"/>
  <c r="W383" i="19"/>
  <c r="X383" i="19"/>
  <c r="Y383" i="19"/>
  <c r="Z383" i="19"/>
  <c r="AA383" i="19"/>
  <c r="AB383" i="19"/>
  <c r="AC383" i="19"/>
  <c r="AD383" i="19"/>
  <c r="AE383" i="19"/>
  <c r="W384" i="19"/>
  <c r="X384" i="19"/>
  <c r="Y384" i="19"/>
  <c r="Z384" i="19"/>
  <c r="AA384" i="19"/>
  <c r="AB384" i="19"/>
  <c r="AC384" i="19"/>
  <c r="AD384" i="19"/>
  <c r="AE384" i="19"/>
  <c r="W385" i="19"/>
  <c r="X385" i="19"/>
  <c r="Y385" i="19"/>
  <c r="Z385" i="19"/>
  <c r="AA385" i="19"/>
  <c r="AB385" i="19"/>
  <c r="AC385" i="19"/>
  <c r="AD385" i="19"/>
  <c r="AE385" i="19"/>
  <c r="W386" i="19"/>
  <c r="X386" i="19"/>
  <c r="Y386" i="19"/>
  <c r="Z386" i="19"/>
  <c r="AA386" i="19"/>
  <c r="AB386" i="19"/>
  <c r="AC386" i="19"/>
  <c r="AD386" i="19"/>
  <c r="AE386" i="19"/>
  <c r="W387" i="19"/>
  <c r="X387" i="19"/>
  <c r="Y387" i="19"/>
  <c r="Z387" i="19"/>
  <c r="AA387" i="19"/>
  <c r="AB387" i="19"/>
  <c r="AC387" i="19"/>
  <c r="AD387" i="19"/>
  <c r="AE387" i="19"/>
  <c r="W279" i="19"/>
  <c r="X279" i="19"/>
  <c r="Y279" i="19"/>
  <c r="Z279" i="19"/>
  <c r="AA279" i="19"/>
  <c r="AB279" i="19"/>
  <c r="AC279" i="19"/>
  <c r="AD279" i="19"/>
  <c r="AE279" i="19"/>
  <c r="W280" i="19"/>
  <c r="X280" i="19"/>
  <c r="Y280" i="19"/>
  <c r="Z280" i="19"/>
  <c r="AA280" i="19"/>
  <c r="AB280" i="19"/>
  <c r="AC280" i="19"/>
  <c r="AD280" i="19"/>
  <c r="AE280" i="19"/>
  <c r="W239" i="19"/>
  <c r="X239" i="19"/>
  <c r="Y239" i="19"/>
  <c r="Z239" i="19"/>
  <c r="AA239" i="19"/>
  <c r="AB239" i="19"/>
  <c r="AC239" i="19"/>
  <c r="AD239" i="19"/>
  <c r="AE239" i="19"/>
  <c r="W240" i="19"/>
  <c r="X240" i="19"/>
  <c r="Y240" i="19"/>
  <c r="Z240" i="19"/>
  <c r="AA240" i="19"/>
  <c r="AB240" i="19"/>
  <c r="AC240" i="19"/>
  <c r="AD240" i="19"/>
  <c r="AE240" i="19"/>
  <c r="W241" i="19"/>
  <c r="X241" i="19"/>
  <c r="Y241" i="19"/>
  <c r="Z241" i="19"/>
  <c r="AA241" i="19"/>
  <c r="AB241" i="19"/>
  <c r="AC241" i="19"/>
  <c r="AD241" i="19"/>
  <c r="AE241" i="19"/>
  <c r="W242" i="19"/>
  <c r="X242" i="19"/>
  <c r="Y242" i="19"/>
  <c r="Z242" i="19"/>
  <c r="AA242" i="19"/>
  <c r="AB242" i="19"/>
  <c r="AC242" i="19"/>
  <c r="AD242" i="19"/>
  <c r="AE242" i="19"/>
  <c r="W243" i="19"/>
  <c r="X243" i="19"/>
  <c r="Y243" i="19"/>
  <c r="Z243" i="19"/>
  <c r="AA243" i="19"/>
  <c r="AB243" i="19"/>
  <c r="AC243" i="19"/>
  <c r="AD243" i="19"/>
  <c r="AE243" i="19"/>
  <c r="W244" i="19"/>
  <c r="X244" i="19"/>
  <c r="Y244" i="19"/>
  <c r="Z244" i="19"/>
  <c r="AA244" i="19"/>
  <c r="AB244" i="19"/>
  <c r="AC244" i="19"/>
  <c r="AD244" i="19"/>
  <c r="AE244" i="19"/>
  <c r="W245" i="19"/>
  <c r="X245" i="19"/>
  <c r="Y245" i="19"/>
  <c r="Z245" i="19"/>
  <c r="AA245" i="19"/>
  <c r="AB245" i="19"/>
  <c r="AC245" i="19"/>
  <c r="AD245" i="19"/>
  <c r="AE245" i="19"/>
  <c r="W246" i="19"/>
  <c r="X246" i="19"/>
  <c r="Y246" i="19"/>
  <c r="Z246" i="19"/>
  <c r="AA246" i="19"/>
  <c r="AB246" i="19"/>
  <c r="AC246" i="19"/>
  <c r="AD246" i="19"/>
  <c r="AE246" i="19"/>
  <c r="W247" i="19"/>
  <c r="X247" i="19"/>
  <c r="Y247" i="19"/>
  <c r="Z247" i="19"/>
  <c r="AA247" i="19"/>
  <c r="AB247" i="19"/>
  <c r="AC247" i="19"/>
  <c r="AD247" i="19"/>
  <c r="AE247" i="19"/>
  <c r="W248" i="19"/>
  <c r="X248" i="19"/>
  <c r="Y248" i="19"/>
  <c r="Z248" i="19"/>
  <c r="AA248" i="19"/>
  <c r="AB248" i="19"/>
  <c r="AC248" i="19"/>
  <c r="AD248" i="19"/>
  <c r="AE248" i="19"/>
  <c r="W249" i="19"/>
  <c r="X249" i="19"/>
  <c r="Y249" i="19"/>
  <c r="Z249" i="19"/>
  <c r="AA249" i="19"/>
  <c r="AB249" i="19"/>
  <c r="AC249" i="19"/>
  <c r="AD249" i="19"/>
  <c r="AE249" i="19"/>
  <c r="W253" i="19"/>
  <c r="X253" i="19"/>
  <c r="Y253" i="19"/>
  <c r="Z253" i="19"/>
  <c r="AA253" i="19"/>
  <c r="AB253" i="19"/>
  <c r="AC253" i="19"/>
  <c r="AD253" i="19"/>
  <c r="AE253" i="19"/>
  <c r="W254" i="19"/>
  <c r="X254" i="19"/>
  <c r="Y254" i="19"/>
  <c r="Z254" i="19"/>
  <c r="AA254" i="19"/>
  <c r="AB254" i="19"/>
  <c r="AC254" i="19"/>
  <c r="AD254" i="19"/>
  <c r="AE254" i="19"/>
  <c r="W255" i="19"/>
  <c r="X255" i="19"/>
  <c r="Y255" i="19"/>
  <c r="Z255" i="19"/>
  <c r="AA255" i="19"/>
  <c r="AB255" i="19"/>
  <c r="AC255" i="19"/>
  <c r="AD255" i="19"/>
  <c r="AE255" i="19"/>
  <c r="W256" i="19"/>
  <c r="X256" i="19"/>
  <c r="Y256" i="19"/>
  <c r="Z256" i="19"/>
  <c r="AA256" i="19"/>
  <c r="AB256" i="19"/>
  <c r="AC256" i="19"/>
  <c r="AD256" i="19"/>
  <c r="AE256" i="19"/>
  <c r="W257" i="19"/>
  <c r="X257" i="19"/>
  <c r="Y257" i="19"/>
  <c r="Z257" i="19"/>
  <c r="AA257" i="19"/>
  <c r="AB257" i="19"/>
  <c r="AC257" i="19"/>
  <c r="AD257" i="19"/>
  <c r="AE257" i="19"/>
  <c r="W258" i="19"/>
  <c r="X258" i="19"/>
  <c r="Y258" i="19"/>
  <c r="Z258" i="19"/>
  <c r="AA258" i="19"/>
  <c r="AB258" i="19"/>
  <c r="AC258" i="19"/>
  <c r="AD258" i="19"/>
  <c r="AE258" i="19"/>
  <c r="W259" i="19"/>
  <c r="X259" i="19"/>
  <c r="Y259" i="19"/>
  <c r="Z259" i="19"/>
  <c r="AA259" i="19"/>
  <c r="AB259" i="19"/>
  <c r="AC259" i="19"/>
  <c r="AD259" i="19"/>
  <c r="AE259" i="19"/>
  <c r="W260" i="19"/>
  <c r="X260" i="19"/>
  <c r="Y260" i="19"/>
  <c r="Z260" i="19"/>
  <c r="AA260" i="19"/>
  <c r="AB260" i="19"/>
  <c r="AC260" i="19"/>
  <c r="AD260" i="19"/>
  <c r="AE260" i="19"/>
  <c r="W261" i="19"/>
  <c r="X261" i="19"/>
  <c r="Y261" i="19"/>
  <c r="Z261" i="19"/>
  <c r="AA261" i="19"/>
  <c r="AB261" i="19"/>
  <c r="AC261" i="19"/>
  <c r="AD261" i="19"/>
  <c r="AE261" i="19"/>
  <c r="W263" i="19"/>
  <c r="X263" i="19"/>
  <c r="Y263" i="19"/>
  <c r="Z263" i="19"/>
  <c r="AA263" i="19"/>
  <c r="AB263" i="19"/>
  <c r="AC263" i="19"/>
  <c r="AD263" i="19"/>
  <c r="AE263" i="19"/>
  <c r="W264" i="19"/>
  <c r="X264" i="19"/>
  <c r="Y264" i="19"/>
  <c r="Z264" i="19"/>
  <c r="AA264" i="19"/>
  <c r="AB264" i="19"/>
  <c r="AC264" i="19"/>
  <c r="AD264" i="19"/>
  <c r="AE264" i="19"/>
  <c r="W269" i="19"/>
  <c r="X269" i="19"/>
  <c r="Y269" i="19"/>
  <c r="Z269" i="19"/>
  <c r="AA269" i="19"/>
  <c r="AB269" i="19"/>
  <c r="AC269" i="19"/>
  <c r="AD269" i="19"/>
  <c r="AE269" i="19"/>
  <c r="W270" i="19"/>
  <c r="X270" i="19"/>
  <c r="Y270" i="19"/>
  <c r="Z270" i="19"/>
  <c r="AA270" i="19"/>
  <c r="AB270" i="19"/>
  <c r="AC270" i="19"/>
  <c r="AD270" i="19"/>
  <c r="AE270" i="19"/>
  <c r="W271" i="19"/>
  <c r="X271" i="19"/>
  <c r="Y271" i="19"/>
  <c r="Z271" i="19"/>
  <c r="AA271" i="19"/>
  <c r="AB271" i="19"/>
  <c r="AC271" i="19"/>
  <c r="AD271" i="19"/>
  <c r="AE271" i="19"/>
  <c r="W272" i="19"/>
  <c r="X272" i="19"/>
  <c r="Y272" i="19"/>
  <c r="Z272" i="19"/>
  <c r="AA272" i="19"/>
  <c r="AB272" i="19"/>
  <c r="AC272" i="19"/>
  <c r="AD272" i="19"/>
  <c r="AE272" i="19"/>
  <c r="W273" i="19"/>
  <c r="X273" i="19"/>
  <c r="Y273" i="19"/>
  <c r="Z273" i="19"/>
  <c r="AA273" i="19"/>
  <c r="AB273" i="19"/>
  <c r="AC273" i="19"/>
  <c r="AD273" i="19"/>
  <c r="AE273" i="19"/>
  <c r="W274" i="19"/>
  <c r="X274" i="19"/>
  <c r="Y274" i="19"/>
  <c r="Z274" i="19"/>
  <c r="AA274" i="19"/>
  <c r="AB274" i="19"/>
  <c r="AC274" i="19"/>
  <c r="AD274" i="19"/>
  <c r="AE274" i="19"/>
  <c r="W275" i="19"/>
  <c r="X275" i="19"/>
  <c r="Y275" i="19"/>
  <c r="Z275" i="19"/>
  <c r="AA275" i="19"/>
  <c r="AB275" i="19"/>
  <c r="AC275" i="19"/>
  <c r="AD275" i="19"/>
  <c r="AE275" i="19"/>
  <c r="W276" i="19"/>
  <c r="X276" i="19"/>
  <c r="Y276" i="19"/>
  <c r="Z276" i="19"/>
  <c r="AA276" i="19"/>
  <c r="AB276" i="19"/>
  <c r="AC276" i="19"/>
  <c r="AD276" i="19"/>
  <c r="AE276" i="19"/>
  <c r="W42" i="19"/>
  <c r="X42" i="19"/>
  <c r="Y42" i="19"/>
  <c r="Z42" i="19"/>
  <c r="AA42" i="19"/>
  <c r="AB42" i="19"/>
  <c r="AC42" i="19"/>
  <c r="AD42" i="19"/>
  <c r="AE42" i="19"/>
  <c r="W43" i="19"/>
  <c r="X43" i="19"/>
  <c r="Y43" i="19"/>
  <c r="Z43" i="19"/>
  <c r="AA43" i="19"/>
  <c r="AB43" i="19"/>
  <c r="AC43" i="19"/>
  <c r="AD43" i="19"/>
  <c r="AE43" i="19"/>
  <c r="W44" i="19"/>
  <c r="X44" i="19"/>
  <c r="Y44" i="19"/>
  <c r="Z44" i="19"/>
  <c r="AA44" i="19"/>
  <c r="AB44" i="19"/>
  <c r="AC44" i="19"/>
  <c r="AD44" i="19"/>
  <c r="AE44" i="19"/>
  <c r="W45" i="19"/>
  <c r="X45" i="19"/>
  <c r="Y45" i="19"/>
  <c r="Z45" i="19"/>
  <c r="AA45" i="19"/>
  <c r="AB45" i="19"/>
  <c r="AC45" i="19"/>
  <c r="AD45" i="19"/>
  <c r="AE45" i="19"/>
  <c r="W46" i="19"/>
  <c r="X46" i="19"/>
  <c r="Y46" i="19"/>
  <c r="Z46" i="19"/>
  <c r="AA46" i="19"/>
  <c r="AB46" i="19"/>
  <c r="AC46" i="19"/>
  <c r="AD46" i="19"/>
  <c r="AE46" i="19"/>
  <c r="W47" i="19"/>
  <c r="X47" i="19"/>
  <c r="Y47" i="19"/>
  <c r="Z47" i="19"/>
  <c r="AA47" i="19"/>
  <c r="AB47" i="19"/>
  <c r="AC47" i="19"/>
  <c r="AD47" i="19"/>
  <c r="AE47" i="19"/>
  <c r="W48" i="19"/>
  <c r="X48" i="19"/>
  <c r="Y48" i="19"/>
  <c r="Z48" i="19"/>
  <c r="AA48" i="19"/>
  <c r="AB48" i="19"/>
  <c r="AC48" i="19"/>
  <c r="AD48" i="19"/>
  <c r="AE48" i="19"/>
  <c r="W49" i="19"/>
  <c r="X49" i="19"/>
  <c r="Y49" i="19"/>
  <c r="Z49" i="19"/>
  <c r="AA49" i="19"/>
  <c r="AB49" i="19"/>
  <c r="AC49" i="19"/>
  <c r="AD49" i="19"/>
  <c r="AE49" i="19"/>
  <c r="W52" i="19"/>
  <c r="X52" i="19"/>
  <c r="Y52" i="19"/>
  <c r="Z52" i="19"/>
  <c r="AA52" i="19"/>
  <c r="AB52" i="19"/>
  <c r="AC52" i="19"/>
  <c r="AD52" i="19"/>
  <c r="AE52" i="19"/>
  <c r="W53" i="19"/>
  <c r="X53" i="19"/>
  <c r="Y53" i="19"/>
  <c r="Z53" i="19"/>
  <c r="AA53" i="19"/>
  <c r="AB53" i="19"/>
  <c r="AC53" i="19"/>
  <c r="AD53" i="19"/>
  <c r="AE53" i="19"/>
  <c r="W54" i="19"/>
  <c r="X54" i="19"/>
  <c r="Y54" i="19"/>
  <c r="Z54" i="19"/>
  <c r="AA54" i="19"/>
  <c r="AB54" i="19"/>
  <c r="AC54" i="19"/>
  <c r="AD54" i="19"/>
  <c r="AE54" i="19"/>
  <c r="W55" i="19"/>
  <c r="X55" i="19"/>
  <c r="Y55" i="19"/>
  <c r="Z55" i="19"/>
  <c r="AA55" i="19"/>
  <c r="AB55" i="19"/>
  <c r="AC55" i="19"/>
  <c r="AD55" i="19"/>
  <c r="AE55" i="19"/>
  <c r="W56" i="19"/>
  <c r="X56" i="19"/>
  <c r="Y56" i="19"/>
  <c r="Z56" i="19"/>
  <c r="AA56" i="19"/>
  <c r="AB56" i="19"/>
  <c r="AC56" i="19"/>
  <c r="AD56" i="19"/>
  <c r="AE56" i="19"/>
  <c r="W57" i="19"/>
  <c r="X57" i="19"/>
  <c r="Y57" i="19"/>
  <c r="Z57" i="19"/>
  <c r="AA57" i="19"/>
  <c r="AB57" i="19"/>
  <c r="AC57" i="19"/>
  <c r="AD57" i="19"/>
  <c r="AE57" i="19"/>
  <c r="W58" i="19"/>
  <c r="X58" i="19"/>
  <c r="Y58" i="19"/>
  <c r="Z58" i="19"/>
  <c r="AA58" i="19"/>
  <c r="AB58" i="19"/>
  <c r="AC58" i="19"/>
  <c r="AD58" i="19"/>
  <c r="AE58" i="19"/>
  <c r="W59" i="19"/>
  <c r="X59" i="19"/>
  <c r="Y59" i="19"/>
  <c r="Z59" i="19"/>
  <c r="AA59" i="19"/>
  <c r="AB59" i="19"/>
  <c r="AC59" i="19"/>
  <c r="AD59" i="19"/>
  <c r="AE59" i="19"/>
  <c r="W60" i="19"/>
  <c r="X60" i="19"/>
  <c r="Y60" i="19"/>
  <c r="Z60" i="19"/>
  <c r="AA60" i="19"/>
  <c r="AB60" i="19"/>
  <c r="AC60" i="19"/>
  <c r="AD60" i="19"/>
  <c r="AE60" i="19"/>
  <c r="W61" i="19"/>
  <c r="X61" i="19"/>
  <c r="Y61" i="19"/>
  <c r="Z61" i="19"/>
  <c r="AA61" i="19"/>
  <c r="AB61" i="19"/>
  <c r="AC61" i="19"/>
  <c r="AD61" i="19"/>
  <c r="AE61" i="19"/>
  <c r="W63" i="19"/>
  <c r="X63" i="19"/>
  <c r="Y63" i="19"/>
  <c r="Z63" i="19"/>
  <c r="AA63" i="19"/>
  <c r="AB63" i="19"/>
  <c r="AC63" i="19"/>
  <c r="AD63" i="19"/>
  <c r="AE63" i="19"/>
  <c r="W64" i="19"/>
  <c r="X64" i="19"/>
  <c r="Y64" i="19"/>
  <c r="Z64" i="19"/>
  <c r="AA64" i="19"/>
  <c r="AB64" i="19"/>
  <c r="AC64" i="19"/>
  <c r="AD64" i="19"/>
  <c r="AE64" i="19"/>
  <c r="W69" i="19"/>
  <c r="X69" i="19"/>
  <c r="Y69" i="19"/>
  <c r="Z69" i="19"/>
  <c r="AA69" i="19"/>
  <c r="AB69" i="19"/>
  <c r="AC69" i="19"/>
  <c r="AD69" i="19"/>
  <c r="AE69" i="19"/>
  <c r="W70" i="19"/>
  <c r="X70" i="19"/>
  <c r="Y70" i="19"/>
  <c r="Z70" i="19"/>
  <c r="AA70" i="19"/>
  <c r="AB70" i="19"/>
  <c r="AC70" i="19"/>
  <c r="AD70" i="19"/>
  <c r="AE70" i="19"/>
  <c r="W71" i="19"/>
  <c r="X71" i="19"/>
  <c r="Y71" i="19"/>
  <c r="Z71" i="19"/>
  <c r="AA71" i="19"/>
  <c r="AB71" i="19"/>
  <c r="AC71" i="19"/>
  <c r="AD71" i="19"/>
  <c r="AE71" i="19"/>
  <c r="W72" i="19"/>
  <c r="X72" i="19"/>
  <c r="Y72" i="19"/>
  <c r="Z72" i="19"/>
  <c r="AA72" i="19"/>
  <c r="AB72" i="19"/>
  <c r="AC72" i="19"/>
  <c r="AD72" i="19"/>
  <c r="AE72" i="19"/>
  <c r="W73" i="19"/>
  <c r="X73" i="19"/>
  <c r="Y73" i="19"/>
  <c r="Z73" i="19"/>
  <c r="AA73" i="19"/>
  <c r="AB73" i="19"/>
  <c r="AC73" i="19"/>
  <c r="AD73" i="19"/>
  <c r="AE73" i="19"/>
  <c r="W76" i="19"/>
  <c r="X76" i="19"/>
  <c r="Y76" i="19"/>
  <c r="Z76" i="19"/>
  <c r="AA76" i="19"/>
  <c r="AB76" i="19"/>
  <c r="AC76" i="19"/>
  <c r="AD76" i="19"/>
  <c r="AE76" i="19"/>
  <c r="W77" i="19"/>
  <c r="X77" i="19"/>
  <c r="Y77" i="19"/>
  <c r="Z77" i="19"/>
  <c r="AA77" i="19"/>
  <c r="AB77" i="19"/>
  <c r="AC77" i="19"/>
  <c r="AD77" i="19"/>
  <c r="AE77" i="19"/>
  <c r="W78" i="19"/>
  <c r="X78" i="19"/>
  <c r="Y78" i="19"/>
  <c r="Z78" i="19"/>
  <c r="AA78" i="19"/>
  <c r="AB78" i="19"/>
  <c r="AC78" i="19"/>
  <c r="AD78" i="19"/>
  <c r="AE78" i="19"/>
  <c r="W84" i="19"/>
  <c r="X84" i="19"/>
  <c r="Y84" i="19"/>
  <c r="Z84" i="19"/>
  <c r="AA84" i="19"/>
  <c r="AB84" i="19"/>
  <c r="AC84" i="19"/>
  <c r="AD84" i="19"/>
  <c r="AE84" i="19"/>
  <c r="W85" i="19"/>
  <c r="X85" i="19"/>
  <c r="Y85" i="19"/>
  <c r="Z85" i="19"/>
  <c r="AA85" i="19"/>
  <c r="AB85" i="19"/>
  <c r="AC85" i="19"/>
  <c r="AD85" i="19"/>
  <c r="AE85" i="19"/>
  <c r="W86" i="19"/>
  <c r="X86" i="19"/>
  <c r="Y86" i="19"/>
  <c r="Z86" i="19"/>
  <c r="AA86" i="19"/>
  <c r="AB86" i="19"/>
  <c r="AC86" i="19"/>
  <c r="AD86" i="19"/>
  <c r="AE86" i="19"/>
  <c r="W89" i="19"/>
  <c r="X89" i="19"/>
  <c r="Y89" i="19"/>
  <c r="Z89" i="19"/>
  <c r="AA89" i="19"/>
  <c r="AB89" i="19"/>
  <c r="AC89" i="19"/>
  <c r="AD89" i="19"/>
  <c r="AE89" i="19"/>
  <c r="W90" i="19"/>
  <c r="X90" i="19"/>
  <c r="Y90" i="19"/>
  <c r="Z90" i="19"/>
  <c r="AA90" i="19"/>
  <c r="AB90" i="19"/>
  <c r="AC90" i="19"/>
  <c r="AD90" i="19"/>
  <c r="AE90" i="19"/>
  <c r="W91" i="19"/>
  <c r="X91" i="19"/>
  <c r="Y91" i="19"/>
  <c r="Z91" i="19"/>
  <c r="AA91" i="19"/>
  <c r="AB91" i="19"/>
  <c r="AC91" i="19"/>
  <c r="AD91" i="19"/>
  <c r="AE91" i="19"/>
  <c r="W105" i="19"/>
  <c r="X105" i="19"/>
  <c r="Y105" i="19"/>
  <c r="Z105" i="19"/>
  <c r="AA105" i="19"/>
  <c r="AB105" i="19"/>
  <c r="AC105" i="19"/>
  <c r="AD105" i="19"/>
  <c r="AE105" i="19"/>
  <c r="W99" i="19"/>
  <c r="X99" i="19"/>
  <c r="Y99" i="19"/>
  <c r="Z99" i="19"/>
  <c r="AA99" i="19"/>
  <c r="AB99" i="19"/>
  <c r="AC99" i="19"/>
  <c r="AD99" i="19"/>
  <c r="AE99" i="19"/>
  <c r="W100" i="19"/>
  <c r="X100" i="19"/>
  <c r="Y100" i="19"/>
  <c r="Z100" i="19"/>
  <c r="AA100" i="19"/>
  <c r="AB100" i="19"/>
  <c r="AC100" i="19"/>
  <c r="AD100" i="19"/>
  <c r="AE100" i="19"/>
  <c r="W102" i="19"/>
  <c r="X102" i="19"/>
  <c r="Y102" i="19"/>
  <c r="Z102" i="19"/>
  <c r="AA102" i="19"/>
  <c r="AB102" i="19"/>
  <c r="AC102" i="19"/>
  <c r="AD102" i="19"/>
  <c r="AE102" i="19"/>
  <c r="W103" i="19"/>
  <c r="X103" i="19"/>
  <c r="Y103" i="19"/>
  <c r="Z103" i="19"/>
  <c r="AA103" i="19"/>
  <c r="AB103" i="19"/>
  <c r="AC103" i="19"/>
  <c r="AD103" i="19"/>
  <c r="AE103" i="19"/>
  <c r="W104" i="19"/>
  <c r="X104" i="19"/>
  <c r="Y104" i="19"/>
  <c r="Z104" i="19"/>
  <c r="AA104" i="19"/>
  <c r="AB104" i="19"/>
  <c r="AC104" i="19"/>
  <c r="AD104" i="19"/>
  <c r="AE104" i="19"/>
  <c r="W110" i="19"/>
  <c r="X110" i="19"/>
  <c r="Y110" i="19"/>
  <c r="Z110" i="19"/>
  <c r="AA110" i="19"/>
  <c r="AB110" i="19"/>
  <c r="AC110" i="19"/>
  <c r="AD110" i="19"/>
  <c r="AE110" i="19"/>
  <c r="W111" i="19"/>
  <c r="X111" i="19"/>
  <c r="Y111" i="19"/>
  <c r="Z111" i="19"/>
  <c r="AA111" i="19"/>
  <c r="AB111" i="19"/>
  <c r="AC111" i="19"/>
  <c r="AD111" i="19"/>
  <c r="AE111" i="19"/>
  <c r="W115" i="19"/>
  <c r="X115" i="19"/>
  <c r="Y115" i="19"/>
  <c r="Z115" i="19"/>
  <c r="AA115" i="19"/>
  <c r="AB115" i="19"/>
  <c r="AC115" i="19"/>
  <c r="AD115" i="19"/>
  <c r="AE115" i="19"/>
  <c r="W116" i="19"/>
  <c r="X116" i="19"/>
  <c r="Y116" i="19"/>
  <c r="Z116" i="19"/>
  <c r="AA116" i="19"/>
  <c r="AB116" i="19"/>
  <c r="AC116" i="19"/>
  <c r="AD116" i="19"/>
  <c r="AE116" i="19"/>
  <c r="W119" i="19"/>
  <c r="X119" i="19"/>
  <c r="Y119" i="19"/>
  <c r="Z119" i="19"/>
  <c r="AA119" i="19"/>
  <c r="AB119" i="19"/>
  <c r="AC119" i="19"/>
  <c r="AD119" i="19"/>
  <c r="AE119" i="19"/>
  <c r="W121" i="19"/>
  <c r="X121" i="19"/>
  <c r="Y121" i="19"/>
  <c r="Z121" i="19"/>
  <c r="AA121" i="19"/>
  <c r="AB121" i="19"/>
  <c r="AC121" i="19"/>
  <c r="AD121" i="19"/>
  <c r="AE121" i="19"/>
  <c r="W140" i="19"/>
  <c r="X140" i="19"/>
  <c r="Y140" i="19"/>
  <c r="Z140" i="19"/>
  <c r="AA140" i="19"/>
  <c r="AB140" i="19"/>
  <c r="AC140" i="19"/>
  <c r="AD140" i="19"/>
  <c r="AE140" i="19"/>
  <c r="W141" i="19"/>
  <c r="X141" i="19"/>
  <c r="Y141" i="19"/>
  <c r="Z141" i="19"/>
  <c r="AA141" i="19"/>
  <c r="AB141" i="19"/>
  <c r="AC141" i="19"/>
  <c r="AD141" i="19"/>
  <c r="AE141" i="19"/>
  <c r="W143" i="19"/>
  <c r="X143" i="19"/>
  <c r="Y143" i="19"/>
  <c r="Z143" i="19"/>
  <c r="AA143" i="19"/>
  <c r="AB143" i="19"/>
  <c r="AC143" i="19"/>
  <c r="AD143" i="19"/>
  <c r="AE143" i="19"/>
  <c r="W144" i="19"/>
  <c r="X144" i="19"/>
  <c r="Y144" i="19"/>
  <c r="Z144" i="19"/>
  <c r="AA144" i="19"/>
  <c r="AB144" i="19"/>
  <c r="AC144" i="19"/>
  <c r="AD144" i="19"/>
  <c r="AE144" i="19"/>
  <c r="W147" i="19"/>
  <c r="X147" i="19"/>
  <c r="Y147" i="19"/>
  <c r="Z147" i="19"/>
  <c r="AA147" i="19"/>
  <c r="AB147" i="19"/>
  <c r="AC147" i="19"/>
  <c r="AD147" i="19"/>
  <c r="AE147" i="19"/>
  <c r="W150" i="19"/>
  <c r="X150" i="19"/>
  <c r="Y150" i="19"/>
  <c r="Z150" i="19"/>
  <c r="AA150" i="19"/>
  <c r="AB150" i="19"/>
  <c r="AC150" i="19"/>
  <c r="AD150" i="19"/>
  <c r="AE150" i="19"/>
  <c r="W151" i="19"/>
  <c r="X151" i="19"/>
  <c r="Y151" i="19"/>
  <c r="Z151" i="19"/>
  <c r="AA151" i="19"/>
  <c r="AB151" i="19"/>
  <c r="AC151" i="19"/>
  <c r="AD151" i="19"/>
  <c r="AE151" i="19"/>
  <c r="W152" i="19"/>
  <c r="X152" i="19"/>
  <c r="Y152" i="19"/>
  <c r="Z152" i="19"/>
  <c r="AA152" i="19"/>
  <c r="AB152" i="19"/>
  <c r="AC152" i="19"/>
  <c r="AD152" i="19"/>
  <c r="AE152" i="19"/>
  <c r="W153" i="19"/>
  <c r="X153" i="19"/>
  <c r="Y153" i="19"/>
  <c r="Z153" i="19"/>
  <c r="AA153" i="19"/>
  <c r="AB153" i="19"/>
  <c r="AC153" i="19"/>
  <c r="AD153" i="19"/>
  <c r="AE153" i="19"/>
  <c r="W162" i="19"/>
  <c r="X162" i="19"/>
  <c r="Y162" i="19"/>
  <c r="Z162" i="19"/>
  <c r="AA162" i="19"/>
  <c r="AB162" i="19"/>
  <c r="AC162" i="19"/>
  <c r="AD162" i="19"/>
  <c r="AE162" i="19"/>
  <c r="W177" i="19"/>
  <c r="X177" i="19"/>
  <c r="Y177" i="19"/>
  <c r="Z177" i="19"/>
  <c r="AA177" i="19"/>
  <c r="AB177" i="19"/>
  <c r="AC177" i="19"/>
  <c r="AD177" i="19"/>
  <c r="AE177" i="19"/>
  <c r="W178" i="19"/>
  <c r="X178" i="19"/>
  <c r="Y178" i="19"/>
  <c r="Z178" i="19"/>
  <c r="AA178" i="19"/>
  <c r="AB178" i="19"/>
  <c r="AC178" i="19"/>
  <c r="AD178" i="19"/>
  <c r="AE178" i="19"/>
  <c r="W179" i="19"/>
  <c r="X179" i="19"/>
  <c r="Y179" i="19"/>
  <c r="Z179" i="19"/>
  <c r="AA179" i="19"/>
  <c r="AB179" i="19"/>
  <c r="AC179" i="19"/>
  <c r="AD179" i="19"/>
  <c r="AE179" i="19"/>
  <c r="W180" i="19"/>
  <c r="X180" i="19"/>
  <c r="Y180" i="19"/>
  <c r="Z180" i="19"/>
  <c r="AA180" i="19"/>
  <c r="AB180" i="19"/>
  <c r="AC180" i="19"/>
  <c r="AD180" i="19"/>
  <c r="AE180" i="19"/>
  <c r="W181" i="19"/>
  <c r="X181" i="19"/>
  <c r="Y181" i="19"/>
  <c r="Z181" i="19"/>
  <c r="AA181" i="19"/>
  <c r="AB181" i="19"/>
  <c r="AC181" i="19"/>
  <c r="AD181" i="19"/>
  <c r="AE181" i="19"/>
  <c r="W182" i="19"/>
  <c r="X182" i="19"/>
  <c r="Y182" i="19"/>
  <c r="Z182" i="19"/>
  <c r="AA182" i="19"/>
  <c r="AB182" i="19"/>
  <c r="AC182" i="19"/>
  <c r="AD182" i="19"/>
  <c r="AE182" i="19"/>
  <c r="W183" i="19"/>
  <c r="X183" i="19"/>
  <c r="Y183" i="19"/>
  <c r="Z183" i="19"/>
  <c r="AA183" i="19"/>
  <c r="AB183" i="19"/>
  <c r="AC183" i="19"/>
  <c r="AD183" i="19"/>
  <c r="AE183" i="19"/>
  <c r="W184" i="19"/>
  <c r="X184" i="19"/>
  <c r="Y184" i="19"/>
  <c r="Z184" i="19"/>
  <c r="AA184" i="19"/>
  <c r="AB184" i="19"/>
  <c r="AC184" i="19"/>
  <c r="AD184" i="19"/>
  <c r="AE184" i="19"/>
  <c r="W186" i="19"/>
  <c r="X186" i="19"/>
  <c r="Y186" i="19"/>
  <c r="Z186" i="19"/>
  <c r="AA186" i="19"/>
  <c r="AB186" i="19"/>
  <c r="AC186" i="19"/>
  <c r="AD186" i="19"/>
  <c r="AE186" i="19"/>
  <c r="W187" i="19"/>
  <c r="X187" i="19"/>
  <c r="Y187" i="19"/>
  <c r="Z187" i="19"/>
  <c r="AA187" i="19"/>
  <c r="AB187" i="19"/>
  <c r="AC187" i="19"/>
  <c r="AD187" i="19"/>
  <c r="AE187" i="19"/>
  <c r="W188" i="19"/>
  <c r="X188" i="19"/>
  <c r="Y188" i="19"/>
  <c r="Z188" i="19"/>
  <c r="AA188" i="19"/>
  <c r="AB188" i="19"/>
  <c r="AC188" i="19"/>
  <c r="AD188" i="19"/>
  <c r="AE188" i="19"/>
  <c r="W189" i="19"/>
  <c r="X189" i="19"/>
  <c r="Y189" i="19"/>
  <c r="Z189" i="19"/>
  <c r="AA189" i="19"/>
  <c r="AB189" i="19"/>
  <c r="AC189" i="19"/>
  <c r="AD189" i="19"/>
  <c r="AE189" i="19"/>
  <c r="W190" i="19"/>
  <c r="X190" i="19"/>
  <c r="Y190" i="19"/>
  <c r="Z190" i="19"/>
  <c r="AA190" i="19"/>
  <c r="AB190" i="19"/>
  <c r="AC190" i="19"/>
  <c r="AD190" i="19"/>
  <c r="AE190" i="19"/>
  <c r="W191" i="19"/>
  <c r="X191" i="19"/>
  <c r="Y191" i="19"/>
  <c r="Z191" i="19"/>
  <c r="AA191" i="19"/>
  <c r="AB191" i="19"/>
  <c r="AC191" i="19"/>
  <c r="AD191" i="19"/>
  <c r="AE191" i="19"/>
  <c r="W192" i="19"/>
  <c r="X192" i="19"/>
  <c r="Y192" i="19"/>
  <c r="Z192" i="19"/>
  <c r="AA192" i="19"/>
  <c r="AB192" i="19"/>
  <c r="AC192" i="19"/>
  <c r="AD192" i="19"/>
  <c r="AE192" i="19"/>
  <c r="W193" i="19"/>
  <c r="X193" i="19"/>
  <c r="Y193" i="19"/>
  <c r="Z193" i="19"/>
  <c r="AA193" i="19"/>
  <c r="AB193" i="19"/>
  <c r="AC193" i="19"/>
  <c r="AD193" i="19"/>
  <c r="AE193" i="19"/>
  <c r="W196" i="19"/>
  <c r="X196" i="19"/>
  <c r="Y196" i="19"/>
  <c r="Z196" i="19"/>
  <c r="AA196" i="19"/>
  <c r="AB196" i="19"/>
  <c r="AC196" i="19"/>
  <c r="AD196" i="19"/>
  <c r="AE196" i="19"/>
  <c r="W214" i="19"/>
  <c r="X214" i="19"/>
  <c r="Y214" i="19"/>
  <c r="Z214" i="19"/>
  <c r="AA214" i="19"/>
  <c r="AB214" i="19"/>
  <c r="AC214" i="19"/>
  <c r="AD214" i="19"/>
  <c r="AE214" i="19"/>
  <c r="W215" i="19"/>
  <c r="X215" i="19"/>
  <c r="Y215" i="19"/>
  <c r="Z215" i="19"/>
  <c r="AA215" i="19"/>
  <c r="AB215" i="19"/>
  <c r="AC215" i="19"/>
  <c r="AD215" i="19"/>
  <c r="AE215" i="19"/>
  <c r="W221" i="19"/>
  <c r="X221" i="19"/>
  <c r="Y221" i="19"/>
  <c r="Z221" i="19"/>
  <c r="AA221" i="19"/>
  <c r="AB221" i="19"/>
  <c r="AC221" i="19"/>
  <c r="AD221" i="19"/>
  <c r="AE221" i="19"/>
  <c r="W222" i="19"/>
  <c r="X222" i="19"/>
  <c r="Y222" i="19"/>
  <c r="Z222" i="19"/>
  <c r="AA222" i="19"/>
  <c r="AB222" i="19"/>
  <c r="AC222" i="19"/>
  <c r="AD222" i="19"/>
  <c r="AE222" i="19"/>
  <c r="W223" i="19"/>
  <c r="X223" i="19"/>
  <c r="Y223" i="19"/>
  <c r="Z223" i="19"/>
  <c r="AA223" i="19"/>
  <c r="AB223" i="19"/>
  <c r="AC223" i="19"/>
  <c r="AD223" i="19"/>
  <c r="AE223" i="19"/>
  <c r="W224" i="19"/>
  <c r="X224" i="19"/>
  <c r="Y224" i="19"/>
  <c r="Z224" i="19"/>
  <c r="AA224" i="19"/>
  <c r="AB224" i="19"/>
  <c r="AC224" i="19"/>
  <c r="AD224" i="19"/>
  <c r="AE224" i="19"/>
  <c r="W225" i="19"/>
  <c r="X225" i="19"/>
  <c r="Y225" i="19"/>
  <c r="Z225" i="19"/>
  <c r="AA225" i="19"/>
  <c r="AB225" i="19"/>
  <c r="AC225" i="19"/>
  <c r="AD225" i="19"/>
  <c r="AE225" i="19"/>
  <c r="W226" i="19"/>
  <c r="X226" i="19"/>
  <c r="Y226" i="19"/>
  <c r="Z226" i="19"/>
  <c r="AA226" i="19"/>
  <c r="AB226" i="19"/>
  <c r="AC226" i="19"/>
  <c r="AD226" i="19"/>
  <c r="AE226" i="19"/>
  <c r="W227" i="19"/>
  <c r="X227" i="19"/>
  <c r="Y227" i="19"/>
  <c r="Z227" i="19"/>
  <c r="AA227" i="19"/>
  <c r="AB227" i="19"/>
  <c r="AC227" i="19"/>
  <c r="AD227" i="19"/>
  <c r="AE227" i="19"/>
  <c r="W235" i="19"/>
  <c r="X235" i="19"/>
  <c r="Y235" i="19"/>
  <c r="Z235" i="19"/>
  <c r="AA235" i="19"/>
  <c r="AB235" i="19"/>
  <c r="AC235" i="19"/>
  <c r="AD235" i="19"/>
  <c r="AE235" i="19"/>
  <c r="W236" i="19"/>
  <c r="X236" i="19"/>
  <c r="Y236" i="19"/>
  <c r="Z236" i="19"/>
  <c r="AA236" i="19"/>
  <c r="AB236" i="19"/>
  <c r="AC236" i="19"/>
  <c r="AD236" i="19"/>
  <c r="AE236" i="19"/>
  <c r="W237" i="19"/>
  <c r="X237" i="19"/>
  <c r="Y237" i="19"/>
  <c r="Z237" i="19"/>
  <c r="AA237" i="19"/>
  <c r="AB237" i="19"/>
  <c r="AC237" i="19"/>
  <c r="AD237" i="19"/>
  <c r="AE237" i="19"/>
  <c r="W238" i="19"/>
  <c r="X238" i="19"/>
  <c r="Y238" i="19"/>
  <c r="Z238" i="19"/>
  <c r="AA238" i="19"/>
  <c r="AB238" i="19"/>
  <c r="AC238" i="19"/>
  <c r="AD238" i="19"/>
  <c r="AE238" i="19"/>
  <c r="I162" i="19"/>
  <c r="O152" i="19"/>
  <c r="G283" i="32"/>
  <c r="G278" i="32"/>
  <c r="K18" i="66"/>
  <c r="K19" i="66"/>
  <c r="B23" i="66"/>
  <c r="D23" i="66"/>
  <c r="F23" i="66"/>
  <c r="C404" i="32"/>
  <c r="C403" i="32"/>
  <c r="AG850" i="19"/>
  <c r="AF850" i="19"/>
  <c r="AE850" i="19"/>
  <c r="AD850" i="19"/>
  <c r="AC850" i="19"/>
  <c r="AB850" i="19"/>
  <c r="AA850" i="19"/>
  <c r="Z850" i="19"/>
  <c r="Y850" i="19"/>
  <c r="X850" i="19"/>
  <c r="W850" i="19"/>
  <c r="AE849" i="19"/>
  <c r="AD849" i="19"/>
  <c r="AC849" i="19"/>
  <c r="AB849" i="19"/>
  <c r="AA849" i="19"/>
  <c r="Z849" i="19"/>
  <c r="Y849" i="19"/>
  <c r="X849" i="19"/>
  <c r="W849" i="19"/>
  <c r="AE851" i="19"/>
  <c r="AD851" i="19"/>
  <c r="AC851" i="19"/>
  <c r="AB851" i="19"/>
  <c r="AA851" i="19"/>
  <c r="Z851" i="19"/>
  <c r="Y851" i="19"/>
  <c r="X851" i="19"/>
  <c r="W851" i="19"/>
  <c r="AG848" i="19"/>
  <c r="AF848" i="19"/>
  <c r="AE848" i="19"/>
  <c r="AD848" i="19"/>
  <c r="AC848" i="19"/>
  <c r="AB848" i="19"/>
  <c r="AA848" i="19"/>
  <c r="Z848" i="19"/>
  <c r="Y848" i="19"/>
  <c r="X848" i="19"/>
  <c r="W848" i="19"/>
  <c r="AE847" i="19"/>
  <c r="AD847" i="19"/>
  <c r="AC847" i="19"/>
  <c r="AB847" i="19"/>
  <c r="AA847" i="19"/>
  <c r="Z847" i="19"/>
  <c r="Y847" i="19"/>
  <c r="X847" i="19"/>
  <c r="W847" i="19"/>
  <c r="AG476" i="19"/>
  <c r="AF476" i="19"/>
  <c r="AE476" i="19"/>
  <c r="AD476" i="19"/>
  <c r="AC476" i="19"/>
  <c r="AB476" i="19"/>
  <c r="AA476" i="19"/>
  <c r="Z476" i="19"/>
  <c r="Y476" i="19"/>
  <c r="X476" i="19"/>
  <c r="W476" i="19"/>
  <c r="AE475" i="19"/>
  <c r="AD475" i="19"/>
  <c r="AC475" i="19"/>
  <c r="AB475" i="19"/>
  <c r="AA475" i="19"/>
  <c r="Z475" i="19"/>
  <c r="Y475" i="19"/>
  <c r="X475" i="19"/>
  <c r="W475" i="19"/>
  <c r="I221" i="19"/>
  <c r="M215" i="19"/>
  <c r="N215" i="19"/>
  <c r="R12" i="34"/>
  <c r="K28" i="34"/>
  <c r="K27" i="34"/>
  <c r="K26" i="34"/>
  <c r="K25" i="34"/>
  <c r="K24" i="34"/>
  <c r="K23" i="34"/>
  <c r="J61" i="34"/>
  <c r="J51" i="34"/>
  <c r="K51" i="34"/>
  <c r="L51" i="34"/>
  <c r="J46" i="34"/>
  <c r="J44" i="34"/>
  <c r="K44" i="34"/>
  <c r="J41" i="34"/>
  <c r="J37" i="34"/>
  <c r="J36" i="34"/>
  <c r="J35" i="34"/>
  <c r="J34" i="34"/>
  <c r="J33" i="34"/>
  <c r="J32" i="34"/>
  <c r="J28" i="34"/>
  <c r="J27" i="34"/>
  <c r="L27" i="34"/>
  <c r="J26" i="34"/>
  <c r="J25" i="34"/>
  <c r="J24" i="34"/>
  <c r="L24" i="34"/>
  <c r="J23" i="34"/>
  <c r="J20" i="34"/>
  <c r="J19" i="34"/>
  <c r="J15" i="34"/>
  <c r="J14" i="34"/>
  <c r="J13" i="34"/>
  <c r="J12" i="34"/>
  <c r="J11" i="34"/>
  <c r="J10" i="34"/>
  <c r="J9" i="34"/>
  <c r="J7" i="34"/>
  <c r="J6" i="34"/>
  <c r="J5" i="34"/>
  <c r="H22" i="34"/>
  <c r="I22" i="34"/>
  <c r="K22" i="34"/>
  <c r="L22" i="34"/>
  <c r="H31" i="34"/>
  <c r="I31" i="34"/>
  <c r="K31" i="34"/>
  <c r="L31" i="34"/>
  <c r="H43" i="34"/>
  <c r="I43" i="34"/>
  <c r="K43" i="34"/>
  <c r="L43" i="34"/>
  <c r="H70" i="34"/>
  <c r="I70" i="34"/>
  <c r="K70" i="34"/>
  <c r="L70" i="34"/>
  <c r="B15" i="34"/>
  <c r="D15" i="34"/>
  <c r="F15" i="34"/>
  <c r="B14" i="34"/>
  <c r="D14" i="34"/>
  <c r="F14" i="34"/>
  <c r="B13" i="34"/>
  <c r="D13" i="34"/>
  <c r="F13" i="34"/>
  <c r="B12" i="34"/>
  <c r="D12" i="34"/>
  <c r="F12" i="34"/>
  <c r="B11" i="34"/>
  <c r="D11" i="34"/>
  <c r="F11" i="34"/>
  <c r="B10" i="34"/>
  <c r="D10" i="34"/>
  <c r="F10" i="34"/>
  <c r="B9" i="34"/>
  <c r="D9" i="34"/>
  <c r="F9" i="34"/>
  <c r="B46" i="34"/>
  <c r="D46" i="34"/>
  <c r="F46" i="34"/>
  <c r="B44" i="34"/>
  <c r="D44" i="34"/>
  <c r="F44" i="34"/>
  <c r="O22" i="34"/>
  <c r="O31" i="34"/>
  <c r="O70" i="34"/>
  <c r="B61" i="34"/>
  <c r="D61" i="34"/>
  <c r="F61" i="34"/>
  <c r="B51" i="34"/>
  <c r="D51" i="34"/>
  <c r="F51" i="34"/>
  <c r="B45" i="34"/>
  <c r="D45" i="34"/>
  <c r="B42" i="34"/>
  <c r="D42" i="34"/>
  <c r="F42" i="34"/>
  <c r="B41" i="34"/>
  <c r="D41" i="34"/>
  <c r="F41" i="34"/>
  <c r="B37" i="34"/>
  <c r="D37" i="34"/>
  <c r="F37" i="34"/>
  <c r="B36" i="34"/>
  <c r="D36" i="34"/>
  <c r="F36" i="34"/>
  <c r="B35" i="34"/>
  <c r="D35" i="34"/>
  <c r="F35" i="34"/>
  <c r="B34" i="34"/>
  <c r="D34" i="34"/>
  <c r="F34" i="34"/>
  <c r="B33" i="34"/>
  <c r="D33" i="34"/>
  <c r="F33" i="34"/>
  <c r="B32" i="34"/>
  <c r="D32" i="34"/>
  <c r="F32" i="34"/>
  <c r="B28" i="34"/>
  <c r="D28" i="34"/>
  <c r="F28" i="34"/>
  <c r="B27" i="34"/>
  <c r="D27" i="34"/>
  <c r="F27" i="34"/>
  <c r="B26" i="34"/>
  <c r="D26" i="34"/>
  <c r="F26" i="34"/>
  <c r="B24" i="34"/>
  <c r="D24" i="34"/>
  <c r="F24" i="34"/>
  <c r="B25" i="34"/>
  <c r="D25" i="34"/>
  <c r="F25" i="34"/>
  <c r="B23" i="34"/>
  <c r="D23" i="34"/>
  <c r="F23" i="34"/>
  <c r="B20" i="34"/>
  <c r="D20" i="34"/>
  <c r="F20" i="34"/>
  <c r="C389" i="32"/>
  <c r="C348" i="32"/>
  <c r="C320" i="32"/>
  <c r="AE407" i="19"/>
  <c r="AD407" i="19"/>
  <c r="AC407" i="19"/>
  <c r="AB407" i="19"/>
  <c r="AA407" i="19"/>
  <c r="Z407" i="19"/>
  <c r="Y407" i="19"/>
  <c r="X407" i="19"/>
  <c r="W407" i="19"/>
  <c r="N56" i="19"/>
  <c r="N58" i="19"/>
  <c r="H49" i="19"/>
  <c r="B49" i="19"/>
  <c r="B73" i="19"/>
  <c r="B183" i="19"/>
  <c r="B193" i="19"/>
  <c r="B392" i="19"/>
  <c r="E49" i="19"/>
  <c r="E73" i="19"/>
  <c r="AJ21" i="19"/>
  <c r="AG21" i="19"/>
  <c r="AE21" i="19"/>
  <c r="AD21" i="19"/>
  <c r="AC21" i="19"/>
  <c r="AB21" i="19"/>
  <c r="AA21" i="19"/>
  <c r="Z21" i="19"/>
  <c r="Y21" i="19"/>
  <c r="X21" i="19"/>
  <c r="W21" i="19"/>
  <c r="I20" i="74"/>
  <c r="G217" i="32"/>
  <c r="G218" i="32"/>
  <c r="G219" i="32"/>
  <c r="G220" i="32"/>
  <c r="G216" i="32"/>
  <c r="G225" i="32"/>
  <c r="G248" i="32"/>
  <c r="G263" i="32"/>
  <c r="I19" i="74"/>
  <c r="W898" i="19"/>
  <c r="B63" i="66"/>
  <c r="G704" i="32"/>
  <c r="D11" i="66"/>
  <c r="F11" i="66"/>
  <c r="D13" i="66"/>
  <c r="F13" i="66"/>
  <c r="G559" i="32"/>
  <c r="G558" i="32"/>
  <c r="G557" i="32"/>
  <c r="AE887" i="19"/>
  <c r="AD887" i="19"/>
  <c r="AC887" i="19"/>
  <c r="AB887" i="19"/>
  <c r="AA887" i="19"/>
  <c r="Z887" i="19"/>
  <c r="Y887" i="19"/>
  <c r="X887" i="19"/>
  <c r="W887" i="19"/>
  <c r="G269" i="32"/>
  <c r="G264" i="32"/>
  <c r="G254" i="32"/>
  <c r="G249" i="32"/>
  <c r="AE1027" i="19"/>
  <c r="AD1027" i="19"/>
  <c r="AC1027" i="19"/>
  <c r="AB1027" i="19"/>
  <c r="AA1027" i="19"/>
  <c r="Z1027" i="19"/>
  <c r="Y1027" i="19"/>
  <c r="X1027" i="19"/>
  <c r="W1027" i="19"/>
  <c r="AF1061" i="19"/>
  <c r="F1000" i="19"/>
  <c r="J1000" i="19"/>
  <c r="M999" i="19"/>
  <c r="J999" i="19"/>
  <c r="J147" i="19"/>
  <c r="J996" i="19"/>
  <c r="F997" i="19"/>
  <c r="J997" i="19"/>
  <c r="M996" i="19"/>
  <c r="H962" i="19"/>
  <c r="G440" i="32"/>
  <c r="AG782" i="19"/>
  <c r="AF782" i="19"/>
  <c r="AE782" i="19"/>
  <c r="AD782" i="19"/>
  <c r="AC782" i="19"/>
  <c r="AB782" i="19"/>
  <c r="AA782" i="19"/>
  <c r="Z782" i="19"/>
  <c r="Y782" i="19"/>
  <c r="X782" i="19"/>
  <c r="W782" i="19"/>
  <c r="AE781" i="19"/>
  <c r="AD781" i="19"/>
  <c r="AC781" i="19"/>
  <c r="AB781" i="19"/>
  <c r="AA781" i="19"/>
  <c r="Z781" i="19"/>
  <c r="Y781" i="19"/>
  <c r="X781" i="19"/>
  <c r="W781" i="19"/>
  <c r="AE477" i="19"/>
  <c r="AD477" i="19"/>
  <c r="AC477" i="19"/>
  <c r="AB477" i="19"/>
  <c r="AA477" i="19"/>
  <c r="Z477" i="19"/>
  <c r="Y477" i="19"/>
  <c r="X477" i="19"/>
  <c r="W477" i="19"/>
  <c r="AG474" i="19"/>
  <c r="AF474" i="19"/>
  <c r="AE474" i="19"/>
  <c r="AD474" i="19"/>
  <c r="AC474" i="19"/>
  <c r="AB474" i="19"/>
  <c r="AA474" i="19"/>
  <c r="Z474" i="19"/>
  <c r="Y474" i="19"/>
  <c r="X474" i="19"/>
  <c r="W474" i="19"/>
  <c r="AE473" i="19"/>
  <c r="AD473" i="19"/>
  <c r="AC473" i="19"/>
  <c r="AB473" i="19"/>
  <c r="AA473" i="19"/>
  <c r="Z473" i="19"/>
  <c r="Y473" i="19"/>
  <c r="X473" i="19"/>
  <c r="W473" i="19"/>
  <c r="AG472" i="19"/>
  <c r="AF472" i="19"/>
  <c r="AE472" i="19"/>
  <c r="AD472" i="19"/>
  <c r="AC472" i="19"/>
  <c r="AB472" i="19"/>
  <c r="AA472" i="19"/>
  <c r="Z472" i="19"/>
  <c r="Y472" i="19"/>
  <c r="X472" i="19"/>
  <c r="W472" i="19"/>
  <c r="AE471" i="19"/>
  <c r="AD471" i="19"/>
  <c r="AC471" i="19"/>
  <c r="AB471" i="19"/>
  <c r="AA471" i="19"/>
  <c r="Z471" i="19"/>
  <c r="Y471" i="19"/>
  <c r="X471" i="19"/>
  <c r="W471" i="19"/>
  <c r="I343" i="19"/>
  <c r="I89" i="19"/>
  <c r="AH86" i="19"/>
  <c r="AG86" i="19"/>
  <c r="AF86" i="19"/>
  <c r="I292" i="19"/>
  <c r="I150" i="19"/>
  <c r="G210" i="32"/>
  <c r="G205" i="32"/>
  <c r="G239" i="32"/>
  <c r="G234" i="32"/>
  <c r="G196" i="32"/>
  <c r="G191" i="32"/>
  <c r="I322" i="19"/>
  <c r="I287" i="19"/>
  <c r="I279" i="19"/>
  <c r="G922" i="19"/>
  <c r="G923" i="19"/>
  <c r="G924" i="19"/>
  <c r="AE924" i="19"/>
  <c r="AD924" i="19"/>
  <c r="AC924" i="19"/>
  <c r="AB924" i="19"/>
  <c r="AA924" i="19"/>
  <c r="Z924" i="19"/>
  <c r="Y924" i="19"/>
  <c r="X924" i="19"/>
  <c r="W924" i="19"/>
  <c r="AF922" i="19"/>
  <c r="AE921" i="19"/>
  <c r="AD921" i="19"/>
  <c r="AC921" i="19"/>
  <c r="AB921" i="19"/>
  <c r="AA921" i="19"/>
  <c r="Z921" i="19"/>
  <c r="Y921" i="19"/>
  <c r="X921" i="19"/>
  <c r="W921" i="19"/>
  <c r="AE920" i="19"/>
  <c r="AD920" i="19"/>
  <c r="AC920" i="19"/>
  <c r="AB920" i="19"/>
  <c r="AA920" i="19"/>
  <c r="Z920" i="19"/>
  <c r="Y920" i="19"/>
  <c r="X920" i="19"/>
  <c r="W920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AF54" i="19"/>
  <c r="H55" i="19"/>
  <c r="H56" i="19"/>
  <c r="F7" i="75"/>
  <c r="F3" i="75"/>
  <c r="I26" i="74"/>
  <c r="AG273" i="19"/>
  <c r="AF273" i="19"/>
  <c r="AF255" i="19"/>
  <c r="G255" i="19"/>
  <c r="G256" i="19"/>
  <c r="G257" i="19"/>
  <c r="G258" i="19"/>
  <c r="G259" i="19"/>
  <c r="V254" i="19"/>
  <c r="H192" i="19"/>
  <c r="I69" i="19"/>
  <c r="AG405" i="19"/>
  <c r="AF405" i="19"/>
  <c r="AE405" i="19"/>
  <c r="AD405" i="19"/>
  <c r="AC405" i="19"/>
  <c r="AB405" i="19"/>
  <c r="AA405" i="19"/>
  <c r="Z405" i="19"/>
  <c r="Y405" i="19"/>
  <c r="X405" i="19"/>
  <c r="W405" i="19"/>
  <c r="AE404" i="19"/>
  <c r="AD404" i="19"/>
  <c r="AC404" i="19"/>
  <c r="AB404" i="19"/>
  <c r="AA404" i="19"/>
  <c r="Z404" i="19"/>
  <c r="Y404" i="19"/>
  <c r="X404" i="19"/>
  <c r="W404" i="19"/>
  <c r="AE450" i="19"/>
  <c r="AD450" i="19"/>
  <c r="AC450" i="19"/>
  <c r="AB450" i="19"/>
  <c r="AA450" i="19"/>
  <c r="Z450" i="19"/>
  <c r="Y450" i="19"/>
  <c r="X450" i="19"/>
  <c r="W450" i="19"/>
  <c r="AG447" i="19"/>
  <c r="AF447" i="19"/>
  <c r="AE447" i="19"/>
  <c r="AD447" i="19"/>
  <c r="AC447" i="19"/>
  <c r="AB447" i="19"/>
  <c r="AA447" i="19"/>
  <c r="Z447" i="19"/>
  <c r="Y447" i="19"/>
  <c r="X447" i="19"/>
  <c r="W447" i="19"/>
  <c r="AE446" i="19"/>
  <c r="AD446" i="19"/>
  <c r="AC446" i="19"/>
  <c r="AB446" i="19"/>
  <c r="AA446" i="19"/>
  <c r="Z446" i="19"/>
  <c r="Y446" i="19"/>
  <c r="X446" i="19"/>
  <c r="W446" i="19"/>
  <c r="AG445" i="19"/>
  <c r="AF445" i="19"/>
  <c r="AE445" i="19"/>
  <c r="AD445" i="19"/>
  <c r="AC445" i="19"/>
  <c r="AB445" i="19"/>
  <c r="AA445" i="19"/>
  <c r="Z445" i="19"/>
  <c r="Y445" i="19"/>
  <c r="X445" i="19"/>
  <c r="W445" i="19"/>
  <c r="AE444" i="19"/>
  <c r="AD444" i="19"/>
  <c r="AC444" i="19"/>
  <c r="AB444" i="19"/>
  <c r="AA444" i="19"/>
  <c r="Z444" i="19"/>
  <c r="Y444" i="19"/>
  <c r="X444" i="19"/>
  <c r="W444" i="19"/>
  <c r="AG644" i="19"/>
  <c r="AF644" i="19"/>
  <c r="AE644" i="19"/>
  <c r="AD644" i="19"/>
  <c r="AC644" i="19"/>
  <c r="AB644" i="19"/>
  <c r="AA644" i="19"/>
  <c r="Z644" i="19"/>
  <c r="Y644" i="19"/>
  <c r="X644" i="19"/>
  <c r="W644" i="19"/>
  <c r="AE643" i="19"/>
  <c r="AD643" i="19"/>
  <c r="AC643" i="19"/>
  <c r="AB643" i="19"/>
  <c r="AA643" i="19"/>
  <c r="Z643" i="19"/>
  <c r="Y643" i="19"/>
  <c r="X643" i="19"/>
  <c r="W643" i="19"/>
  <c r="G939" i="19"/>
  <c r="G940" i="19"/>
  <c r="G941" i="19"/>
  <c r="G942" i="19"/>
  <c r="G943" i="19"/>
  <c r="G944" i="19"/>
  <c r="AE940" i="19"/>
  <c r="AD940" i="19"/>
  <c r="AC940" i="19"/>
  <c r="AB940" i="19"/>
  <c r="AA940" i="19"/>
  <c r="Z940" i="19"/>
  <c r="Y940" i="19"/>
  <c r="X940" i="19"/>
  <c r="W940" i="19"/>
  <c r="AE937" i="19"/>
  <c r="AD937" i="19"/>
  <c r="AC937" i="19"/>
  <c r="AB937" i="19"/>
  <c r="AA937" i="19"/>
  <c r="Z937" i="19"/>
  <c r="Y937" i="19"/>
  <c r="X937" i="19"/>
  <c r="W937" i="19"/>
  <c r="AF938" i="19"/>
  <c r="AE932" i="19"/>
  <c r="AD932" i="19"/>
  <c r="AC932" i="19"/>
  <c r="AB932" i="19"/>
  <c r="AA932" i="19"/>
  <c r="Z932" i="19"/>
  <c r="Y932" i="19"/>
  <c r="X932" i="19"/>
  <c r="W932" i="19"/>
  <c r="AH247" i="19"/>
  <c r="AG247" i="19"/>
  <c r="AF247" i="19"/>
  <c r="I196" i="19"/>
  <c r="AF111" i="19"/>
  <c r="AF100" i="19"/>
  <c r="I119" i="19"/>
  <c r="F78" i="19"/>
  <c r="J78" i="19"/>
  <c r="I235" i="19"/>
  <c r="I84" i="19"/>
  <c r="I52" i="19"/>
  <c r="I76" i="19"/>
  <c r="G166" i="32"/>
  <c r="G167" i="32"/>
  <c r="G165" i="32"/>
  <c r="G160" i="32"/>
  <c r="G161" i="32"/>
  <c r="G162" i="32"/>
  <c r="G159" i="32"/>
  <c r="I37" i="74"/>
  <c r="I36" i="74"/>
  <c r="W649" i="19"/>
  <c r="X649" i="19"/>
  <c r="Y649" i="19"/>
  <c r="Z649" i="19"/>
  <c r="AA649" i="19"/>
  <c r="AB649" i="19"/>
  <c r="AC649" i="19"/>
  <c r="AD649" i="19"/>
  <c r="AE649" i="19"/>
  <c r="F3" i="67"/>
  <c r="V919" i="19"/>
  <c r="U920" i="19"/>
  <c r="V918" i="19"/>
  <c r="U919" i="19"/>
  <c r="V917" i="19"/>
  <c r="X898" i="19"/>
  <c r="X889" i="19"/>
  <c r="X648" i="19"/>
  <c r="X647" i="19"/>
  <c r="X20" i="19"/>
  <c r="X19" i="19"/>
  <c r="X18" i="19"/>
  <c r="X17" i="19"/>
  <c r="X16" i="19"/>
  <c r="X15" i="19"/>
  <c r="X14" i="19"/>
  <c r="X13" i="19"/>
  <c r="X12" i="19"/>
  <c r="X11" i="19"/>
  <c r="AG648" i="19"/>
  <c r="AF648" i="19"/>
  <c r="AE648" i="19"/>
  <c r="AD648" i="19"/>
  <c r="AC648" i="19"/>
  <c r="AB648" i="19"/>
  <c r="AA648" i="19"/>
  <c r="Z648" i="19"/>
  <c r="Y648" i="19"/>
  <c r="W648" i="19"/>
  <c r="AE647" i="19"/>
  <c r="AD647" i="19"/>
  <c r="AC647" i="19"/>
  <c r="AB647" i="19"/>
  <c r="AA647" i="19"/>
  <c r="Z647" i="19"/>
  <c r="Y647" i="19"/>
  <c r="W647" i="19"/>
  <c r="AE898" i="19"/>
  <c r="AD898" i="19"/>
  <c r="AC898" i="19"/>
  <c r="AB898" i="19"/>
  <c r="AA898" i="19"/>
  <c r="Z898" i="19"/>
  <c r="Y898" i="19"/>
  <c r="AE889" i="19"/>
  <c r="AD889" i="19"/>
  <c r="AC889" i="19"/>
  <c r="AB889" i="19"/>
  <c r="AA889" i="19"/>
  <c r="Z889" i="19"/>
  <c r="Y889" i="19"/>
  <c r="W889" i="19"/>
  <c r="AE20" i="19"/>
  <c r="AD20" i="19"/>
  <c r="AC20" i="19"/>
  <c r="AB20" i="19"/>
  <c r="AA20" i="19"/>
  <c r="Z20" i="19"/>
  <c r="Y20" i="19"/>
  <c r="W20" i="19"/>
  <c r="AE19" i="19"/>
  <c r="AD19" i="19"/>
  <c r="AC19" i="19"/>
  <c r="AB19" i="19"/>
  <c r="AA19" i="19"/>
  <c r="Z19" i="19"/>
  <c r="Y19" i="19"/>
  <c r="W19" i="19"/>
  <c r="AE18" i="19"/>
  <c r="AD18" i="19"/>
  <c r="AC18" i="19"/>
  <c r="AB18" i="19"/>
  <c r="AA18" i="19"/>
  <c r="Z18" i="19"/>
  <c r="Y18" i="19"/>
  <c r="W18" i="19"/>
  <c r="AE17" i="19"/>
  <c r="AD17" i="19"/>
  <c r="AC17" i="19"/>
  <c r="AB17" i="19"/>
  <c r="AA17" i="19"/>
  <c r="Z17" i="19"/>
  <c r="Y17" i="19"/>
  <c r="W17" i="19"/>
  <c r="AE16" i="19"/>
  <c r="AD16" i="19"/>
  <c r="AC16" i="19"/>
  <c r="AB16" i="19"/>
  <c r="AA16" i="19"/>
  <c r="Z16" i="19"/>
  <c r="Y16" i="19"/>
  <c r="W16" i="19"/>
  <c r="AE15" i="19"/>
  <c r="AD15" i="19"/>
  <c r="AC15" i="19"/>
  <c r="AB15" i="19"/>
  <c r="AA15" i="19"/>
  <c r="Z15" i="19"/>
  <c r="Y15" i="19"/>
  <c r="W15" i="19"/>
  <c r="AE14" i="19"/>
  <c r="AD14" i="19"/>
  <c r="AC14" i="19"/>
  <c r="AB14" i="19"/>
  <c r="AA14" i="19"/>
  <c r="Z14" i="19"/>
  <c r="Y14" i="19"/>
  <c r="W14" i="19"/>
  <c r="AE13" i="19"/>
  <c r="AD13" i="19"/>
  <c r="AC13" i="19"/>
  <c r="AB13" i="19"/>
  <c r="AA13" i="19"/>
  <c r="Z13" i="19"/>
  <c r="Y13" i="19"/>
  <c r="W13" i="19"/>
  <c r="AE12" i="19"/>
  <c r="AD12" i="19"/>
  <c r="AC12" i="19"/>
  <c r="AB12" i="19"/>
  <c r="AA12" i="19"/>
  <c r="Z12" i="19"/>
  <c r="Y12" i="19"/>
  <c r="W12" i="19"/>
  <c r="AE11" i="19"/>
  <c r="AD11" i="19"/>
  <c r="AC11" i="19"/>
  <c r="AB11" i="19"/>
  <c r="AA11" i="19"/>
  <c r="Z11" i="19"/>
  <c r="Y11" i="19"/>
  <c r="W11" i="19"/>
  <c r="F7" i="67"/>
  <c r="F6" i="67"/>
  <c r="I40" i="74"/>
  <c r="I42" i="74"/>
  <c r="I38" i="74"/>
  <c r="I35" i="74"/>
  <c r="I34" i="74"/>
  <c r="I47" i="74"/>
  <c r="I48" i="74"/>
  <c r="I49" i="74"/>
  <c r="I52" i="74"/>
  <c r="I53" i="74"/>
  <c r="I54" i="74"/>
  <c r="I69" i="74"/>
  <c r="I70" i="74"/>
  <c r="I71" i="74"/>
  <c r="I81" i="74"/>
  <c r="I84" i="74"/>
  <c r="I85" i="74"/>
  <c r="I86" i="74"/>
  <c r="I46" i="74"/>
  <c r="I33" i="74"/>
  <c r="I30" i="74"/>
  <c r="I29" i="74"/>
  <c r="I27" i="74"/>
  <c r="I25" i="74"/>
  <c r="I16" i="74"/>
  <c r="I15" i="74"/>
  <c r="F139" i="71"/>
  <c r="H139" i="71"/>
  <c r="J139" i="71"/>
  <c r="I14" i="74"/>
  <c r="F55" i="32"/>
  <c r="I13" i="74"/>
  <c r="I12" i="74"/>
  <c r="I10" i="74"/>
  <c r="I9" i="74"/>
  <c r="I8" i="74"/>
  <c r="I7" i="74"/>
  <c r="C263" i="71"/>
  <c r="C261" i="71"/>
  <c r="C254" i="71"/>
  <c r="C252" i="71"/>
  <c r="H252" i="71"/>
  <c r="H257" i="71"/>
  <c r="C245" i="71"/>
  <c r="H245" i="71"/>
  <c r="C243" i="71"/>
  <c r="H243" i="71"/>
  <c r="L173" i="74"/>
  <c r="K72" i="74"/>
  <c r="K25" i="74"/>
  <c r="A2" i="74"/>
  <c r="A1" i="74"/>
  <c r="AJ241" i="19"/>
  <c r="AG241" i="19"/>
  <c r="F6" i="34"/>
  <c r="AF1252" i="19"/>
  <c r="AF1273" i="19"/>
  <c r="D67" i="72"/>
  <c r="D68" i="72"/>
  <c r="P63" i="72"/>
  <c r="O63" i="72"/>
  <c r="N63" i="72"/>
  <c r="M63" i="72"/>
  <c r="L63" i="72"/>
  <c r="P62" i="72"/>
  <c r="O62" i="72"/>
  <c r="N62" i="72"/>
  <c r="L62" i="72"/>
  <c r="H62" i="72"/>
  <c r="P61" i="72"/>
  <c r="N61" i="72"/>
  <c r="M61" i="72"/>
  <c r="L61" i="72"/>
  <c r="C61" i="72"/>
  <c r="B61" i="72"/>
  <c r="P60" i="72"/>
  <c r="O60" i="72"/>
  <c r="N60" i="72"/>
  <c r="M60" i="72"/>
  <c r="L60" i="72"/>
  <c r="P59" i="72"/>
  <c r="O59" i="72"/>
  <c r="N59" i="72"/>
  <c r="M59" i="72"/>
  <c r="L59" i="72"/>
  <c r="P58" i="72"/>
  <c r="O58" i="72"/>
  <c r="N58" i="72"/>
  <c r="L58" i="72"/>
  <c r="H58" i="72"/>
  <c r="P57" i="72"/>
  <c r="N57" i="72"/>
  <c r="M57" i="72"/>
  <c r="L57" i="72"/>
  <c r="C57" i="72"/>
  <c r="B57" i="72"/>
  <c r="P56" i="72"/>
  <c r="O56" i="72"/>
  <c r="N56" i="72"/>
  <c r="M56" i="72"/>
  <c r="L56" i="72"/>
  <c r="P53" i="72"/>
  <c r="O53" i="72"/>
  <c r="N53" i="72"/>
  <c r="M53" i="72"/>
  <c r="L53" i="72"/>
  <c r="P52" i="72"/>
  <c r="O52" i="72"/>
  <c r="N52" i="72"/>
  <c r="L52" i="72"/>
  <c r="H52" i="72"/>
  <c r="P51" i="72"/>
  <c r="N51" i="72"/>
  <c r="M51" i="72"/>
  <c r="L51" i="72"/>
  <c r="C51" i="72"/>
  <c r="B51" i="72"/>
  <c r="J52" i="72"/>
  <c r="P50" i="72"/>
  <c r="O50" i="72"/>
  <c r="N50" i="72"/>
  <c r="M50" i="72"/>
  <c r="L50" i="72"/>
  <c r="P49" i="72"/>
  <c r="O49" i="72"/>
  <c r="N49" i="72"/>
  <c r="M49" i="72"/>
  <c r="L49" i="72"/>
  <c r="P48" i="72"/>
  <c r="O48" i="72"/>
  <c r="N48" i="72"/>
  <c r="L48" i="72"/>
  <c r="H48" i="72"/>
  <c r="P47" i="72"/>
  <c r="N47" i="72"/>
  <c r="M47" i="72"/>
  <c r="L47" i="72"/>
  <c r="C47" i="72"/>
  <c r="B47" i="72"/>
  <c r="P46" i="72"/>
  <c r="O46" i="72"/>
  <c r="N46" i="72"/>
  <c r="M46" i="72"/>
  <c r="L46" i="72"/>
  <c r="P43" i="72"/>
  <c r="O43" i="72"/>
  <c r="N43" i="72"/>
  <c r="M43" i="72"/>
  <c r="L43" i="72"/>
  <c r="P42" i="72"/>
  <c r="O42" i="72"/>
  <c r="N42" i="72"/>
  <c r="M42" i="72"/>
  <c r="L42" i="72"/>
  <c r="P41" i="72"/>
  <c r="O41" i="72"/>
  <c r="N41" i="72"/>
  <c r="L41" i="72"/>
  <c r="H41" i="72"/>
  <c r="P40" i="72"/>
  <c r="N40" i="72"/>
  <c r="M40" i="72"/>
  <c r="L40" i="72"/>
  <c r="C40" i="72"/>
  <c r="B40" i="72"/>
  <c r="P39" i="72"/>
  <c r="O39" i="72"/>
  <c r="N39" i="72"/>
  <c r="M39" i="72"/>
  <c r="L39" i="72"/>
  <c r="H36" i="72"/>
  <c r="B35" i="72"/>
  <c r="J29" i="72"/>
  <c r="J24" i="72"/>
  <c r="H23" i="72"/>
  <c r="P30" i="72"/>
  <c r="O30" i="72"/>
  <c r="N30" i="72"/>
  <c r="M30" i="72"/>
  <c r="L30" i="72"/>
  <c r="P29" i="72"/>
  <c r="O29" i="72"/>
  <c r="N29" i="72"/>
  <c r="L29" i="72"/>
  <c r="H29" i="72"/>
  <c r="P28" i="72"/>
  <c r="O28" i="72"/>
  <c r="N28" i="72"/>
  <c r="L28" i="72"/>
  <c r="H28" i="72"/>
  <c r="N27" i="72"/>
  <c r="M27" i="72"/>
  <c r="L27" i="72"/>
  <c r="B27" i="72"/>
  <c r="A27" i="72"/>
  <c r="J28" i="72"/>
  <c r="P26" i="72"/>
  <c r="O26" i="72"/>
  <c r="N26" i="72"/>
  <c r="M26" i="72"/>
  <c r="L26" i="72"/>
  <c r="H24" i="72"/>
  <c r="B22" i="72"/>
  <c r="A22" i="72"/>
  <c r="J23" i="72"/>
  <c r="P18" i="72"/>
  <c r="O18" i="72"/>
  <c r="N18" i="72"/>
  <c r="M18" i="72"/>
  <c r="L18" i="72"/>
  <c r="P17" i="72"/>
  <c r="N17" i="72"/>
  <c r="M17" i="72"/>
  <c r="L17" i="72"/>
  <c r="H17" i="72"/>
  <c r="P16" i="72"/>
  <c r="N16" i="72"/>
  <c r="M16" i="72"/>
  <c r="L16" i="72"/>
  <c r="H16" i="72"/>
  <c r="P14" i="72"/>
  <c r="O14" i="72"/>
  <c r="N14" i="72"/>
  <c r="M14" i="72"/>
  <c r="L14" i="72"/>
  <c r="P13" i="72"/>
  <c r="N13" i="72"/>
  <c r="M13" i="72"/>
  <c r="L13" i="72"/>
  <c r="H13" i="72"/>
  <c r="P12" i="72"/>
  <c r="N12" i="72"/>
  <c r="M12" i="72"/>
  <c r="L12" i="72"/>
  <c r="H12" i="72"/>
  <c r="H9" i="72"/>
  <c r="H8" i="72"/>
  <c r="A68" i="72"/>
  <c r="J68" i="72"/>
  <c r="AG239" i="19"/>
  <c r="AF239" i="19"/>
  <c r="AG958" i="19"/>
  <c r="A44" i="72"/>
  <c r="A51" i="72"/>
  <c r="J51" i="72"/>
  <c r="A47" i="72"/>
  <c r="I48" i="72"/>
  <c r="C27" i="72"/>
  <c r="I28" i="72"/>
  <c r="D12" i="72"/>
  <c r="D13" i="72"/>
  <c r="P72" i="72"/>
  <c r="O72" i="72"/>
  <c r="N72" i="72"/>
  <c r="M72" i="72"/>
  <c r="L72" i="72"/>
  <c r="P70" i="72"/>
  <c r="O70" i="72"/>
  <c r="N70" i="72"/>
  <c r="M70" i="72"/>
  <c r="L70" i="72"/>
  <c r="P69" i="72"/>
  <c r="O69" i="72"/>
  <c r="N69" i="72"/>
  <c r="M69" i="72"/>
  <c r="L69" i="72"/>
  <c r="P68" i="72"/>
  <c r="O68" i="72"/>
  <c r="N68" i="72"/>
  <c r="L68" i="72"/>
  <c r="H68" i="72"/>
  <c r="P67" i="72"/>
  <c r="O67" i="72"/>
  <c r="N67" i="72"/>
  <c r="L67" i="72"/>
  <c r="H67" i="72"/>
  <c r="P66" i="72"/>
  <c r="O66" i="72"/>
  <c r="N66" i="72"/>
  <c r="M66" i="72"/>
  <c r="L66" i="72"/>
  <c r="P65" i="72"/>
  <c r="O65" i="72"/>
  <c r="N65" i="72"/>
  <c r="M65" i="72"/>
  <c r="L65" i="72"/>
  <c r="P64" i="72"/>
  <c r="O64" i="72"/>
  <c r="N64" i="72"/>
  <c r="M64" i="72"/>
  <c r="L64" i="72"/>
  <c r="P37" i="72"/>
  <c r="O37" i="72"/>
  <c r="N37" i="72"/>
  <c r="M37" i="72"/>
  <c r="L37" i="72"/>
  <c r="P36" i="72"/>
  <c r="O36" i="72"/>
  <c r="N36" i="72"/>
  <c r="L36" i="72"/>
  <c r="P35" i="72"/>
  <c r="N35" i="72"/>
  <c r="M35" i="72"/>
  <c r="L35" i="72"/>
  <c r="C35" i="72"/>
  <c r="J36" i="72"/>
  <c r="P34" i="72"/>
  <c r="O34" i="72"/>
  <c r="N34" i="72"/>
  <c r="M34" i="72"/>
  <c r="L34" i="72"/>
  <c r="P32" i="72"/>
  <c r="O32" i="72"/>
  <c r="N32" i="72"/>
  <c r="M32" i="72"/>
  <c r="L32" i="72"/>
  <c r="P31" i="72"/>
  <c r="O31" i="72"/>
  <c r="N31" i="72"/>
  <c r="M31" i="72"/>
  <c r="L31" i="72"/>
  <c r="P25" i="72"/>
  <c r="O25" i="72"/>
  <c r="N25" i="72"/>
  <c r="M25" i="72"/>
  <c r="L25" i="72"/>
  <c r="P24" i="72"/>
  <c r="O24" i="72"/>
  <c r="N24" i="72"/>
  <c r="L24" i="72"/>
  <c r="P23" i="72"/>
  <c r="O23" i="72"/>
  <c r="N23" i="72"/>
  <c r="L23" i="72"/>
  <c r="N22" i="72"/>
  <c r="M22" i="72"/>
  <c r="L22" i="72"/>
  <c r="P21" i="72"/>
  <c r="O21" i="72"/>
  <c r="N21" i="72"/>
  <c r="M21" i="72"/>
  <c r="L21" i="72"/>
  <c r="P20" i="72"/>
  <c r="O20" i="72"/>
  <c r="N20" i="72"/>
  <c r="M20" i="72"/>
  <c r="L20" i="72"/>
  <c r="P19" i="72"/>
  <c r="O19" i="72"/>
  <c r="N19" i="72"/>
  <c r="M19" i="72"/>
  <c r="L19" i="72"/>
  <c r="P10" i="72"/>
  <c r="O10" i="72"/>
  <c r="N10" i="72"/>
  <c r="M10" i="72"/>
  <c r="L10" i="72"/>
  <c r="P9" i="72"/>
  <c r="N9" i="72"/>
  <c r="M9" i="72"/>
  <c r="L9" i="72"/>
  <c r="P8" i="72"/>
  <c r="N8" i="72"/>
  <c r="M8" i="72"/>
  <c r="L8" i="72"/>
  <c r="I271" i="71"/>
  <c r="I270" i="71"/>
  <c r="L281" i="71"/>
  <c r="M281" i="71"/>
  <c r="L280" i="71"/>
  <c r="M280" i="71"/>
  <c r="K279" i="71"/>
  <c r="L279" i="71"/>
  <c r="M279" i="71"/>
  <c r="K278" i="71"/>
  <c r="L278" i="71"/>
  <c r="M278" i="71"/>
  <c r="L256" i="71"/>
  <c r="L247" i="71"/>
  <c r="C256" i="71"/>
  <c r="H256" i="71"/>
  <c r="K255" i="71"/>
  <c r="L255" i="71"/>
  <c r="H255" i="71"/>
  <c r="K254" i="71"/>
  <c r="L254" i="71"/>
  <c r="H254" i="71"/>
  <c r="K253" i="71"/>
  <c r="L253" i="71"/>
  <c r="H253" i="71"/>
  <c r="K252" i="71"/>
  <c r="L252" i="71"/>
  <c r="J251" i="71"/>
  <c r="K244" i="71"/>
  <c r="L244" i="71"/>
  <c r="K243" i="71"/>
  <c r="L243" i="71"/>
  <c r="K246" i="71"/>
  <c r="L246" i="71"/>
  <c r="K245" i="71"/>
  <c r="L245" i="71"/>
  <c r="K224" i="71"/>
  <c r="K225" i="71"/>
  <c r="K226" i="71"/>
  <c r="K223" i="71"/>
  <c r="J235" i="71"/>
  <c r="J234" i="71"/>
  <c r="L235" i="71"/>
  <c r="L234" i="71"/>
  <c r="AH78" i="19"/>
  <c r="H262" i="71"/>
  <c r="K262" i="71"/>
  <c r="C265" i="71"/>
  <c r="H265" i="71"/>
  <c r="J260" i="71"/>
  <c r="A1" i="34"/>
  <c r="F271" i="71"/>
  <c r="H271" i="71"/>
  <c r="F270" i="71"/>
  <c r="H270" i="71"/>
  <c r="H235" i="71"/>
  <c r="H234" i="71"/>
  <c r="H238" i="71"/>
  <c r="H239" i="71"/>
  <c r="J165" i="74"/>
  <c r="K234" i="71"/>
  <c r="A10" i="71"/>
  <c r="A22" i="71"/>
  <c r="A33" i="71"/>
  <c r="A45" i="71"/>
  <c r="A55" i="71"/>
  <c r="A67" i="71"/>
  <c r="A74" i="71"/>
  <c r="A86" i="71"/>
  <c r="A111" i="71"/>
  <c r="A123" i="71"/>
  <c r="A135" i="71"/>
  <c r="A148" i="71"/>
  <c r="A159" i="71"/>
  <c r="A171" i="71"/>
  <c r="A181" i="71"/>
  <c r="A191" i="71"/>
  <c r="D137" i="71"/>
  <c r="C137" i="71"/>
  <c r="D140" i="71"/>
  <c r="C140" i="71"/>
  <c r="D213" i="71"/>
  <c r="C213" i="71"/>
  <c r="AJ920" i="19"/>
  <c r="AG920" i="19"/>
  <c r="AG919" i="19"/>
  <c r="AF919" i="19"/>
  <c r="AG6" i="19"/>
  <c r="AG10" i="19"/>
  <c r="AF6" i="19"/>
  <c r="AG18" i="19"/>
  <c r="AH189" i="19"/>
  <c r="AH190" i="19"/>
  <c r="AG188" i="19"/>
  <c r="AH188" i="19"/>
  <c r="AG186" i="19"/>
  <c r="AG187" i="19"/>
  <c r="AF186" i="19"/>
  <c r="AF187" i="19"/>
  <c r="AG178" i="19"/>
  <c r="AG177" i="19"/>
  <c r="AG78" i="19"/>
  <c r="AF78" i="19"/>
  <c r="AG980" i="19"/>
  <c r="AL386" i="19"/>
  <c r="C5" i="71"/>
  <c r="D7" i="71"/>
  <c r="C7" i="71"/>
  <c r="C10" i="71"/>
  <c r="D13" i="71"/>
  <c r="C13" i="71"/>
  <c r="D18" i="71"/>
  <c r="C18" i="71"/>
  <c r="C22" i="71"/>
  <c r="D24" i="71"/>
  <c r="C24" i="71"/>
  <c r="D28" i="71"/>
  <c r="C33" i="71"/>
  <c r="D35" i="71"/>
  <c r="C35" i="71"/>
  <c r="D36" i="71"/>
  <c r="C36" i="71"/>
  <c r="D37" i="71"/>
  <c r="C37" i="71"/>
  <c r="D40" i="71"/>
  <c r="C40" i="71"/>
  <c r="D41" i="71"/>
  <c r="C41" i="71"/>
  <c r="C45" i="71"/>
  <c r="D47" i="71"/>
  <c r="D51" i="71"/>
  <c r="C51" i="71"/>
  <c r="T51" i="71"/>
  <c r="C55" i="71"/>
  <c r="D57" i="71"/>
  <c r="C57" i="71"/>
  <c r="N57" i="71"/>
  <c r="D58" i="71"/>
  <c r="C58" i="71"/>
  <c r="O58" i="71"/>
  <c r="D59" i="71"/>
  <c r="C59" i="71"/>
  <c r="P59" i="71"/>
  <c r="D62" i="71"/>
  <c r="C62" i="71"/>
  <c r="V62" i="71"/>
  <c r="D63" i="71"/>
  <c r="C63" i="71"/>
  <c r="T63" i="71"/>
  <c r="C67" i="71"/>
  <c r="D69" i="71"/>
  <c r="C69" i="71"/>
  <c r="O69" i="71"/>
  <c r="D71" i="71"/>
  <c r="C71" i="71"/>
  <c r="T71" i="71"/>
  <c r="C74" i="71"/>
  <c r="D76" i="71"/>
  <c r="C76" i="71"/>
  <c r="N76" i="71"/>
  <c r="D77" i="71"/>
  <c r="C77" i="71"/>
  <c r="O77" i="71"/>
  <c r="D78" i="71"/>
  <c r="C78" i="71"/>
  <c r="P78" i="71"/>
  <c r="D81" i="71"/>
  <c r="C81" i="71"/>
  <c r="V81" i="71"/>
  <c r="D82" i="71"/>
  <c r="C82" i="71"/>
  <c r="T82" i="71"/>
  <c r="C86" i="71"/>
  <c r="D88" i="71"/>
  <c r="C88" i="71"/>
  <c r="D89" i="71"/>
  <c r="C89" i="71"/>
  <c r="D90" i="71"/>
  <c r="C90" i="71"/>
  <c r="D93" i="71"/>
  <c r="C93" i="71"/>
  <c r="D94" i="71"/>
  <c r="C94" i="71"/>
  <c r="C99" i="71"/>
  <c r="C101" i="71"/>
  <c r="H101" i="71"/>
  <c r="J101" i="71"/>
  <c r="C102" i="71"/>
  <c r="F102" i="71"/>
  <c r="C103" i="71"/>
  <c r="F103" i="71"/>
  <c r="C104" i="71"/>
  <c r="F104" i="71"/>
  <c r="D105" i="71"/>
  <c r="C105" i="71"/>
  <c r="F105" i="71"/>
  <c r="D107" i="71"/>
  <c r="C107" i="71"/>
  <c r="D108" i="71"/>
  <c r="C108" i="71"/>
  <c r="C123" i="71"/>
  <c r="D125" i="71"/>
  <c r="C125" i="71"/>
  <c r="D126" i="71"/>
  <c r="C126" i="71"/>
  <c r="D127" i="71"/>
  <c r="C127" i="71"/>
  <c r="D130" i="71"/>
  <c r="C130" i="71"/>
  <c r="D131" i="71"/>
  <c r="C131" i="71"/>
  <c r="C148" i="71"/>
  <c r="D150" i="71"/>
  <c r="C150" i="71"/>
  <c r="D151" i="71"/>
  <c r="C151" i="71"/>
  <c r="D154" i="71"/>
  <c r="C154" i="71"/>
  <c r="D155" i="71"/>
  <c r="C155" i="71"/>
  <c r="C159" i="71"/>
  <c r="D161" i="71"/>
  <c r="C161" i="71"/>
  <c r="D162" i="71"/>
  <c r="C162" i="71"/>
  <c r="D163" i="71"/>
  <c r="C163" i="71"/>
  <c r="D166" i="71"/>
  <c r="C166" i="71"/>
  <c r="D167" i="71"/>
  <c r="C167" i="71"/>
  <c r="C171" i="71"/>
  <c r="D173" i="71"/>
  <c r="C173" i="71"/>
  <c r="D174" i="71"/>
  <c r="C174" i="71"/>
  <c r="D177" i="71"/>
  <c r="C177" i="71"/>
  <c r="C181" i="71"/>
  <c r="D183" i="71"/>
  <c r="C183" i="71"/>
  <c r="D184" i="71"/>
  <c r="C184" i="71"/>
  <c r="D187" i="71"/>
  <c r="C187" i="71"/>
  <c r="C191" i="71"/>
  <c r="D193" i="71"/>
  <c r="C193" i="71"/>
  <c r="D194" i="71"/>
  <c r="C194" i="71"/>
  <c r="D197" i="71"/>
  <c r="C197" i="71"/>
  <c r="D198" i="71"/>
  <c r="C198" i="71"/>
  <c r="C202" i="71"/>
  <c r="D204" i="71"/>
  <c r="C204" i="71"/>
  <c r="D207" i="71"/>
  <c r="C207" i="71"/>
  <c r="C223" i="71"/>
  <c r="H223" i="71"/>
  <c r="H224" i="71"/>
  <c r="C225" i="71"/>
  <c r="H225" i="71"/>
  <c r="H226" i="71"/>
  <c r="C227" i="71"/>
  <c r="H227" i="71"/>
  <c r="C228" i="71"/>
  <c r="H228" i="71"/>
  <c r="C236" i="71"/>
  <c r="H236" i="71"/>
  <c r="C237" i="71"/>
  <c r="H237" i="71"/>
  <c r="H244" i="71"/>
  <c r="H246" i="71"/>
  <c r="C247" i="71"/>
  <c r="H247" i="71"/>
  <c r="H261" i="71"/>
  <c r="H263" i="71"/>
  <c r="H264" i="71"/>
  <c r="J222" i="71"/>
  <c r="C281" i="71"/>
  <c r="H281" i="71"/>
  <c r="C280" i="71"/>
  <c r="H280" i="71"/>
  <c r="J277" i="71"/>
  <c r="C273" i="71"/>
  <c r="H273" i="71"/>
  <c r="C272" i="71"/>
  <c r="H272" i="71"/>
  <c r="H274" i="71"/>
  <c r="J269" i="71"/>
  <c r="J242" i="71"/>
  <c r="J233" i="71"/>
  <c r="A2" i="71"/>
  <c r="A1" i="71"/>
  <c r="AG1016" i="19"/>
  <c r="AF1016" i="19"/>
  <c r="AF980" i="19"/>
  <c r="AJ895" i="19"/>
  <c r="AG895" i="19"/>
  <c r="AG894" i="19"/>
  <c r="B907" i="19"/>
  <c r="AJ226" i="19"/>
  <c r="AG226" i="19"/>
  <c r="AG225" i="19"/>
  <c r="AF225" i="19"/>
  <c r="B190" i="19"/>
  <c r="A59" i="72"/>
  <c r="E48" i="19"/>
  <c r="E72" i="19"/>
  <c r="E80" i="19"/>
  <c r="B48" i="19"/>
  <c r="B72" i="19"/>
  <c r="B182" i="19"/>
  <c r="B192" i="19"/>
  <c r="AF13" i="19"/>
  <c r="AF180" i="19"/>
  <c r="AF971" i="19"/>
  <c r="AJ20" i="19"/>
  <c r="AG20" i="19"/>
  <c r="A1" i="70"/>
  <c r="A2" i="70"/>
  <c r="E8" i="49"/>
  <c r="A2" i="66"/>
  <c r="A2" i="34"/>
  <c r="AG15" i="19"/>
  <c r="AF14" i="19"/>
  <c r="AG17" i="19"/>
  <c r="AG14" i="19"/>
  <c r="E5" i="49"/>
  <c r="E12" i="49"/>
  <c r="E18" i="49"/>
  <c r="E21" i="49"/>
  <c r="E66" i="49"/>
  <c r="G66" i="49"/>
  <c r="E6" i="49"/>
  <c r="E7" i="49"/>
  <c r="A1" i="32"/>
  <c r="D3" i="60"/>
  <c r="E3" i="60"/>
  <c r="D4" i="60"/>
  <c r="E4" i="60"/>
  <c r="D5" i="60"/>
  <c r="E5" i="60"/>
  <c r="D6" i="60"/>
  <c r="E6" i="60"/>
  <c r="D7" i="60"/>
  <c r="E7" i="60"/>
  <c r="D8" i="60"/>
  <c r="E8" i="60"/>
  <c r="D9" i="60"/>
  <c r="E9" i="60"/>
  <c r="D10" i="60"/>
  <c r="E10" i="60"/>
  <c r="D11" i="60"/>
  <c r="E11" i="60"/>
  <c r="D12" i="60"/>
  <c r="E12" i="60"/>
  <c r="D13" i="60"/>
  <c r="E13" i="60"/>
  <c r="D14" i="60"/>
  <c r="E14" i="60"/>
  <c r="D15" i="60"/>
  <c r="E15" i="60"/>
  <c r="D16" i="60"/>
  <c r="E16" i="60"/>
  <c r="D17" i="60"/>
  <c r="E17" i="60"/>
  <c r="H17" i="60"/>
  <c r="D18" i="60"/>
  <c r="E18" i="60"/>
  <c r="D19" i="60"/>
  <c r="E19" i="60"/>
  <c r="D20" i="60"/>
  <c r="E20" i="60"/>
  <c r="D21" i="60"/>
  <c r="E21" i="60"/>
  <c r="H21" i="60"/>
  <c r="H24" i="60"/>
  <c r="D22" i="60"/>
  <c r="E22" i="60"/>
  <c r="D23" i="60"/>
  <c r="E23" i="60"/>
  <c r="F3" i="59"/>
  <c r="F4" i="59"/>
  <c r="F5" i="59"/>
  <c r="G13" i="59"/>
  <c r="F8" i="59"/>
  <c r="F9" i="59"/>
  <c r="F10" i="59"/>
  <c r="F12" i="59"/>
  <c r="F13" i="59"/>
  <c r="F11" i="59"/>
  <c r="J8" i="58"/>
  <c r="J10" i="58"/>
  <c r="G12" i="58"/>
  <c r="J12" i="58"/>
  <c r="G13" i="58"/>
  <c r="J13" i="58"/>
  <c r="F14" i="58"/>
  <c r="J14" i="58"/>
  <c r="J17" i="58"/>
  <c r="J19" i="58"/>
  <c r="G21" i="58"/>
  <c r="J21" i="58"/>
  <c r="G22" i="58"/>
  <c r="J22" i="58"/>
  <c r="F23" i="58"/>
  <c r="G23" i="58"/>
  <c r="K28" i="58"/>
  <c r="F33" i="58"/>
  <c r="J33" i="58"/>
  <c r="I35" i="58"/>
  <c r="I36" i="58"/>
  <c r="J38" i="58"/>
  <c r="J39" i="58"/>
  <c r="J40" i="58"/>
  <c r="F41" i="58"/>
  <c r="H41" i="58"/>
  <c r="J41" i="58"/>
  <c r="F42" i="58"/>
  <c r="J42" i="58"/>
  <c r="F45" i="58"/>
  <c r="J45" i="58"/>
  <c r="J55" i="58"/>
  <c r="K56" i="58"/>
  <c r="I47" i="58"/>
  <c r="I48" i="58"/>
  <c r="J50" i="58"/>
  <c r="J51" i="58"/>
  <c r="J52" i="58"/>
  <c r="F53" i="58"/>
  <c r="J53" i="58"/>
  <c r="F54" i="58"/>
  <c r="J54" i="58"/>
  <c r="K60" i="58"/>
  <c r="F63" i="58"/>
  <c r="J63" i="58"/>
  <c r="K68" i="58"/>
  <c r="F69" i="58"/>
  <c r="F64" i="58"/>
  <c r="J64" i="58"/>
  <c r="F66" i="58"/>
  <c r="J66" i="58"/>
  <c r="F67" i="58"/>
  <c r="J67" i="58"/>
  <c r="K70" i="58"/>
  <c r="C4" i="57"/>
  <c r="E4" i="57"/>
  <c r="C5" i="57"/>
  <c r="E5" i="57"/>
  <c r="C6" i="57"/>
  <c r="E6" i="57"/>
  <c r="G6" i="57"/>
  <c r="C7" i="57"/>
  <c r="E7" i="57"/>
  <c r="C8" i="57"/>
  <c r="G8" i="57"/>
  <c r="E8" i="57"/>
  <c r="B9" i="57"/>
  <c r="C9" i="57"/>
  <c r="E9" i="57"/>
  <c r="G9" i="57"/>
  <c r="B10" i="57"/>
  <c r="C10" i="57"/>
  <c r="G10" i="57"/>
  <c r="E10" i="57"/>
  <c r="B11" i="57"/>
  <c r="C11" i="57"/>
  <c r="E11" i="57"/>
  <c r="G11" i="57"/>
  <c r="B12" i="57"/>
  <c r="C12" i="57"/>
  <c r="G12" i="57"/>
  <c r="E12" i="57"/>
  <c r="B13" i="57"/>
  <c r="C13" i="57"/>
  <c r="E13" i="57"/>
  <c r="C15" i="57"/>
  <c r="E15" i="57"/>
  <c r="G15" i="57"/>
  <c r="B16" i="57"/>
  <c r="C16" i="57"/>
  <c r="E16" i="57"/>
  <c r="G16" i="57"/>
  <c r="C17" i="57"/>
  <c r="E17" i="57"/>
  <c r="C18" i="57"/>
  <c r="E18" i="57"/>
  <c r="G18" i="57"/>
  <c r="C19" i="57"/>
  <c r="E19" i="57"/>
  <c r="G19" i="57"/>
  <c r="C20" i="57"/>
  <c r="E20" i="57"/>
  <c r="C21" i="57"/>
  <c r="E21" i="57"/>
  <c r="G21" i="57"/>
  <c r="B22" i="57"/>
  <c r="C22" i="57"/>
  <c r="E22" i="57"/>
  <c r="G22" i="57"/>
  <c r="B23" i="57"/>
  <c r="C23" i="57"/>
  <c r="E23" i="57"/>
  <c r="G23" i="57"/>
  <c r="B24" i="57"/>
  <c r="C24" i="57"/>
  <c r="E24" i="57"/>
  <c r="G24" i="57"/>
  <c r="F10" i="56"/>
  <c r="G10" i="56"/>
  <c r="H10" i="56"/>
  <c r="C5" i="61"/>
  <c r="C7" i="61"/>
  <c r="I6" i="61"/>
  <c r="I16" i="61"/>
  <c r="I18" i="61"/>
  <c r="C34" i="61"/>
  <c r="C35" i="61"/>
  <c r="C36" i="61"/>
  <c r="C39" i="61"/>
  <c r="I35" i="61"/>
  <c r="D19" i="63"/>
  <c r="E26" i="63"/>
  <c r="E4" i="50"/>
  <c r="K4" i="50"/>
  <c r="E5" i="50"/>
  <c r="K5" i="50"/>
  <c r="E6" i="50"/>
  <c r="K6" i="50"/>
  <c r="O6" i="50"/>
  <c r="E7" i="50"/>
  <c r="K7" i="50"/>
  <c r="O7" i="50"/>
  <c r="E8" i="50"/>
  <c r="F8" i="50"/>
  <c r="K8" i="50"/>
  <c r="O8" i="50"/>
  <c r="E9" i="50"/>
  <c r="K9" i="50"/>
  <c r="O9" i="50"/>
  <c r="E10" i="50"/>
  <c r="F10" i="50"/>
  <c r="K10" i="50"/>
  <c r="E11" i="50"/>
  <c r="K11" i="50"/>
  <c r="D12" i="50"/>
  <c r="E12" i="50"/>
  <c r="K12" i="50"/>
  <c r="O12" i="50"/>
  <c r="D13" i="50"/>
  <c r="E13" i="50"/>
  <c r="F13" i="50"/>
  <c r="K13" i="50"/>
  <c r="O13" i="50"/>
  <c r="E14" i="50"/>
  <c r="K14" i="50"/>
  <c r="E15" i="50"/>
  <c r="K15" i="50"/>
  <c r="D16" i="50"/>
  <c r="E16" i="50"/>
  <c r="K16" i="50"/>
  <c r="D17" i="50"/>
  <c r="K17" i="50"/>
  <c r="E17" i="50"/>
  <c r="D5" i="49"/>
  <c r="G5" i="49"/>
  <c r="G58" i="49"/>
  <c r="D6" i="49"/>
  <c r="G6" i="49"/>
  <c r="D7" i="49"/>
  <c r="G7" i="49"/>
  <c r="D8" i="49"/>
  <c r="G8" i="49"/>
  <c r="D9" i="49"/>
  <c r="D10" i="49"/>
  <c r="D11" i="49"/>
  <c r="G11" i="49"/>
  <c r="E11" i="49"/>
  <c r="D12" i="49"/>
  <c r="G12" i="49"/>
  <c r="D13" i="49"/>
  <c r="E13" i="49"/>
  <c r="D14" i="49"/>
  <c r="E14" i="49"/>
  <c r="G14" i="49"/>
  <c r="D16" i="49"/>
  <c r="E16" i="49"/>
  <c r="G16" i="49"/>
  <c r="D17" i="49"/>
  <c r="E17" i="49"/>
  <c r="D19" i="49"/>
  <c r="G19" i="49"/>
  <c r="E19" i="49"/>
  <c r="D20" i="49"/>
  <c r="E20" i="49"/>
  <c r="G20" i="49"/>
  <c r="D22" i="49"/>
  <c r="E22" i="49"/>
  <c r="D23" i="49"/>
  <c r="G23" i="49"/>
  <c r="E23" i="49"/>
  <c r="D24" i="49"/>
  <c r="E24" i="49"/>
  <c r="D25" i="49"/>
  <c r="E25" i="49"/>
  <c r="D26" i="49"/>
  <c r="E26" i="49"/>
  <c r="D27" i="49"/>
  <c r="E27" i="49"/>
  <c r="G27" i="49"/>
  <c r="D28" i="49"/>
  <c r="E28" i="49"/>
  <c r="G28" i="49"/>
  <c r="D29" i="49"/>
  <c r="E29" i="49"/>
  <c r="G29" i="49"/>
  <c r="D30" i="49"/>
  <c r="E30" i="49"/>
  <c r="G30" i="49"/>
  <c r="D31" i="49"/>
  <c r="E31" i="49"/>
  <c r="G31" i="49"/>
  <c r="D32" i="49"/>
  <c r="G32" i="49"/>
  <c r="E32" i="49"/>
  <c r="D33" i="49"/>
  <c r="G33" i="49"/>
  <c r="E33" i="49"/>
  <c r="D34" i="49"/>
  <c r="E34" i="49"/>
  <c r="D35" i="49"/>
  <c r="E35" i="49"/>
  <c r="B36" i="49"/>
  <c r="D36" i="49"/>
  <c r="E36" i="49"/>
  <c r="G36" i="49"/>
  <c r="D37" i="49"/>
  <c r="E37" i="49"/>
  <c r="D38" i="49"/>
  <c r="G38" i="49"/>
  <c r="E38" i="49"/>
  <c r="D39" i="49"/>
  <c r="G39" i="49"/>
  <c r="E39" i="49"/>
  <c r="D40" i="49"/>
  <c r="E40" i="49"/>
  <c r="D41" i="49"/>
  <c r="G41" i="49"/>
  <c r="E41" i="49"/>
  <c r="D42" i="49"/>
  <c r="E42" i="49"/>
  <c r="D43" i="49"/>
  <c r="E43" i="49"/>
  <c r="G43" i="49"/>
  <c r="D44" i="49"/>
  <c r="E44" i="49"/>
  <c r="D45" i="49"/>
  <c r="G45" i="49"/>
  <c r="E45" i="49"/>
  <c r="D46" i="49"/>
  <c r="E46" i="49"/>
  <c r="D47" i="49"/>
  <c r="E47" i="49"/>
  <c r="G47" i="49"/>
  <c r="D48" i="49"/>
  <c r="E48" i="49"/>
  <c r="D49" i="49"/>
  <c r="G49" i="49"/>
  <c r="E49" i="49"/>
  <c r="D50" i="49"/>
  <c r="G50" i="49"/>
  <c r="E50" i="49"/>
  <c r="D51" i="49"/>
  <c r="E51" i="49"/>
  <c r="D52" i="49"/>
  <c r="E52" i="49"/>
  <c r="G52" i="49"/>
  <c r="D53" i="49"/>
  <c r="E53" i="49"/>
  <c r="D54" i="49"/>
  <c r="G54" i="49"/>
  <c r="E54" i="49"/>
  <c r="D55" i="49"/>
  <c r="G55" i="49"/>
  <c r="E55" i="49"/>
  <c r="D56" i="49"/>
  <c r="G56" i="49"/>
  <c r="E56" i="49"/>
  <c r="D57" i="49"/>
  <c r="E57" i="49"/>
  <c r="D62" i="49"/>
  <c r="E62" i="49"/>
  <c r="P79" i="49"/>
  <c r="D65" i="49"/>
  <c r="D67" i="49"/>
  <c r="E67" i="49"/>
  <c r="D68" i="49"/>
  <c r="G68" i="49"/>
  <c r="E68" i="49"/>
  <c r="D69" i="49"/>
  <c r="G69" i="49"/>
  <c r="E69" i="49"/>
  <c r="D70" i="49"/>
  <c r="E70" i="49"/>
  <c r="D71" i="49"/>
  <c r="E71" i="49"/>
  <c r="D72" i="49"/>
  <c r="G72" i="49"/>
  <c r="E72" i="49"/>
  <c r="D73" i="49"/>
  <c r="E73" i="49"/>
  <c r="D74" i="49"/>
  <c r="G74" i="49"/>
  <c r="E74" i="49"/>
  <c r="D75" i="49"/>
  <c r="E75" i="49"/>
  <c r="D76" i="49"/>
  <c r="G76" i="49"/>
  <c r="E76" i="49"/>
  <c r="D77" i="49"/>
  <c r="E77" i="49"/>
  <c r="G77" i="49"/>
  <c r="D78" i="49"/>
  <c r="E78" i="49"/>
  <c r="G78" i="49"/>
  <c r="F3" i="48"/>
  <c r="H3" i="48"/>
  <c r="J3" i="48"/>
  <c r="F4" i="48"/>
  <c r="H4" i="48"/>
  <c r="K4" i="48"/>
  <c r="L4" i="48"/>
  <c r="M4" i="48"/>
  <c r="F5" i="48"/>
  <c r="H5" i="48"/>
  <c r="L5" i="48"/>
  <c r="M5" i="48"/>
  <c r="F6" i="48"/>
  <c r="H6" i="48"/>
  <c r="K6" i="48"/>
  <c r="L6" i="48"/>
  <c r="M6" i="48"/>
  <c r="H7" i="48"/>
  <c r="J7" i="48"/>
  <c r="K7" i="48"/>
  <c r="L7" i="48"/>
  <c r="H8" i="48"/>
  <c r="J8" i="48"/>
  <c r="K8" i="48"/>
  <c r="L8" i="48"/>
  <c r="M8" i="48"/>
  <c r="F9" i="48"/>
  <c r="H9" i="48"/>
  <c r="J9" i="48"/>
  <c r="K9" i="48"/>
  <c r="L9" i="48"/>
  <c r="F10" i="48"/>
  <c r="J10" i="48"/>
  <c r="H10" i="48"/>
  <c r="K10" i="48"/>
  <c r="L10" i="48"/>
  <c r="F11" i="48"/>
  <c r="J11" i="48"/>
  <c r="J13" i="48"/>
  <c r="J14" i="48"/>
  <c r="J15" i="48"/>
  <c r="J16" i="48"/>
  <c r="J17" i="48"/>
  <c r="J18" i="48"/>
  <c r="F22" i="48"/>
  <c r="J22" i="48"/>
  <c r="H22" i="48"/>
  <c r="L22" i="48"/>
  <c r="F23" i="48"/>
  <c r="H23" i="48"/>
  <c r="J23" i="48"/>
  <c r="F24" i="48"/>
  <c r="H24" i="48"/>
  <c r="F25" i="48"/>
  <c r="J25" i="48"/>
  <c r="H25" i="48"/>
  <c r="H26" i="48"/>
  <c r="J26" i="48"/>
  <c r="H27" i="48"/>
  <c r="J27" i="48"/>
  <c r="F28" i="48"/>
  <c r="J28" i="48"/>
  <c r="H28" i="48"/>
  <c r="F29" i="48"/>
  <c r="H29" i="48"/>
  <c r="J29" i="48"/>
  <c r="F30" i="48"/>
  <c r="J30" i="48"/>
  <c r="J32" i="48"/>
  <c r="J33" i="48"/>
  <c r="N33" i="48"/>
  <c r="J34" i="48"/>
  <c r="J35" i="48"/>
  <c r="J36" i="48"/>
  <c r="J37" i="48"/>
  <c r="N38" i="48"/>
  <c r="F49" i="48"/>
  <c r="H49" i="48"/>
  <c r="J49" i="48"/>
  <c r="F50" i="48"/>
  <c r="H50" i="48"/>
  <c r="J50" i="48"/>
  <c r="F51" i="48"/>
  <c r="H51" i="48"/>
  <c r="J51" i="48"/>
  <c r="F52" i="48"/>
  <c r="J52" i="48"/>
  <c r="H52" i="48"/>
  <c r="H53" i="48"/>
  <c r="J53" i="48"/>
  <c r="F54" i="48"/>
  <c r="H54" i="48"/>
  <c r="F55" i="48"/>
  <c r="J55" i="48"/>
  <c r="H55" i="48"/>
  <c r="F56" i="48"/>
  <c r="J56" i="48"/>
  <c r="J57" i="48"/>
  <c r="J59" i="48"/>
  <c r="J60" i="48"/>
  <c r="J61" i="48"/>
  <c r="J62" i="48"/>
  <c r="J63" i="48"/>
  <c r="J64" i="48"/>
  <c r="J72" i="48"/>
  <c r="J73" i="48"/>
  <c r="J74" i="48"/>
  <c r="J75" i="48"/>
  <c r="F78" i="48"/>
  <c r="J78" i="48"/>
  <c r="J81" i="48"/>
  <c r="J82" i="48"/>
  <c r="J80" i="48"/>
  <c r="C10" i="47"/>
  <c r="J11" i="47"/>
  <c r="B14" i="47"/>
  <c r="C15" i="47"/>
  <c r="E16" i="47"/>
  <c r="E12" i="46"/>
  <c r="G12" i="46"/>
  <c r="E13" i="46"/>
  <c r="E14" i="46"/>
  <c r="G14" i="46"/>
  <c r="E15" i="46"/>
  <c r="G15" i="46"/>
  <c r="I16" i="46"/>
  <c r="I17" i="46"/>
  <c r="F8" i="45"/>
  <c r="G8" i="45"/>
  <c r="G9" i="45"/>
  <c r="A2" i="47"/>
  <c r="A2" i="32"/>
  <c r="A2" i="49"/>
  <c r="E15" i="49"/>
  <c r="AN6" i="19"/>
  <c r="D15" i="49"/>
  <c r="C14" i="61"/>
  <c r="C17" i="61"/>
  <c r="C23" i="61"/>
  <c r="C25" i="61"/>
  <c r="D66" i="49"/>
  <c r="D21" i="49"/>
  <c r="D18" i="49"/>
  <c r="E63" i="49"/>
  <c r="D63" i="49"/>
  <c r="S58" i="49"/>
  <c r="Q79" i="49"/>
  <c r="Q80" i="49"/>
  <c r="Q82" i="49"/>
  <c r="J283" i="71"/>
  <c r="K283" i="71"/>
  <c r="C8" i="61"/>
  <c r="G17" i="57"/>
  <c r="C111" i="71"/>
  <c r="D119" i="71"/>
  <c r="C119" i="71"/>
  <c r="D118" i="71"/>
  <c r="C118" i="71"/>
  <c r="D144" i="71"/>
  <c r="C144" i="71"/>
  <c r="C135" i="71"/>
  <c r="D139" i="71"/>
  <c r="C139" i="71"/>
  <c r="D138" i="71"/>
  <c r="C138" i="71"/>
  <c r="D143" i="71"/>
  <c r="C143" i="71"/>
  <c r="C211" i="71"/>
  <c r="D216" i="71"/>
  <c r="C216" i="71"/>
  <c r="D48" i="71"/>
  <c r="C48" i="71"/>
  <c r="O48" i="71"/>
  <c r="C47" i="71"/>
  <c r="H279" i="71"/>
  <c r="H278" i="71"/>
  <c r="H282" i="71"/>
  <c r="J172" i="74"/>
  <c r="D51" i="72"/>
  <c r="D52" i="72"/>
  <c r="AK27" i="70"/>
  <c r="AK29" i="70"/>
  <c r="AK30" i="70"/>
  <c r="AJ27" i="70"/>
  <c r="AJ29" i="70"/>
  <c r="AJ30" i="70"/>
  <c r="P22" i="72"/>
  <c r="P27" i="72"/>
  <c r="AL28" i="70"/>
  <c r="AL29" i="70"/>
  <c r="AL30" i="70"/>
  <c r="AC22" i="70"/>
  <c r="AC29" i="70"/>
  <c r="AC30" i="70"/>
  <c r="AH25" i="70"/>
  <c r="AH29" i="70"/>
  <c r="AH30" i="70"/>
  <c r="U16" i="70"/>
  <c r="U29" i="70"/>
  <c r="U30" i="70"/>
  <c r="T16" i="70"/>
  <c r="T29" i="70"/>
  <c r="T30" i="70"/>
  <c r="Z21" i="70"/>
  <c r="Z29" i="70"/>
  <c r="Z30" i="70"/>
  <c r="AE23" i="70"/>
  <c r="AE29" i="70"/>
  <c r="AE30" i="70"/>
  <c r="D16" i="72"/>
  <c r="D17" i="72"/>
  <c r="K17" i="72"/>
  <c r="O17" i="72"/>
  <c r="AB22" i="70"/>
  <c r="AB29" i="70"/>
  <c r="AB30" i="70"/>
  <c r="A40" i="72"/>
  <c r="N11" i="70"/>
  <c r="N29" i="70"/>
  <c r="N30" i="70"/>
  <c r="F107" i="71"/>
  <c r="A38" i="72"/>
  <c r="D61" i="72"/>
  <c r="D62" i="72"/>
  <c r="D27" i="72"/>
  <c r="D28" i="72"/>
  <c r="D29" i="72"/>
  <c r="D8" i="72"/>
  <c r="D9" i="72"/>
  <c r="D22" i="72"/>
  <c r="D23" i="72"/>
  <c r="D24" i="72"/>
  <c r="A33" i="72"/>
  <c r="A54" i="72"/>
  <c r="A61" i="72"/>
  <c r="I62" i="72"/>
  <c r="A45" i="72"/>
  <c r="A57" i="72"/>
  <c r="J57" i="72"/>
  <c r="K57" i="72"/>
  <c r="O57" i="72"/>
  <c r="A55" i="72"/>
  <c r="A67" i="72"/>
  <c r="D40" i="72"/>
  <c r="D41" i="72"/>
  <c r="F26" i="70"/>
  <c r="C22" i="72"/>
  <c r="C23" i="72"/>
  <c r="D47" i="72"/>
  <c r="H21" i="70"/>
  <c r="AA21" i="70"/>
  <c r="AA29" i="70"/>
  <c r="AA30" i="70"/>
  <c r="A35" i="72"/>
  <c r="J20" i="70"/>
  <c r="H20" i="70"/>
  <c r="H29" i="70"/>
  <c r="H30" i="70"/>
  <c r="X20" i="70"/>
  <c r="X29" i="70"/>
  <c r="X30" i="70"/>
  <c r="D57" i="72"/>
  <c r="D58" i="72"/>
  <c r="D35" i="72"/>
  <c r="D36" i="72"/>
  <c r="D48" i="72"/>
  <c r="A49" i="72"/>
  <c r="W20" i="70"/>
  <c r="W29" i="70"/>
  <c r="W30" i="70"/>
  <c r="A17" i="72"/>
  <c r="J17" i="72"/>
  <c r="A12" i="72"/>
  <c r="J12" i="72"/>
  <c r="A13" i="72"/>
  <c r="I12" i="72"/>
  <c r="A16" i="72"/>
  <c r="J16" i="72"/>
  <c r="Y20" i="70"/>
  <c r="Y29" i="70"/>
  <c r="Y30" i="70"/>
  <c r="A9" i="72"/>
  <c r="I8" i="72"/>
  <c r="AI26" i="70"/>
  <c r="AI29" i="70"/>
  <c r="AI30" i="70"/>
  <c r="A8" i="72"/>
  <c r="I9" i="72"/>
  <c r="AG24" i="70"/>
  <c r="AG29" i="70"/>
  <c r="AG30" i="70"/>
  <c r="J24" i="70"/>
  <c r="AD22" i="70"/>
  <c r="AD29" i="70"/>
  <c r="AD30" i="70"/>
  <c r="AF24" i="70"/>
  <c r="AF29" i="70"/>
  <c r="AF30" i="70"/>
  <c r="F24" i="70"/>
  <c r="L18" i="70"/>
  <c r="J18" i="70"/>
  <c r="G18" i="70"/>
  <c r="K18" i="70"/>
  <c r="S18" i="70"/>
  <c r="S29" i="70"/>
  <c r="S30" i="70"/>
  <c r="H23" i="70"/>
  <c r="AA23" i="70"/>
  <c r="J19" i="70"/>
  <c r="G19" i="70"/>
  <c r="L19" i="70"/>
  <c r="R18" i="70"/>
  <c r="K19" i="70"/>
  <c r="G12" i="59"/>
  <c r="J167" i="74"/>
  <c r="J4" i="48"/>
  <c r="G7" i="57"/>
  <c r="I55" i="58"/>
  <c r="G13" i="57"/>
  <c r="K261" i="71"/>
  <c r="H266" i="71"/>
  <c r="J168" i="74"/>
  <c r="H923" i="19"/>
  <c r="H924" i="19"/>
  <c r="H925" i="19"/>
  <c r="H926" i="19"/>
  <c r="H927" i="19"/>
  <c r="H928" i="19"/>
  <c r="H929" i="19"/>
  <c r="L14" i="70"/>
  <c r="L15" i="70"/>
  <c r="J15" i="70"/>
  <c r="K15" i="70"/>
  <c r="G15" i="70"/>
  <c r="M15" i="70"/>
  <c r="C306" i="32"/>
  <c r="C304" i="32"/>
  <c r="H304" i="32"/>
  <c r="I304" i="32"/>
  <c r="C307" i="32"/>
  <c r="C312" i="32"/>
  <c r="I16" i="70"/>
  <c r="I29" i="70"/>
  <c r="I30" i="70"/>
  <c r="C313" i="32"/>
  <c r="J16" i="70"/>
  <c r="C305" i="32"/>
  <c r="C309" i="32"/>
  <c r="V16" i="70"/>
  <c r="V29" i="70"/>
  <c r="V30" i="70"/>
  <c r="M84" i="19"/>
  <c r="C469" i="32"/>
  <c r="C462" i="32"/>
  <c r="C465" i="32"/>
  <c r="C463" i="32"/>
  <c r="C468" i="32"/>
  <c r="M89" i="19"/>
  <c r="C490" i="32"/>
  <c r="C493" i="32"/>
  <c r="C489" i="32"/>
  <c r="C494" i="32"/>
  <c r="C464" i="32"/>
  <c r="M76" i="19"/>
  <c r="M52" i="19"/>
  <c r="O43" i="34"/>
  <c r="M69" i="19"/>
  <c r="C30" i="32"/>
  <c r="P10" i="70"/>
  <c r="P29" i="70"/>
  <c r="P30" i="70"/>
  <c r="C31" i="32"/>
  <c r="Q10" i="70"/>
  <c r="C34" i="32"/>
  <c r="F10" i="70"/>
  <c r="C35" i="32"/>
  <c r="J10" i="70"/>
  <c r="C29" i="32"/>
  <c r="O10" i="70"/>
  <c r="C7" i="75"/>
  <c r="H45" i="34"/>
  <c r="I45" i="34"/>
  <c r="K45" i="34"/>
  <c r="L45" i="34"/>
  <c r="O45" i="34"/>
  <c r="H8" i="34"/>
  <c r="I8" i="34"/>
  <c r="K8" i="34"/>
  <c r="L8" i="34"/>
  <c r="M1005" i="19"/>
  <c r="O215" i="19"/>
  <c r="J215" i="19"/>
  <c r="M152" i="19"/>
  <c r="N152" i="19"/>
  <c r="J9" i="66"/>
  <c r="AF454" i="19"/>
  <c r="C321" i="32"/>
  <c r="J10" i="66"/>
  <c r="C334" i="32"/>
  <c r="J14" i="70"/>
  <c r="M14" i="70"/>
  <c r="K14" i="70"/>
  <c r="D15" i="66"/>
  <c r="F15" i="66"/>
  <c r="L441" i="32"/>
  <c r="C81" i="74"/>
  <c r="L81" i="74"/>
  <c r="C46" i="74"/>
  <c r="L46" i="74"/>
  <c r="C53" i="74"/>
  <c r="L53" i="74"/>
  <c r="C24" i="70"/>
  <c r="C41" i="74"/>
  <c r="L41" i="74"/>
  <c r="C132" i="74"/>
  <c r="L132" i="74"/>
  <c r="C48" i="74"/>
  <c r="L48" i="74"/>
  <c r="C52" i="74"/>
  <c r="L52" i="74"/>
  <c r="C16" i="74"/>
  <c r="L16" i="74"/>
  <c r="C71" i="74"/>
  <c r="L71" i="74"/>
  <c r="D17" i="66"/>
  <c r="F17" i="66"/>
  <c r="C30" i="74"/>
  <c r="L30" i="74"/>
  <c r="C72" i="74"/>
  <c r="L72" i="74"/>
  <c r="C40" i="74"/>
  <c r="L40" i="74"/>
  <c r="C33" i="74"/>
  <c r="L33" i="74"/>
  <c r="D7" i="66"/>
  <c r="F7" i="66"/>
  <c r="C19" i="70"/>
  <c r="C50" i="74"/>
  <c r="L50" i="74"/>
  <c r="C26" i="70"/>
  <c r="D9" i="66"/>
  <c r="F9" i="66"/>
  <c r="C133" i="74"/>
  <c r="L133" i="74"/>
  <c r="C85" i="74"/>
  <c r="L85" i="74"/>
  <c r="C69" i="74"/>
  <c r="L69" i="74"/>
  <c r="C22" i="70"/>
  <c r="C35" i="74"/>
  <c r="L35" i="74"/>
  <c r="D18" i="66"/>
  <c r="F18" i="66"/>
  <c r="C131" i="74"/>
  <c r="L131" i="74"/>
  <c r="C23" i="70"/>
  <c r="C32" i="74"/>
  <c r="L32" i="74"/>
  <c r="C49" i="74"/>
  <c r="L49" i="74"/>
  <c r="D8" i="66"/>
  <c r="F8" i="66"/>
  <c r="D24" i="66"/>
  <c r="F24" i="66"/>
  <c r="D14" i="66"/>
  <c r="F14" i="66"/>
  <c r="D34" i="66"/>
  <c r="F34" i="66"/>
  <c r="C25" i="70"/>
  <c r="C130" i="74"/>
  <c r="L130" i="74"/>
  <c r="C47" i="74"/>
  <c r="L47" i="74"/>
  <c r="C54" i="74"/>
  <c r="L54" i="74"/>
  <c r="C27" i="70"/>
  <c r="C84" i="74"/>
  <c r="L84" i="74"/>
  <c r="C134" i="74"/>
  <c r="L134" i="74"/>
  <c r="C70" i="74"/>
  <c r="L70" i="74"/>
  <c r="C20" i="70"/>
  <c r="D6" i="66"/>
  <c r="F6" i="66"/>
  <c r="C34" i="74"/>
  <c r="L34" i="74"/>
  <c r="C38" i="74"/>
  <c r="L38" i="74"/>
  <c r="D12" i="66"/>
  <c r="F12" i="66"/>
  <c r="C21" i="70"/>
  <c r="C37" i="74"/>
  <c r="L37" i="74"/>
  <c r="C28" i="70"/>
  <c r="D33" i="66"/>
  <c r="F33" i="66"/>
  <c r="C126" i="74"/>
  <c r="L126" i="74"/>
  <c r="C36" i="74"/>
  <c r="L36" i="74"/>
  <c r="D10" i="66"/>
  <c r="F10" i="66"/>
  <c r="C86" i="74"/>
  <c r="L86" i="74"/>
  <c r="C42" i="74"/>
  <c r="L42" i="74"/>
  <c r="C18" i="70"/>
  <c r="G14" i="70"/>
  <c r="J8" i="66"/>
  <c r="F58" i="58"/>
  <c r="F59" i="58"/>
  <c r="K57" i="58"/>
  <c r="K18" i="50"/>
  <c r="E16" i="46"/>
  <c r="E18" i="46"/>
  <c r="E19" i="46"/>
  <c r="G13" i="46"/>
  <c r="G16" i="46"/>
  <c r="J171" i="74"/>
  <c r="J170" i="74"/>
  <c r="A202" i="71"/>
  <c r="A211" i="71"/>
  <c r="A221" i="71"/>
  <c r="A232" i="71"/>
  <c r="A241" i="71"/>
  <c r="A250" i="71"/>
  <c r="A259" i="71"/>
  <c r="A268" i="71"/>
  <c r="A276" i="71"/>
  <c r="J19" i="48"/>
  <c r="D12" i="71"/>
  <c r="C12" i="71"/>
  <c r="D16" i="71"/>
  <c r="C16" i="71"/>
  <c r="D17" i="71"/>
  <c r="C17" i="71"/>
  <c r="J24" i="48"/>
  <c r="J38" i="48"/>
  <c r="C9" i="61"/>
  <c r="J54" i="48"/>
  <c r="J6" i="48"/>
  <c r="H229" i="71"/>
  <c r="H230" i="71"/>
  <c r="J164" i="74"/>
  <c r="H248" i="71"/>
  <c r="J166" i="74"/>
  <c r="J5" i="48"/>
  <c r="G5" i="57"/>
  <c r="J23" i="58"/>
  <c r="K24" i="58"/>
  <c r="G4" i="57"/>
  <c r="G25" i="57"/>
  <c r="G27" i="57"/>
  <c r="G28" i="57"/>
  <c r="G20" i="57"/>
  <c r="F26" i="58"/>
  <c r="F27" i="58"/>
  <c r="K25" i="58"/>
  <c r="C11" i="61"/>
  <c r="L38" i="48"/>
  <c r="L39" i="48"/>
  <c r="J39" i="48"/>
  <c r="J65" i="48"/>
  <c r="J66" i="48"/>
  <c r="F277" i="32"/>
  <c r="C10" i="70"/>
  <c r="F263" i="32"/>
  <c r="H263" i="32"/>
  <c r="I263" i="32"/>
  <c r="D16" i="66"/>
  <c r="F16" i="66"/>
  <c r="C8" i="82"/>
  <c r="F29" i="83"/>
  <c r="F40" i="83"/>
  <c r="F37" i="83"/>
  <c r="F8" i="83"/>
  <c r="F35" i="83"/>
  <c r="F34" i="83"/>
  <c r="F33" i="83"/>
  <c r="F36" i="83"/>
  <c r="C18" i="61"/>
  <c r="C19" i="61"/>
  <c r="C27" i="61"/>
  <c r="F38" i="83"/>
  <c r="I23" i="61"/>
  <c r="C28" i="61"/>
  <c r="I20" i="61"/>
  <c r="C21" i="61"/>
  <c r="I27" i="61"/>
  <c r="H93" i="19"/>
  <c r="H94" i="19"/>
  <c r="H95" i="19"/>
  <c r="K1125" i="19"/>
  <c r="S5" i="34"/>
  <c r="F145" i="19"/>
  <c r="J145" i="19"/>
  <c r="J144" i="19"/>
  <c r="E248" i="19"/>
  <c r="E247" i="19"/>
  <c r="J333" i="19"/>
  <c r="F780" i="19"/>
  <c r="Y768" i="19"/>
  <c r="Y767" i="19"/>
  <c r="Y766" i="19"/>
  <c r="Y769" i="19"/>
  <c r="AA623" i="19"/>
  <c r="M546" i="19"/>
  <c r="U550" i="19"/>
  <c r="O728" i="19"/>
  <c r="O731" i="19"/>
  <c r="O732" i="19"/>
  <c r="J1075" i="19"/>
  <c r="J993" i="19"/>
  <c r="J1199" i="19"/>
  <c r="H496" i="19"/>
  <c r="M499" i="19"/>
  <c r="U500" i="19"/>
  <c r="U838" i="19"/>
  <c r="F838" i="19"/>
  <c r="J838" i="19"/>
  <c r="H551" i="19"/>
  <c r="M554" i="19"/>
  <c r="U553" i="19"/>
  <c r="V553" i="19"/>
  <c r="AA553" i="19"/>
  <c r="F1326" i="19"/>
  <c r="O872" i="19"/>
  <c r="B934" i="19"/>
  <c r="B950" i="19"/>
  <c r="T802" i="19"/>
  <c r="D802" i="19"/>
  <c r="T674" i="19"/>
  <c r="D674" i="19"/>
  <c r="O749" i="19"/>
  <c r="O752" i="19"/>
  <c r="O753" i="19"/>
  <c r="E750" i="19"/>
  <c r="O750" i="19"/>
  <c r="O793" i="19"/>
  <c r="V793" i="19"/>
  <c r="Y793" i="19"/>
  <c r="O876" i="19"/>
  <c r="E802" i="19"/>
  <c r="O802" i="19"/>
  <c r="E200" i="19"/>
  <c r="J200" i="19"/>
  <c r="E696" i="19"/>
  <c r="E697" i="19"/>
  <c r="E499" i="19"/>
  <c r="E500" i="19"/>
  <c r="O500" i="19"/>
  <c r="E710" i="19"/>
  <c r="E711" i="19"/>
  <c r="T616" i="19"/>
  <c r="D616" i="19"/>
  <c r="O817" i="19"/>
  <c r="O834" i="19"/>
  <c r="F825" i="19"/>
  <c r="J825" i="19"/>
  <c r="D628" i="32"/>
  <c r="C628" i="32"/>
  <c r="D626" i="32"/>
  <c r="C626" i="32"/>
  <c r="I112" i="66"/>
  <c r="K1260" i="19"/>
  <c r="B1325" i="19"/>
  <c r="N864" i="19"/>
  <c r="T865" i="19"/>
  <c r="D865" i="19"/>
  <c r="J1167" i="19"/>
  <c r="O880" i="19"/>
  <c r="O589" i="19"/>
  <c r="O592" i="19"/>
  <c r="O593" i="19"/>
  <c r="E592" i="19"/>
  <c r="E593" i="19"/>
  <c r="E483" i="19"/>
  <c r="E484" i="19"/>
  <c r="O484" i="19"/>
  <c r="B201" i="19"/>
  <c r="N880" i="19"/>
  <c r="T881" i="19"/>
  <c r="D881" i="19"/>
  <c r="J1202" i="19"/>
  <c r="U793" i="19"/>
  <c r="F793" i="19"/>
  <c r="J793" i="19"/>
  <c r="D623" i="32"/>
  <c r="C623" i="32"/>
  <c r="K1158" i="19"/>
  <c r="E1354" i="19"/>
  <c r="J1354" i="19"/>
  <c r="K1355" i="19"/>
  <c r="D780" i="32"/>
  <c r="C780" i="32"/>
  <c r="H780" i="32"/>
  <c r="I780" i="32"/>
  <c r="J1228" i="19"/>
  <c r="E1358" i="19"/>
  <c r="E798" i="19"/>
  <c r="O798" i="19"/>
  <c r="O844" i="19"/>
  <c r="O845" i="19"/>
  <c r="U467" i="19"/>
  <c r="V467" i="19"/>
  <c r="AA467" i="19"/>
  <c r="E543" i="19"/>
  <c r="O410" i="19"/>
  <c r="O412" i="19"/>
  <c r="O413" i="19"/>
  <c r="E412" i="19"/>
  <c r="E413" i="19"/>
  <c r="U416" i="19"/>
  <c r="O686" i="19"/>
  <c r="O689" i="19"/>
  <c r="O690" i="19"/>
  <c r="E687" i="19"/>
  <c r="O687" i="19"/>
  <c r="C1173" i="19"/>
  <c r="E1184" i="19"/>
  <c r="J1184" i="19"/>
  <c r="E689" i="19"/>
  <c r="E690" i="19"/>
  <c r="F185" i="19"/>
  <c r="F195" i="19"/>
  <c r="B935" i="19"/>
  <c r="B951" i="19"/>
  <c r="D577" i="32"/>
  <c r="C577" i="32"/>
  <c r="C112" i="66"/>
  <c r="D749" i="32"/>
  <c r="C749" i="32"/>
  <c r="C78" i="66"/>
  <c r="U861" i="19"/>
  <c r="F861" i="19"/>
  <c r="J1300" i="19"/>
  <c r="F813" i="19"/>
  <c r="J813" i="19"/>
  <c r="I16" i="72"/>
  <c r="H306" i="19"/>
  <c r="J1179" i="19"/>
  <c r="E531" i="19"/>
  <c r="E532" i="19"/>
  <c r="O532" i="19"/>
  <c r="D624" i="32"/>
  <c r="C624" i="32"/>
  <c r="D625" i="32"/>
  <c r="C625" i="32"/>
  <c r="D622" i="32"/>
  <c r="C622" i="32"/>
  <c r="O813" i="19"/>
  <c r="V813" i="19"/>
  <c r="Y813" i="19"/>
  <c r="F805" i="19"/>
  <c r="J805" i="19"/>
  <c r="U856" i="19"/>
  <c r="E927" i="19"/>
  <c r="E943" i="19"/>
  <c r="J1229" i="19"/>
  <c r="I125" i="74"/>
  <c r="O643" i="32"/>
  <c r="P643" i="32"/>
  <c r="N637" i="32"/>
  <c r="G42" i="49"/>
  <c r="D642" i="32"/>
  <c r="C642" i="32"/>
  <c r="C634" i="32"/>
  <c r="D644" i="32"/>
  <c r="D645" i="32"/>
  <c r="C645" i="32"/>
  <c r="D637" i="32"/>
  <c r="C637" i="32"/>
  <c r="G57" i="49"/>
  <c r="G37" i="49"/>
  <c r="D636" i="32"/>
  <c r="C636" i="32"/>
  <c r="B27" i="74"/>
  <c r="E861" i="19"/>
  <c r="O861" i="19"/>
  <c r="O721" i="19"/>
  <c r="O724" i="19"/>
  <c r="O725" i="19"/>
  <c r="U689" i="19"/>
  <c r="F689" i="19"/>
  <c r="T826" i="19"/>
  <c r="D826" i="19"/>
  <c r="J915" i="19"/>
  <c r="J961" i="19"/>
  <c r="E631" i="19"/>
  <c r="O631" i="19"/>
  <c r="M576" i="19"/>
  <c r="U576" i="19"/>
  <c r="F576" i="19"/>
  <c r="O805" i="19"/>
  <c r="E1002" i="19"/>
  <c r="E1010" i="19"/>
  <c r="K16" i="72"/>
  <c r="O16" i="72"/>
  <c r="U424" i="19"/>
  <c r="F424" i="19"/>
  <c r="T572" i="19"/>
  <c r="U625" i="19"/>
  <c r="F625" i="19"/>
  <c r="G367" i="19"/>
  <c r="I367" i="19"/>
  <c r="M289" i="19"/>
  <c r="N292" i="19"/>
  <c r="D219" i="32"/>
  <c r="C219" i="32"/>
  <c r="O219" i="32"/>
  <c r="E463" i="19"/>
  <c r="E464" i="19"/>
  <c r="O638" i="19"/>
  <c r="O641" i="19"/>
  <c r="O642" i="19"/>
  <c r="V642" i="19"/>
  <c r="Y642" i="19"/>
  <c r="E641" i="19"/>
  <c r="E642" i="19"/>
  <c r="O553" i="19"/>
  <c r="O557" i="19"/>
  <c r="B209" i="19"/>
  <c r="E724" i="19"/>
  <c r="E725" i="19"/>
  <c r="B198" i="19"/>
  <c r="E745" i="19"/>
  <c r="E746" i="19"/>
  <c r="U492" i="19"/>
  <c r="F492" i="19"/>
  <c r="U634" i="19"/>
  <c r="F634" i="19"/>
  <c r="I1260" i="19"/>
  <c r="E19" i="66"/>
  <c r="G67" i="49"/>
  <c r="G48" i="49"/>
  <c r="G44" i="49"/>
  <c r="G40" i="49"/>
  <c r="G799" i="19"/>
  <c r="M801" i="19"/>
  <c r="U802" i="19"/>
  <c r="F802" i="19"/>
  <c r="J802" i="19"/>
  <c r="M797" i="19"/>
  <c r="U798" i="19"/>
  <c r="F798" i="19"/>
  <c r="U675" i="19"/>
  <c r="F675" i="19"/>
  <c r="M793" i="19"/>
  <c r="AF177" i="19"/>
  <c r="AF178" i="19"/>
  <c r="AF894" i="19"/>
  <c r="T564" i="19"/>
  <c r="D564" i="19"/>
  <c r="U662" i="19"/>
  <c r="F662" i="19"/>
  <c r="J662" i="19"/>
  <c r="E715" i="19"/>
  <c r="O715" i="19"/>
  <c r="T642" i="19"/>
  <c r="D642" i="19"/>
  <c r="O856" i="19"/>
  <c r="J61" i="72"/>
  <c r="K61" i="72"/>
  <c r="O61" i="72"/>
  <c r="M490" i="19"/>
  <c r="E576" i="19"/>
  <c r="O576" i="19"/>
  <c r="J315" i="19"/>
  <c r="J1003" i="19"/>
  <c r="C719" i="32"/>
  <c r="C71" i="66"/>
  <c r="J22" i="72"/>
  <c r="K22" i="72"/>
  <c r="O22" i="72"/>
  <c r="E933" i="19"/>
  <c r="E949" i="19"/>
  <c r="B932" i="19"/>
  <c r="B948" i="19"/>
  <c r="O714" i="19"/>
  <c r="O717" i="19"/>
  <c r="O718" i="19"/>
  <c r="E932" i="19"/>
  <c r="E948" i="19"/>
  <c r="O809" i="19"/>
  <c r="V809" i="19"/>
  <c r="Y809" i="19"/>
  <c r="B205" i="19"/>
  <c r="N868" i="19"/>
  <c r="U868" i="19"/>
  <c r="T571" i="19"/>
  <c r="D571" i="19"/>
  <c r="V825" i="19"/>
  <c r="Y825" i="19"/>
  <c r="T839" i="19"/>
  <c r="U869" i="19"/>
  <c r="F869" i="19"/>
  <c r="U769" i="19"/>
  <c r="F769" i="19"/>
  <c r="J199" i="19"/>
  <c r="E578" i="19"/>
  <c r="E579" i="19"/>
  <c r="T806" i="19"/>
  <c r="D806" i="19"/>
  <c r="U865" i="19"/>
  <c r="U881" i="19"/>
  <c r="F881" i="19"/>
  <c r="J910" i="19"/>
  <c r="O416" i="19"/>
  <c r="O418" i="19"/>
  <c r="O419" i="19"/>
  <c r="J1191" i="19"/>
  <c r="U767" i="19"/>
  <c r="F767" i="19"/>
  <c r="O596" i="19"/>
  <c r="O599" i="19"/>
  <c r="O600" i="19"/>
  <c r="E599" i="19"/>
  <c r="E600" i="19"/>
  <c r="K1309" i="19"/>
  <c r="O864" i="19"/>
  <c r="T464" i="19"/>
  <c r="D464" i="19"/>
  <c r="U463" i="19"/>
  <c r="F463" i="19"/>
  <c r="T810" i="19"/>
  <c r="D810" i="19"/>
  <c r="U831" i="19"/>
  <c r="F831" i="19"/>
  <c r="K1225" i="19"/>
  <c r="D663" i="32"/>
  <c r="D668" i="32"/>
  <c r="C668" i="32"/>
  <c r="C59" i="66"/>
  <c r="G30" i="19"/>
  <c r="G31" i="19"/>
  <c r="G32" i="19"/>
  <c r="G33" i="19"/>
  <c r="H107" i="19"/>
  <c r="J107" i="19"/>
  <c r="J106" i="19"/>
  <c r="O568" i="19"/>
  <c r="O571" i="19"/>
  <c r="O572" i="19"/>
  <c r="U623" i="19"/>
  <c r="F623" i="19"/>
  <c r="U656" i="19"/>
  <c r="F656" i="19"/>
  <c r="J656" i="19"/>
  <c r="U655" i="19"/>
  <c r="F655" i="19"/>
  <c r="J655" i="19"/>
  <c r="J1176" i="19"/>
  <c r="K1272" i="19"/>
  <c r="E1325" i="19"/>
  <c r="E1326" i="19"/>
  <c r="H1302" i="19"/>
  <c r="I1302" i="19"/>
  <c r="K1303" i="19"/>
  <c r="F1325" i="19"/>
  <c r="J1325" i="19"/>
  <c r="K1283" i="19"/>
  <c r="I1283" i="19"/>
  <c r="J47" i="72"/>
  <c r="K47" i="72"/>
  <c r="O47" i="72"/>
  <c r="E616" i="19"/>
  <c r="E617" i="19"/>
  <c r="E613" i="19"/>
  <c r="E614" i="19"/>
  <c r="O614" i="19"/>
  <c r="O612" i="19"/>
  <c r="E211" i="19"/>
  <c r="E935" i="19"/>
  <c r="E951" i="19"/>
  <c r="J874" i="19"/>
  <c r="N876" i="19"/>
  <c r="T877" i="19"/>
  <c r="D877" i="19"/>
  <c r="E869" i="19"/>
  <c r="O869" i="19"/>
  <c r="O868" i="19"/>
  <c r="E1185" i="19"/>
  <c r="J1185" i="19"/>
  <c r="F201" i="19"/>
  <c r="T775" i="19"/>
  <c r="D775" i="19"/>
  <c r="T773" i="19"/>
  <c r="D773" i="19"/>
  <c r="O1065" i="19"/>
  <c r="G14" i="19"/>
  <c r="J14" i="19"/>
  <c r="K15" i="19"/>
  <c r="K16" i="19"/>
  <c r="D10" i="32"/>
  <c r="D18" i="32"/>
  <c r="C18" i="32"/>
  <c r="J8" i="70"/>
  <c r="J6" i="19"/>
  <c r="G183" i="19"/>
  <c r="G193" i="19"/>
  <c r="G392" i="19"/>
  <c r="M395" i="19"/>
  <c r="E185" i="19"/>
  <c r="E83" i="19"/>
  <c r="E286" i="19"/>
  <c r="J286" i="19"/>
  <c r="U834" i="19"/>
  <c r="F834" i="19"/>
  <c r="J834" i="19"/>
  <c r="T835" i="19"/>
  <c r="D835" i="19"/>
  <c r="J900" i="19"/>
  <c r="O499" i="19"/>
  <c r="J40" i="72"/>
  <c r="K40" i="72"/>
  <c r="O40" i="72"/>
  <c r="I41" i="72"/>
  <c r="B928" i="19"/>
  <c r="B944" i="19"/>
  <c r="E656" i="19"/>
  <c r="O656" i="19"/>
  <c r="O655" i="19"/>
  <c r="O658" i="19"/>
  <c r="O659" i="19"/>
  <c r="E768" i="19"/>
  <c r="O768" i="19"/>
  <c r="O766" i="19"/>
  <c r="G836" i="19"/>
  <c r="M838" i="19"/>
  <c r="U839" i="19"/>
  <c r="F839" i="19"/>
  <c r="E839" i="19"/>
  <c r="O839" i="19"/>
  <c r="O838" i="19"/>
  <c r="U641" i="19"/>
  <c r="F641" i="19"/>
  <c r="U642" i="19"/>
  <c r="F642" i="19"/>
  <c r="T625" i="19"/>
  <c r="D625" i="19"/>
  <c r="T633" i="19"/>
  <c r="D633" i="19"/>
  <c r="T626" i="19"/>
  <c r="D626" i="19"/>
  <c r="F57" i="19"/>
  <c r="F925" i="19"/>
  <c r="F941" i="19"/>
  <c r="T430" i="19"/>
  <c r="D430" i="19"/>
  <c r="E922" i="19"/>
  <c r="E938" i="19"/>
  <c r="E198" i="19"/>
  <c r="O490" i="19"/>
  <c r="O494" i="19"/>
  <c r="O495" i="19"/>
  <c r="E491" i="19"/>
  <c r="E492" i="19"/>
  <c r="O492" i="19"/>
  <c r="O498" i="19"/>
  <c r="O502" i="19"/>
  <c r="O503" i="19"/>
  <c r="E502" i="19"/>
  <c r="E503" i="19"/>
  <c r="O506" i="19"/>
  <c r="O510" i="19"/>
  <c r="O511" i="19"/>
  <c r="E510" i="19"/>
  <c r="E511" i="19"/>
  <c r="E507" i="19"/>
  <c r="O507" i="19"/>
  <c r="O514" i="19"/>
  <c r="O518" i="19"/>
  <c r="O519" i="19"/>
  <c r="E515" i="19"/>
  <c r="O515" i="19"/>
  <c r="E518" i="19"/>
  <c r="E519" i="19"/>
  <c r="O522" i="19"/>
  <c r="O526" i="19"/>
  <c r="O527" i="19"/>
  <c r="E523" i="19"/>
  <c r="E534" i="19"/>
  <c r="E535" i="19"/>
  <c r="O530" i="19"/>
  <c r="O534" i="19"/>
  <c r="O535" i="19"/>
  <c r="O539" i="19"/>
  <c r="O543" i="19"/>
  <c r="E540" i="19"/>
  <c r="E541" i="19"/>
  <c r="O541" i="19"/>
  <c r="V541" i="19"/>
  <c r="AA541" i="19"/>
  <c r="T550" i="19"/>
  <c r="D550" i="19"/>
  <c r="U548" i="19"/>
  <c r="U797" i="19"/>
  <c r="V797" i="19"/>
  <c r="Y797" i="19"/>
  <c r="T798" i="19"/>
  <c r="T608" i="19"/>
  <c r="U609" i="19"/>
  <c r="F609" i="19"/>
  <c r="U608" i="19"/>
  <c r="F608" i="19"/>
  <c r="T634" i="19"/>
  <c r="D634" i="19"/>
  <c r="E1172" i="19"/>
  <c r="J1172" i="19"/>
  <c r="J1171" i="19"/>
  <c r="T609" i="19"/>
  <c r="D609" i="19"/>
  <c r="E569" i="19"/>
  <c r="O569" i="19"/>
  <c r="H102" i="19"/>
  <c r="H103" i="19"/>
  <c r="J103" i="19"/>
  <c r="U440" i="19"/>
  <c r="F440" i="19"/>
  <c r="T443" i="19"/>
  <c r="D443" i="19"/>
  <c r="U817" i="19"/>
  <c r="T818" i="19"/>
  <c r="D818" i="19"/>
  <c r="J309" i="19"/>
  <c r="E564" i="19"/>
  <c r="U631" i="19"/>
  <c r="F631" i="19"/>
  <c r="J631" i="19"/>
  <c r="U639" i="19"/>
  <c r="U794" i="19"/>
  <c r="F794" i="19"/>
  <c r="K1292" i="19"/>
  <c r="D748" i="32"/>
  <c r="C748" i="32"/>
  <c r="C77" i="66"/>
  <c r="O560" i="19"/>
  <c r="O564" i="19"/>
  <c r="T845" i="19"/>
  <c r="K89" i="19"/>
  <c r="N89" i="19"/>
  <c r="D75" i="32"/>
  <c r="D83" i="32"/>
  <c r="C83" i="32"/>
  <c r="U482" i="19"/>
  <c r="F482" i="19"/>
  <c r="J482" i="19"/>
  <c r="F27" i="19"/>
  <c r="F255" i="19"/>
  <c r="U606" i="19"/>
  <c r="F606" i="19"/>
  <c r="U626" i="19"/>
  <c r="F626" i="19"/>
  <c r="J809" i="19"/>
  <c r="J821" i="19"/>
  <c r="D627" i="32"/>
  <c r="C627" i="32"/>
  <c r="N860" i="19"/>
  <c r="T861" i="19"/>
  <c r="D861" i="19"/>
  <c r="I17" i="72"/>
  <c r="U845" i="19"/>
  <c r="F845" i="19"/>
  <c r="J1052" i="19"/>
  <c r="K1056" i="19"/>
  <c r="J1094" i="19"/>
  <c r="U612" i="19"/>
  <c r="F612" i="19"/>
  <c r="J612" i="19"/>
  <c r="E826" i="19"/>
  <c r="O826" i="19"/>
  <c r="J913" i="19"/>
  <c r="I1272" i="19"/>
  <c r="U418" i="19"/>
  <c r="F418" i="19"/>
  <c r="J418" i="19"/>
  <c r="U768" i="19"/>
  <c r="F768" i="19"/>
  <c r="J768" i="19"/>
  <c r="I52" i="72"/>
  <c r="J296" i="19"/>
  <c r="J305" i="19"/>
  <c r="U436" i="19"/>
  <c r="F436" i="19"/>
  <c r="T641" i="19"/>
  <c r="E1324" i="19"/>
  <c r="K1285" i="19"/>
  <c r="H356" i="19"/>
  <c r="H357" i="19"/>
  <c r="J355" i="19"/>
  <c r="J306" i="19"/>
  <c r="E606" i="19"/>
  <c r="O606" i="19"/>
  <c r="K1314" i="19"/>
  <c r="J909" i="19"/>
  <c r="O735" i="19"/>
  <c r="O738" i="19"/>
  <c r="O739" i="19"/>
  <c r="U674" i="19"/>
  <c r="F674" i="19"/>
  <c r="K757" i="19"/>
  <c r="D376" i="32"/>
  <c r="C376" i="32"/>
  <c r="D619" i="32"/>
  <c r="C619" i="32"/>
  <c r="C57" i="34"/>
  <c r="U864" i="19"/>
  <c r="B936" i="19"/>
  <c r="B952" i="19"/>
  <c r="I1285" i="19"/>
  <c r="B206" i="19"/>
  <c r="E738" i="19"/>
  <c r="E739" i="19"/>
  <c r="O582" i="19"/>
  <c r="O585" i="19"/>
  <c r="O586" i="19"/>
  <c r="E583" i="19"/>
  <c r="J1193" i="19"/>
  <c r="I247" i="19"/>
  <c r="J940" i="19"/>
  <c r="I1255" i="19"/>
  <c r="K1256" i="19"/>
  <c r="K1257" i="19"/>
  <c r="D702" i="32"/>
  <c r="D704" i="32"/>
  <c r="C704" i="32"/>
  <c r="B277" i="19"/>
  <c r="B396" i="19"/>
  <c r="H128" i="19"/>
  <c r="J128" i="19"/>
  <c r="J127" i="19"/>
  <c r="E210" i="19"/>
  <c r="E934" i="19"/>
  <c r="E950" i="19"/>
  <c r="J1180" i="19"/>
  <c r="I29" i="72"/>
  <c r="T487" i="19"/>
  <c r="D487" i="19"/>
  <c r="B200" i="19"/>
  <c r="T697" i="19"/>
  <c r="M693" i="19"/>
  <c r="U697" i="19"/>
  <c r="E674" i="19"/>
  <c r="E675" i="19"/>
  <c r="E672" i="19"/>
  <c r="O672" i="19"/>
  <c r="V672" i="19"/>
  <c r="AA672" i="19"/>
  <c r="E701" i="19"/>
  <c r="O701" i="19"/>
  <c r="D787" i="32"/>
  <c r="C787" i="32"/>
  <c r="H787" i="32"/>
  <c r="I787" i="32"/>
  <c r="J1192" i="19"/>
  <c r="J1204" i="19"/>
  <c r="D1077" i="19"/>
  <c r="D1078" i="19"/>
  <c r="J1078" i="19"/>
  <c r="U464" i="19"/>
  <c r="F464" i="19"/>
  <c r="J1055" i="19"/>
  <c r="E633" i="19"/>
  <c r="E634" i="19"/>
  <c r="E665" i="19"/>
  <c r="O454" i="19"/>
  <c r="O456" i="19"/>
  <c r="O457" i="19"/>
  <c r="O458" i="19"/>
  <c r="J1201" i="19"/>
  <c r="U835" i="19"/>
  <c r="F835" i="19"/>
  <c r="J835" i="19"/>
  <c r="U690" i="19"/>
  <c r="F690" i="19"/>
  <c r="T794" i="19"/>
  <c r="O662" i="19"/>
  <c r="O665" i="19"/>
  <c r="T418" i="19"/>
  <c r="D418" i="19"/>
  <c r="U877" i="19"/>
  <c r="F877" i="19"/>
  <c r="G945" i="19"/>
  <c r="AF15" i="19"/>
  <c r="F184" i="19"/>
  <c r="F194" i="19"/>
  <c r="F396" i="19"/>
  <c r="F40" i="19"/>
  <c r="F268" i="19"/>
  <c r="F26" i="19"/>
  <c r="J26" i="19"/>
  <c r="F31" i="19"/>
  <c r="F259" i="19"/>
  <c r="U422" i="19"/>
  <c r="F422" i="19"/>
  <c r="C1189" i="19"/>
  <c r="J1187" i="19"/>
  <c r="U659" i="19"/>
  <c r="F659" i="19"/>
  <c r="U658" i="19"/>
  <c r="F658" i="19"/>
  <c r="F182" i="19"/>
  <c r="F192" i="19"/>
  <c r="F275" i="19"/>
  <c r="F28" i="19"/>
  <c r="F256" i="19"/>
  <c r="F32" i="19"/>
  <c r="F260" i="19"/>
  <c r="E508" i="19"/>
  <c r="O508" i="19"/>
  <c r="J94" i="19"/>
  <c r="F38" i="19"/>
  <c r="F266" i="19"/>
  <c r="T425" i="19"/>
  <c r="D425" i="19"/>
  <c r="J334" i="19"/>
  <c r="G335" i="19"/>
  <c r="G336" i="19"/>
  <c r="V801" i="19"/>
  <c r="Y801" i="19"/>
  <c r="AF17" i="19"/>
  <c r="AF189" i="19"/>
  <c r="U457" i="19"/>
  <c r="F457" i="19"/>
  <c r="U491" i="19"/>
  <c r="F491" i="19"/>
  <c r="J491" i="19"/>
  <c r="T494" i="19"/>
  <c r="T557" i="19"/>
  <c r="D557" i="19"/>
  <c r="E775" i="19"/>
  <c r="O775" i="19"/>
  <c r="O773" i="19"/>
  <c r="D608" i="19"/>
  <c r="B923" i="19"/>
  <c r="B939" i="19"/>
  <c r="B199" i="19"/>
  <c r="E780" i="19"/>
  <c r="O780" i="19"/>
  <c r="V780" i="19"/>
  <c r="Y780" i="19"/>
  <c r="O779" i="19"/>
  <c r="F392" i="19"/>
  <c r="AF394" i="19"/>
  <c r="F968" i="19"/>
  <c r="E708" i="19"/>
  <c r="O708" i="19"/>
  <c r="E729" i="19"/>
  <c r="O729" i="19"/>
  <c r="E831" i="19"/>
  <c r="O831" i="19"/>
  <c r="O830" i="19"/>
  <c r="J310" i="19"/>
  <c r="H311" i="19"/>
  <c r="H312" i="19"/>
  <c r="J312" i="19"/>
  <c r="H338" i="19"/>
  <c r="H339" i="19"/>
  <c r="H340" i="19"/>
  <c r="E608" i="19"/>
  <c r="E609" i="19"/>
  <c r="O604" i="19"/>
  <c r="O621" i="19"/>
  <c r="E622" i="19"/>
  <c r="O622" i="19"/>
  <c r="V622" i="19"/>
  <c r="AA622" i="19"/>
  <c r="E625" i="19"/>
  <c r="E679" i="19"/>
  <c r="O679" i="19"/>
  <c r="O678" i="19"/>
  <c r="O681" i="19"/>
  <c r="O682" i="19"/>
  <c r="U789" i="19"/>
  <c r="F789" i="19"/>
  <c r="J1205" i="19"/>
  <c r="U568" i="19"/>
  <c r="V568" i="19"/>
  <c r="AA568" i="19"/>
  <c r="U613" i="19"/>
  <c r="F613" i="19"/>
  <c r="J613" i="19"/>
  <c r="U614" i="19"/>
  <c r="F614" i="19"/>
  <c r="E822" i="19"/>
  <c r="O822" i="19"/>
  <c r="O821" i="19"/>
  <c r="V821" i="19"/>
  <c r="Y821" i="19"/>
  <c r="K1339" i="19"/>
  <c r="D765" i="32"/>
  <c r="E1278" i="19"/>
  <c r="K51" i="72"/>
  <c r="O51" i="72"/>
  <c r="T431" i="19"/>
  <c r="D431" i="19"/>
  <c r="U672" i="19"/>
  <c r="F672" i="19"/>
  <c r="J672" i="19"/>
  <c r="H301" i="19"/>
  <c r="U681" i="19"/>
  <c r="U876" i="19"/>
  <c r="V876" i="19"/>
  <c r="Y876" i="19"/>
  <c r="D572" i="19"/>
  <c r="E931" i="19"/>
  <c r="E947" i="19"/>
  <c r="C644" i="32"/>
  <c r="H204" i="19"/>
  <c r="J203" i="19"/>
  <c r="J350" i="19"/>
  <c r="K351" i="19"/>
  <c r="D258" i="32"/>
  <c r="D269" i="32"/>
  <c r="C269" i="32"/>
  <c r="F902" i="19"/>
  <c r="J902" i="19"/>
  <c r="K903" i="19"/>
  <c r="K904" i="19"/>
  <c r="D429" i="32"/>
  <c r="C429" i="32"/>
  <c r="C40" i="34"/>
  <c r="U540" i="19"/>
  <c r="F540" i="19"/>
  <c r="J540" i="19"/>
  <c r="U539" i="19"/>
  <c r="U541" i="19"/>
  <c r="T543" i="19"/>
  <c r="D543" i="19"/>
  <c r="F622" i="19"/>
  <c r="C777" i="32"/>
  <c r="C67" i="34"/>
  <c r="F548" i="19"/>
  <c r="O703" i="19"/>
  <c r="O704" i="19"/>
  <c r="F467" i="19"/>
  <c r="J467" i="19"/>
  <c r="O616" i="19"/>
  <c r="O617" i="19"/>
  <c r="D413" i="19"/>
  <c r="H50" i="19"/>
  <c r="H194" i="19"/>
  <c r="H193" i="19"/>
  <c r="I13" i="72"/>
  <c r="U694" i="19"/>
  <c r="G363" i="19"/>
  <c r="T495" i="19"/>
  <c r="D495" i="19"/>
  <c r="U434" i="19"/>
  <c r="F434" i="19"/>
  <c r="T437" i="19"/>
  <c r="D437" i="19"/>
  <c r="AH16" i="19"/>
  <c r="AH17" i="19"/>
  <c r="AF18" i="19"/>
  <c r="T689" i="19"/>
  <c r="T831" i="19"/>
  <c r="U830" i="19"/>
  <c r="V830" i="19"/>
  <c r="Y830" i="19"/>
  <c r="U469" i="19"/>
  <c r="U616" i="19"/>
  <c r="F616" i="19"/>
  <c r="U605" i="19"/>
  <c r="F605" i="19"/>
  <c r="J605" i="19"/>
  <c r="K1088" i="19"/>
  <c r="K1089" i="19"/>
  <c r="D114" i="66"/>
  <c r="F114" i="66"/>
  <c r="G24" i="49"/>
  <c r="F127" i="71"/>
  <c r="H127" i="71"/>
  <c r="F464" i="32"/>
  <c r="H464" i="32"/>
  <c r="I464" i="32"/>
  <c r="F452" i="32"/>
  <c r="F477" i="32"/>
  <c r="H477" i="32"/>
  <c r="I477" i="32"/>
  <c r="A1" i="67"/>
  <c r="F490" i="32"/>
  <c r="F704" i="32"/>
  <c r="H704" i="32"/>
  <c r="I704" i="32"/>
  <c r="F43" i="32"/>
  <c r="F90" i="32"/>
  <c r="F439" i="32"/>
  <c r="H439" i="32"/>
  <c r="I439" i="32"/>
  <c r="F78" i="32"/>
  <c r="H78" i="32"/>
  <c r="I78" i="32"/>
  <c r="F103" i="32"/>
  <c r="H103" i="32"/>
  <c r="I103" i="32"/>
  <c r="F67" i="32"/>
  <c r="F77" i="71"/>
  <c r="H77" i="71"/>
  <c r="J77" i="71"/>
  <c r="F173" i="32"/>
  <c r="F13" i="32"/>
  <c r="F127" i="32"/>
  <c r="H127" i="32"/>
  <c r="I127" i="32"/>
  <c r="F31" i="32"/>
  <c r="H31" i="32"/>
  <c r="I31" i="32"/>
  <c r="F139" i="32"/>
  <c r="H139" i="32"/>
  <c r="I139" i="32"/>
  <c r="F476" i="32"/>
  <c r="F48" i="71"/>
  <c r="H48" i="71"/>
  <c r="J48" i="71"/>
  <c r="F161" i="32"/>
  <c r="F13" i="71"/>
  <c r="H13" i="71"/>
  <c r="J13" i="71"/>
  <c r="F79" i="32"/>
  <c r="H79" i="32"/>
  <c r="I79" i="32"/>
  <c r="F276" i="32"/>
  <c r="F58" i="71"/>
  <c r="H58" i="71"/>
  <c r="J58" i="71"/>
  <c r="F37" i="71"/>
  <c r="H37" i="71"/>
  <c r="J37" i="71"/>
  <c r="F91" i="32"/>
  <c r="H91" i="32"/>
  <c r="I91" i="32"/>
  <c r="F246" i="32"/>
  <c r="F115" i="32"/>
  <c r="H115" i="32"/>
  <c r="I115" i="32"/>
  <c r="F290" i="32"/>
  <c r="F513" i="32"/>
  <c r="H513" i="32"/>
  <c r="I513" i="32"/>
  <c r="F150" i="32"/>
  <c r="H150" i="32"/>
  <c r="I150" i="32"/>
  <c r="F217" i="32"/>
  <c r="H217" i="32"/>
  <c r="D19" i="66"/>
  <c r="F19" i="66"/>
  <c r="F262" i="32"/>
  <c r="H262" i="32"/>
  <c r="I262" i="32"/>
  <c r="F438" i="32"/>
  <c r="F89" i="71"/>
  <c r="H89" i="71"/>
  <c r="J89" i="71"/>
  <c r="F463" i="32"/>
  <c r="H463" i="32"/>
  <c r="I463" i="32"/>
  <c r="F451" i="32"/>
  <c r="F69" i="71"/>
  <c r="H69" i="71"/>
  <c r="J69" i="71"/>
  <c r="F126" i="71"/>
  <c r="H126" i="71"/>
  <c r="J126" i="71"/>
  <c r="F138" i="71"/>
  <c r="H138" i="71"/>
  <c r="J138" i="71"/>
  <c r="F261" i="32"/>
  <c r="F189" i="32"/>
  <c r="T578" i="19"/>
  <c r="D578" i="19"/>
  <c r="E278" i="19"/>
  <c r="G276" i="19"/>
  <c r="C10" i="32"/>
  <c r="D17" i="32"/>
  <c r="C17" i="32"/>
  <c r="F8" i="70"/>
  <c r="V634" i="19"/>
  <c r="Y634" i="19"/>
  <c r="E516" i="19"/>
  <c r="O516" i="19"/>
  <c r="O523" i="19"/>
  <c r="E524" i="19"/>
  <c r="O524" i="19"/>
  <c r="G1117" i="19"/>
  <c r="J1117" i="19"/>
  <c r="D784" i="32"/>
  <c r="C784" i="32"/>
  <c r="D788" i="32"/>
  <c r="C788" i="32"/>
  <c r="D789" i="32"/>
  <c r="C789" i="32"/>
  <c r="D785" i="32"/>
  <c r="C785" i="32"/>
  <c r="C94" i="66"/>
  <c r="D782" i="32"/>
  <c r="C782" i="32"/>
  <c r="C91" i="66"/>
  <c r="D783" i="32"/>
  <c r="C783" i="32"/>
  <c r="D779" i="32"/>
  <c r="C779" i="32"/>
  <c r="D792" i="32"/>
  <c r="C792" i="32"/>
  <c r="C118" i="66"/>
  <c r="D781" i="32"/>
  <c r="C781" i="32"/>
  <c r="C90" i="66"/>
  <c r="D786" i="32"/>
  <c r="C786" i="32"/>
  <c r="C95" i="66"/>
  <c r="G946" i="19"/>
  <c r="G947" i="19"/>
  <c r="G948" i="19"/>
  <c r="G949" i="19"/>
  <c r="G950" i="19"/>
  <c r="G951" i="19"/>
  <c r="G952" i="19"/>
  <c r="H96" i="19"/>
  <c r="J95" i="19"/>
  <c r="D494" i="19"/>
  <c r="O625" i="19"/>
  <c r="O626" i="19"/>
  <c r="O608" i="19"/>
  <c r="M394" i="19"/>
  <c r="U394" i="19"/>
  <c r="F394" i="19"/>
  <c r="F830" i="19"/>
  <c r="J830" i="19"/>
  <c r="D831" i="19"/>
  <c r="D689" i="19"/>
  <c r="J689" i="19"/>
  <c r="F541" i="19"/>
  <c r="F539" i="19"/>
  <c r="J539" i="19"/>
  <c r="V539" i="19"/>
  <c r="AA539" i="19"/>
  <c r="F697" i="19"/>
  <c r="F876" i="19"/>
  <c r="J876" i="19"/>
  <c r="V694" i="19"/>
  <c r="AA694" i="19"/>
  <c r="F694" i="19"/>
  <c r="J694" i="19"/>
  <c r="F469" i="19"/>
  <c r="V469" i="19"/>
  <c r="Y469" i="19"/>
  <c r="K1090" i="19"/>
  <c r="K1091" i="19"/>
  <c r="D570" i="32"/>
  <c r="C570" i="32"/>
  <c r="C36" i="66"/>
  <c r="I36" i="66"/>
  <c r="F140" i="71"/>
  <c r="H140" i="71"/>
  <c r="J140" i="71"/>
  <c r="F478" i="32"/>
  <c r="H478" i="32"/>
  <c r="I478" i="32"/>
  <c r="F465" i="32"/>
  <c r="H465" i="32"/>
  <c r="I465" i="32"/>
  <c r="F277" i="19"/>
  <c r="O609" i="19"/>
  <c r="I126" i="74"/>
  <c r="G17" i="49"/>
  <c r="D558" i="32"/>
  <c r="C558" i="32"/>
  <c r="C34" i="66"/>
  <c r="G34" i="66"/>
  <c r="G22" i="49"/>
  <c r="C620" i="32"/>
  <c r="D630" i="32"/>
  <c r="D631" i="32"/>
  <c r="C631" i="32"/>
  <c r="B26" i="74"/>
  <c r="D21" i="66"/>
  <c r="F21" i="66"/>
  <c r="G63" i="49"/>
  <c r="G53" i="49"/>
  <c r="G25" i="49"/>
  <c r="G18" i="49"/>
  <c r="G21" i="49"/>
  <c r="G73" i="49"/>
  <c r="G13" i="49"/>
  <c r="C630" i="32"/>
  <c r="G35" i="49"/>
  <c r="F203" i="32"/>
  <c r="F232" i="32"/>
  <c r="F501" i="32"/>
  <c r="F160" i="32"/>
  <c r="F151" i="71"/>
  <c r="H151" i="71"/>
  <c r="J151" i="71"/>
  <c r="C98" i="66"/>
  <c r="C96" i="66"/>
  <c r="H786" i="32"/>
  <c r="I786" i="32"/>
  <c r="H785" i="32"/>
  <c r="I785" i="32"/>
  <c r="H789" i="32"/>
  <c r="I789" i="32"/>
  <c r="D68" i="34"/>
  <c r="F68" i="34"/>
  <c r="B25" i="74"/>
  <c r="E20" i="66"/>
  <c r="F417" i="32"/>
  <c r="H417" i="32"/>
  <c r="I417" i="32"/>
  <c r="D20" i="66"/>
  <c r="F20" i="66"/>
  <c r="D63" i="66"/>
  <c r="F63" i="66"/>
  <c r="L25" i="34"/>
  <c r="L26" i="34"/>
  <c r="L23" i="34"/>
  <c r="J71" i="34"/>
  <c r="J72" i="34"/>
  <c r="J73" i="34"/>
  <c r="L44" i="34"/>
  <c r="L28" i="34"/>
  <c r="J74" i="34"/>
  <c r="J75" i="34"/>
  <c r="F102" i="32"/>
  <c r="U678" i="19"/>
  <c r="F678" i="19"/>
  <c r="J678" i="19"/>
  <c r="U679" i="19"/>
  <c r="U395" i="19"/>
  <c r="F395" i="19"/>
  <c r="T394" i="19"/>
  <c r="D394" i="19"/>
  <c r="D127" i="32"/>
  <c r="C127" i="32"/>
  <c r="D126" i="32"/>
  <c r="C126" i="32"/>
  <c r="G587" i="19"/>
  <c r="G594" i="19"/>
  <c r="M596" i="19"/>
  <c r="M582" i="19"/>
  <c r="F604" i="19"/>
  <c r="J604" i="19"/>
  <c r="V604" i="19"/>
  <c r="AA604" i="19"/>
  <c r="J357" i="19"/>
  <c r="H358" i="19"/>
  <c r="J358" i="19"/>
  <c r="J943" i="19"/>
  <c r="H944" i="19"/>
  <c r="H945" i="19"/>
  <c r="H946" i="19"/>
  <c r="H947" i="19"/>
  <c r="H948" i="19"/>
  <c r="H949" i="19"/>
  <c r="H950" i="19"/>
  <c r="H951" i="19"/>
  <c r="E285" i="19"/>
  <c r="J285" i="19"/>
  <c r="E432" i="19"/>
  <c r="E434" i="19"/>
  <c r="J434" i="19"/>
  <c r="J82" i="19"/>
  <c r="G705" i="19"/>
  <c r="M700" i="19"/>
  <c r="K29" i="72"/>
  <c r="M29" i="72"/>
  <c r="U486" i="19"/>
  <c r="F486" i="19"/>
  <c r="J486" i="19"/>
  <c r="J941" i="19"/>
  <c r="J571" i="19"/>
  <c r="K52" i="72"/>
  <c r="M52" i="72"/>
  <c r="U790" i="19"/>
  <c r="F790" i="19"/>
  <c r="J331" i="19"/>
  <c r="K1348" i="19"/>
  <c r="K1349" i="19"/>
  <c r="D796" i="32"/>
  <c r="D801" i="32"/>
  <c r="C801" i="32"/>
  <c r="C119" i="66"/>
  <c r="V834" i="19"/>
  <c r="Y834" i="19"/>
  <c r="J616" i="19"/>
  <c r="J54" i="19"/>
  <c r="K41" i="72"/>
  <c r="M41" i="72"/>
  <c r="B400" i="19"/>
  <c r="V616" i="19"/>
  <c r="Y616" i="19"/>
  <c r="V605" i="19"/>
  <c r="AA605" i="19"/>
  <c r="F29" i="70"/>
  <c r="F30" i="70"/>
  <c r="J861" i="19"/>
  <c r="V413" i="19"/>
  <c r="X413" i="19"/>
  <c r="O483" i="19"/>
  <c r="H558" i="19"/>
  <c r="M561" i="19"/>
  <c r="K28" i="72"/>
  <c r="M28" i="72"/>
  <c r="J41" i="72"/>
  <c r="T470" i="19"/>
  <c r="J1074" i="19"/>
  <c r="J1200" i="19"/>
  <c r="AB888" i="19"/>
  <c r="AB890" i="19"/>
  <c r="AB891" i="19"/>
  <c r="K176" i="19"/>
  <c r="V456" i="19"/>
  <c r="Y456" i="19"/>
  <c r="J62" i="72"/>
  <c r="J1073" i="19"/>
  <c r="K382" i="19"/>
  <c r="D287" i="32"/>
  <c r="T424" i="19"/>
  <c r="D424" i="19"/>
  <c r="U617" i="19"/>
  <c r="F617" i="19"/>
  <c r="U666" i="19"/>
  <c r="F666" i="19"/>
  <c r="K1133" i="19"/>
  <c r="K12" i="72"/>
  <c r="O12" i="72"/>
  <c r="F388" i="19"/>
  <c r="F254" i="19"/>
  <c r="I254" i="19"/>
  <c r="J356" i="19"/>
  <c r="F797" i="19"/>
  <c r="J797" i="19"/>
  <c r="O491" i="19"/>
  <c r="V491" i="19"/>
  <c r="AA491" i="19"/>
  <c r="A1" i="82"/>
  <c r="U569" i="19"/>
  <c r="F569" i="19"/>
  <c r="J569" i="19"/>
  <c r="AG189" i="19"/>
  <c r="T486" i="19"/>
  <c r="D486" i="19"/>
  <c r="T869" i="19"/>
  <c r="D869" i="19"/>
  <c r="J869" i="19"/>
  <c r="I67" i="72"/>
  <c r="B207" i="19"/>
  <c r="V461" i="19"/>
  <c r="AA461" i="19"/>
  <c r="B202" i="19"/>
  <c r="V625" i="19"/>
  <c r="Y625" i="19"/>
  <c r="V805" i="19"/>
  <c r="Y805" i="19"/>
  <c r="K1230" i="19"/>
  <c r="K1231" i="19"/>
  <c r="K1232" i="19"/>
  <c r="O693" i="19"/>
  <c r="O696" i="19"/>
  <c r="O697" i="19"/>
  <c r="M575" i="19"/>
  <c r="U579" i="19"/>
  <c r="F579" i="19"/>
  <c r="H504" i="19"/>
  <c r="H512" i="19"/>
  <c r="K150" i="19"/>
  <c r="D111" i="32"/>
  <c r="K221" i="19"/>
  <c r="J48" i="72"/>
  <c r="K48" i="72"/>
  <c r="M48" i="72"/>
  <c r="J227" i="19"/>
  <c r="U773" i="19"/>
  <c r="F773" i="19"/>
  <c r="J773" i="19"/>
  <c r="T442" i="19"/>
  <c r="D442" i="19"/>
  <c r="U430" i="19"/>
  <c r="F430" i="19"/>
  <c r="F1358" i="19"/>
  <c r="J1175" i="19"/>
  <c r="V609" i="19"/>
  <c r="Y609" i="19"/>
  <c r="G396" i="19"/>
  <c r="M399" i="19"/>
  <c r="T398" i="19"/>
  <c r="D398" i="19"/>
  <c r="U484" i="19"/>
  <c r="F484" i="19"/>
  <c r="J484" i="19"/>
  <c r="J492" i="19"/>
  <c r="C258" i="32"/>
  <c r="C28" i="34"/>
  <c r="E776" i="19"/>
  <c r="O776" i="19"/>
  <c r="V569" i="19"/>
  <c r="AA569" i="19"/>
  <c r="F50" i="19"/>
  <c r="J780" i="19"/>
  <c r="B927" i="19"/>
  <c r="B943" i="19"/>
  <c r="J93" i="19"/>
  <c r="O531" i="19"/>
  <c r="J576" i="19"/>
  <c r="E486" i="19"/>
  <c r="E487" i="19"/>
  <c r="J13" i="72"/>
  <c r="K13" i="72"/>
  <c r="O13" i="72"/>
  <c r="T436" i="19"/>
  <c r="D436" i="19"/>
  <c r="J877" i="19"/>
  <c r="F1276" i="19"/>
  <c r="J1276" i="19"/>
  <c r="H51" i="19"/>
  <c r="H195" i="19"/>
  <c r="J195" i="19"/>
  <c r="F568" i="19"/>
  <c r="J568" i="19"/>
  <c r="J1077" i="19"/>
  <c r="U860" i="19"/>
  <c r="F860" i="19"/>
  <c r="J860" i="19"/>
  <c r="I256" i="19"/>
  <c r="G803" i="19"/>
  <c r="V817" i="19"/>
  <c r="Y817" i="19"/>
  <c r="V608" i="19"/>
  <c r="Y608" i="19"/>
  <c r="J938" i="19"/>
  <c r="V614" i="19"/>
  <c r="AA614" i="19"/>
  <c r="E204" i="19"/>
  <c r="P71" i="72"/>
  <c r="P73" i="72"/>
  <c r="P74" i="72"/>
  <c r="U456" i="19"/>
  <c r="F456" i="19"/>
  <c r="T767" i="19"/>
  <c r="T779" i="19"/>
  <c r="D779" i="19"/>
  <c r="U571" i="19"/>
  <c r="F571" i="19"/>
  <c r="F231" i="32"/>
  <c r="F216" i="32"/>
  <c r="F88" i="71"/>
  <c r="H88" i="71"/>
  <c r="J88" i="71"/>
  <c r="F489" i="32"/>
  <c r="H489" i="32"/>
  <c r="I489" i="32"/>
  <c r="F159" i="32"/>
  <c r="H159" i="32"/>
  <c r="F162" i="32"/>
  <c r="H162" i="32"/>
  <c r="I162" i="32"/>
  <c r="F188" i="32"/>
  <c r="F125" i="71"/>
  <c r="H125" i="71"/>
  <c r="J125" i="71"/>
  <c r="F245" i="32"/>
  <c r="H245" i="32"/>
  <c r="I245" i="32"/>
  <c r="F57" i="71"/>
  <c r="H57" i="71"/>
  <c r="F450" i="32"/>
  <c r="F275" i="32"/>
  <c r="H275" i="32"/>
  <c r="I275" i="32"/>
  <c r="F512" i="32"/>
  <c r="H512" i="32"/>
  <c r="I512" i="32"/>
  <c r="F289" i="32"/>
  <c r="F500" i="32"/>
  <c r="F202" i="32"/>
  <c r="F462" i="32"/>
  <c r="H462" i="32"/>
  <c r="I462" i="32"/>
  <c r="F475" i="32"/>
  <c r="F150" i="71"/>
  <c r="H150" i="71"/>
  <c r="F437" i="32"/>
  <c r="F220" i="32"/>
  <c r="H220" i="32"/>
  <c r="I220" i="32"/>
  <c r="F137" i="71"/>
  <c r="H137" i="71"/>
  <c r="F260" i="32"/>
  <c r="F76" i="71"/>
  <c r="H76" i="71"/>
  <c r="F191" i="32"/>
  <c r="F249" i="32"/>
  <c r="F292" i="32"/>
  <c r="H292" i="32"/>
  <c r="I292" i="32"/>
  <c r="F264" i="32"/>
  <c r="H264" i="32"/>
  <c r="I264" i="32"/>
  <c r="F205" i="32"/>
  <c r="F234" i="32"/>
  <c r="J127" i="74"/>
  <c r="J128" i="74"/>
  <c r="E111" i="66"/>
  <c r="E18" i="66"/>
  <c r="F440" i="32"/>
  <c r="K1304" i="19"/>
  <c r="D750" i="32"/>
  <c r="C750" i="32"/>
  <c r="C79" i="66"/>
  <c r="G925" i="19"/>
  <c r="G926" i="19"/>
  <c r="J924" i="19"/>
  <c r="O434" i="19"/>
  <c r="V434" i="19"/>
  <c r="AA434" i="19"/>
  <c r="V458" i="19"/>
  <c r="X458" i="19"/>
  <c r="F939" i="19"/>
  <c r="D118" i="32"/>
  <c r="C118" i="32"/>
  <c r="D113" i="32"/>
  <c r="C113" i="32"/>
  <c r="D115" i="32"/>
  <c r="C115" i="32"/>
  <c r="H342" i="19"/>
  <c r="H341" i="19"/>
  <c r="E249" i="19"/>
  <c r="E420" i="19"/>
  <c r="E422" i="19"/>
  <c r="J80" i="19"/>
  <c r="E283" i="19"/>
  <c r="J283" i="19"/>
  <c r="G260" i="19"/>
  <c r="G261" i="19"/>
  <c r="I259" i="19"/>
  <c r="V678" i="19"/>
  <c r="AA678" i="19"/>
  <c r="V621" i="19"/>
  <c r="AA621" i="19"/>
  <c r="F817" i="19"/>
  <c r="J817" i="19"/>
  <c r="E1104" i="19"/>
  <c r="J1104" i="19"/>
  <c r="K1105" i="19"/>
  <c r="D572" i="32"/>
  <c r="C572" i="32"/>
  <c r="C38" i="66"/>
  <c r="M1065" i="19"/>
  <c r="N1065" i="19"/>
  <c r="H21" i="19"/>
  <c r="J20" i="19"/>
  <c r="I249" i="19"/>
  <c r="V869" i="19"/>
  <c r="X869" i="19"/>
  <c r="E1173" i="19"/>
  <c r="J1173" i="19"/>
  <c r="F51" i="19"/>
  <c r="F75" i="19"/>
  <c r="J75" i="19"/>
  <c r="J28" i="19"/>
  <c r="E769" i="19"/>
  <c r="H108" i="19"/>
  <c r="V838" i="19"/>
  <c r="Y838" i="19"/>
  <c r="J311" i="19"/>
  <c r="J614" i="19"/>
  <c r="F30" i="19"/>
  <c r="U575" i="19"/>
  <c r="I23" i="72"/>
  <c r="K23" i="72"/>
  <c r="M23" i="72"/>
  <c r="M71" i="72"/>
  <c r="M73" i="72"/>
  <c r="F1243" i="19"/>
  <c r="J1243" i="19"/>
  <c r="K1244" i="19"/>
  <c r="D648" i="32"/>
  <c r="D651" i="32"/>
  <c r="C651" i="32"/>
  <c r="K623" i="32"/>
  <c r="M507" i="19"/>
  <c r="U506" i="19"/>
  <c r="V864" i="19"/>
  <c r="Y864" i="19"/>
  <c r="F864" i="19"/>
  <c r="J864" i="19"/>
  <c r="V768" i="19"/>
  <c r="Z768" i="19"/>
  <c r="I24" i="72"/>
  <c r="K24" i="72"/>
  <c r="M24" i="72"/>
  <c r="V576" i="19"/>
  <c r="AA576" i="19"/>
  <c r="D559" i="32"/>
  <c r="C559" i="32"/>
  <c r="V674" i="19"/>
  <c r="Y674" i="19"/>
  <c r="J541" i="19"/>
  <c r="V626" i="19"/>
  <c r="Y626" i="19"/>
  <c r="D562" i="32"/>
  <c r="C562" i="32"/>
  <c r="D13" i="32"/>
  <c r="C13" i="32"/>
  <c r="Q8" i="70"/>
  <c r="Q29" i="70"/>
  <c r="Q30" i="70"/>
  <c r="D431" i="32"/>
  <c r="C431" i="32"/>
  <c r="J335" i="19"/>
  <c r="J922" i="19"/>
  <c r="A2" i="67"/>
  <c r="D456" i="19"/>
  <c r="J456" i="19"/>
  <c r="V831" i="19"/>
  <c r="X831" i="19"/>
  <c r="J185" i="19"/>
  <c r="J658" i="19"/>
  <c r="V697" i="19"/>
  <c r="Y697" i="19"/>
  <c r="D697" i="19"/>
  <c r="J697" i="19"/>
  <c r="G400" i="19"/>
  <c r="M403" i="19"/>
  <c r="T402" i="19"/>
  <c r="D402" i="19"/>
  <c r="K915" i="19"/>
  <c r="E183" i="19"/>
  <c r="J183" i="19"/>
  <c r="E81" i="19"/>
  <c r="E193" i="19"/>
  <c r="E194" i="19"/>
  <c r="E184" i="19"/>
  <c r="J184" i="19"/>
  <c r="J1002" i="19"/>
  <c r="D607" i="32"/>
  <c r="C607" i="32"/>
  <c r="C46" i="66"/>
  <c r="C605" i="32"/>
  <c r="C55" i="34"/>
  <c r="A2" i="82"/>
  <c r="J413" i="19"/>
  <c r="J27" i="72"/>
  <c r="K27" i="72"/>
  <c r="O27" i="72"/>
  <c r="C28" i="72"/>
  <c r="D767" i="19"/>
  <c r="V767" i="19"/>
  <c r="Z767" i="19"/>
  <c r="U766" i="19"/>
  <c r="F766" i="19"/>
  <c r="T769" i="19"/>
  <c r="D769" i="19"/>
  <c r="C555" i="32"/>
  <c r="C51" i="34"/>
  <c r="J55" i="19"/>
  <c r="F48" i="19"/>
  <c r="F72" i="19"/>
  <c r="J72" i="19"/>
  <c r="T579" i="19"/>
  <c r="V579" i="19"/>
  <c r="Y579" i="19"/>
  <c r="K1098" i="19"/>
  <c r="K1099" i="19"/>
  <c r="K1100" i="19"/>
  <c r="K1101" i="19"/>
  <c r="K1102" i="19"/>
  <c r="D571" i="32"/>
  <c r="C571" i="32"/>
  <c r="C37" i="66"/>
  <c r="M498" i="19"/>
  <c r="U503" i="19"/>
  <c r="F503" i="19"/>
  <c r="G504" i="19"/>
  <c r="V492" i="19"/>
  <c r="AA492" i="19"/>
  <c r="O613" i="19"/>
  <c r="V613" i="19"/>
  <c r="AA613" i="19"/>
  <c r="AF10" i="19"/>
  <c r="AG180" i="19"/>
  <c r="D563" i="32"/>
  <c r="C563" i="32"/>
  <c r="E201" i="19"/>
  <c r="J201" i="19"/>
  <c r="J8" i="72"/>
  <c r="K8" i="72"/>
  <c r="O8" i="72"/>
  <c r="O71" i="72"/>
  <c r="O73" i="72"/>
  <c r="O74" i="72"/>
  <c r="J944" i="19"/>
  <c r="E623" i="19"/>
  <c r="E251" i="19"/>
  <c r="I251" i="19"/>
  <c r="K1293" i="19"/>
  <c r="D746" i="32"/>
  <c r="D671" i="32"/>
  <c r="D672" i="32"/>
  <c r="C672" i="32"/>
  <c r="C114" i="66"/>
  <c r="V802" i="19"/>
  <c r="X802" i="19"/>
  <c r="V482" i="19"/>
  <c r="AA482" i="19"/>
  <c r="U880" i="19"/>
  <c r="F880" i="19"/>
  <c r="J880" i="19"/>
  <c r="B276" i="19"/>
  <c r="D845" i="19"/>
  <c r="J845" i="19"/>
  <c r="V845" i="19"/>
  <c r="X845" i="19"/>
  <c r="J767" i="19"/>
  <c r="D839" i="19"/>
  <c r="J839" i="19"/>
  <c r="V839" i="19"/>
  <c r="X839" i="19"/>
  <c r="J9" i="72"/>
  <c r="K9" i="72"/>
  <c r="O9" i="72"/>
  <c r="H963" i="19"/>
  <c r="H964" i="19"/>
  <c r="J962" i="19"/>
  <c r="E206" i="19"/>
  <c r="E930" i="19"/>
  <c r="E946" i="19"/>
  <c r="G558" i="19"/>
  <c r="M560" i="19"/>
  <c r="M553" i="19"/>
  <c r="U557" i="19"/>
  <c r="U671" i="19"/>
  <c r="T675" i="19"/>
  <c r="J606" i="19"/>
  <c r="J622" i="19"/>
  <c r="J32" i="19"/>
  <c r="V662" i="19"/>
  <c r="AA662" i="19"/>
  <c r="E252" i="19"/>
  <c r="I252" i="19"/>
  <c r="E438" i="19"/>
  <c r="E440" i="19"/>
  <c r="J463" i="19"/>
  <c r="I68" i="72"/>
  <c r="K68" i="72"/>
  <c r="M68" i="72"/>
  <c r="J67" i="72"/>
  <c r="N71" i="72"/>
  <c r="N73" i="72"/>
  <c r="N74" i="72"/>
  <c r="K62" i="72"/>
  <c r="M62" i="72"/>
  <c r="E926" i="19"/>
  <c r="E942" i="19"/>
  <c r="J942" i="19"/>
  <c r="E202" i="19"/>
  <c r="J202" i="19"/>
  <c r="E205" i="19"/>
  <c r="E929" i="19"/>
  <c r="E945" i="19"/>
  <c r="J945" i="19"/>
  <c r="AE888" i="19"/>
  <c r="AE890" i="19"/>
  <c r="AE891" i="19"/>
  <c r="U442" i="19"/>
  <c r="E469" i="19"/>
  <c r="E470" i="19"/>
  <c r="J1181" i="19"/>
  <c r="J1177" i="19"/>
  <c r="U483" i="19"/>
  <c r="F483" i="19"/>
  <c r="J483" i="19"/>
  <c r="T659" i="19"/>
  <c r="D659" i="19"/>
  <c r="J659" i="19"/>
  <c r="U663" i="19"/>
  <c r="F663" i="19"/>
  <c r="J663" i="19"/>
  <c r="J1358" i="19"/>
  <c r="K1359" i="19"/>
  <c r="D805" i="32"/>
  <c r="T457" i="19"/>
  <c r="E923" i="19"/>
  <c r="E939" i="19"/>
  <c r="F33" i="19"/>
  <c r="F261" i="19"/>
  <c r="J461" i="19"/>
  <c r="U638" i="19"/>
  <c r="J608" i="19"/>
  <c r="J774" i="19"/>
  <c r="J609" i="19"/>
  <c r="F49" i="19"/>
  <c r="F73" i="19"/>
  <c r="J73" i="19"/>
  <c r="V631" i="19"/>
  <c r="AA631" i="19"/>
  <c r="J674" i="19"/>
  <c r="J228" i="19"/>
  <c r="U498" i="19"/>
  <c r="U490" i="19"/>
  <c r="U543" i="19"/>
  <c r="F543" i="19"/>
  <c r="J543" i="19"/>
  <c r="U555" i="19"/>
  <c r="F555" i="19"/>
  <c r="T617" i="19"/>
  <c r="D617" i="19"/>
  <c r="U633" i="19"/>
  <c r="F633" i="19"/>
  <c r="J633" i="19"/>
  <c r="E743" i="19"/>
  <c r="O743" i="19"/>
  <c r="M917" i="19"/>
  <c r="J198" i="19"/>
  <c r="V656" i="19"/>
  <c r="AA656" i="19"/>
  <c r="J881" i="19"/>
  <c r="J1326" i="19"/>
  <c r="T814" i="19"/>
  <c r="D814" i="19"/>
  <c r="J336" i="19"/>
  <c r="G337" i="19"/>
  <c r="K1340" i="19"/>
  <c r="H930" i="19"/>
  <c r="H931" i="19"/>
  <c r="H932" i="19"/>
  <c r="D218" i="32"/>
  <c r="C218" i="32"/>
  <c r="O218" i="32"/>
  <c r="D220" i="32"/>
  <c r="C220" i="32"/>
  <c r="D225" i="32"/>
  <c r="C225" i="32"/>
  <c r="D223" i="32"/>
  <c r="C223" i="32"/>
  <c r="U223" i="32"/>
  <c r="J948" i="19"/>
  <c r="U399" i="19"/>
  <c r="F399" i="19"/>
  <c r="D131" i="32"/>
  <c r="C131" i="32"/>
  <c r="C123" i="32"/>
  <c r="C16" i="34"/>
  <c r="D130" i="32"/>
  <c r="C130" i="32"/>
  <c r="D125" i="32"/>
  <c r="C125" i="32"/>
  <c r="AC888" i="19"/>
  <c r="AC890" i="19"/>
  <c r="AC891" i="19"/>
  <c r="J96" i="19"/>
  <c r="H97" i="19"/>
  <c r="H98" i="19"/>
  <c r="J98" i="19"/>
  <c r="D772" i="32"/>
  <c r="C772" i="32"/>
  <c r="C765" i="32"/>
  <c r="D771" i="32"/>
  <c r="C771" i="32"/>
  <c r="U391" i="19"/>
  <c r="F391" i="19"/>
  <c r="T390" i="19"/>
  <c r="D390" i="19"/>
  <c r="C287" i="32"/>
  <c r="C30" i="34"/>
  <c r="D290" i="32"/>
  <c r="C290" i="32"/>
  <c r="N290" i="32"/>
  <c r="T690" i="19"/>
  <c r="D690" i="19"/>
  <c r="J690" i="19"/>
  <c r="U687" i="19"/>
  <c r="F687" i="19"/>
  <c r="J687" i="19"/>
  <c r="U686" i="19"/>
  <c r="J831" i="19"/>
  <c r="V658" i="19"/>
  <c r="Y658" i="19"/>
  <c r="J642" i="19"/>
  <c r="O583" i="19"/>
  <c r="G298" i="19"/>
  <c r="J297" i="19"/>
  <c r="J487" i="19"/>
  <c r="V860" i="19"/>
  <c r="Y860" i="19"/>
  <c r="E666" i="19"/>
  <c r="J665" i="19"/>
  <c r="D297" i="32"/>
  <c r="C297" i="32"/>
  <c r="M398" i="19"/>
  <c r="AF398" i="19"/>
  <c r="G275" i="19"/>
  <c r="K10" i="19"/>
  <c r="K11" i="19"/>
  <c r="D5" i="32"/>
  <c r="F572" i="19"/>
  <c r="J572" i="19"/>
  <c r="V572" i="19"/>
  <c r="Y572" i="19"/>
  <c r="H587" i="19"/>
  <c r="M583" i="19"/>
  <c r="U693" i="19"/>
  <c r="U696" i="19"/>
  <c r="V418" i="19"/>
  <c r="Y418" i="19"/>
  <c r="E1118" i="19"/>
  <c r="J1118" i="19"/>
  <c r="V689" i="19"/>
  <c r="Y689" i="19"/>
  <c r="V655" i="19"/>
  <c r="AA655" i="19"/>
  <c r="V794" i="19"/>
  <c r="X794" i="19"/>
  <c r="D794" i="19"/>
  <c r="J794" i="19"/>
  <c r="K67" i="72"/>
  <c r="M67" i="72"/>
  <c r="J31" i="19"/>
  <c r="U494" i="19"/>
  <c r="U495" i="19"/>
  <c r="F416" i="19"/>
  <c r="J416" i="19"/>
  <c r="V416" i="19"/>
  <c r="AA416" i="19"/>
  <c r="U776" i="19"/>
  <c r="F776" i="19"/>
  <c r="D650" i="32"/>
  <c r="C650" i="32"/>
  <c r="C49" i="66"/>
  <c r="E1164" i="19"/>
  <c r="J1163" i="19"/>
  <c r="E1169" i="19"/>
  <c r="J1169" i="19"/>
  <c r="J1168" i="19"/>
  <c r="F856" i="19"/>
  <c r="J856" i="19"/>
  <c r="V856" i="19"/>
  <c r="Y856" i="19"/>
  <c r="E790" i="19"/>
  <c r="O790" i="19"/>
  <c r="V790" i="19"/>
  <c r="X790" i="19"/>
  <c r="O789" i="19"/>
  <c r="V789" i="19"/>
  <c r="Y789" i="19"/>
  <c r="W888" i="19"/>
  <c r="W890" i="19"/>
  <c r="W891" i="19"/>
  <c r="T776" i="19"/>
  <c r="D776" i="19"/>
  <c r="U775" i="19"/>
  <c r="U779" i="19"/>
  <c r="F779" i="19"/>
  <c r="E562" i="19"/>
  <c r="O562" i="19"/>
  <c r="O561" i="19"/>
  <c r="D262" i="32"/>
  <c r="C262" i="32"/>
  <c r="O262" i="32"/>
  <c r="V571" i="19"/>
  <c r="Y571" i="19"/>
  <c r="K911" i="19"/>
  <c r="V463" i="19"/>
  <c r="Y463" i="19"/>
  <c r="J634" i="19"/>
  <c r="F257" i="19"/>
  <c r="I257" i="19"/>
  <c r="J29" i="19"/>
  <c r="I1270" i="19"/>
  <c r="B275" i="19"/>
  <c r="B388" i="19"/>
  <c r="AD888" i="19"/>
  <c r="AD890" i="19"/>
  <c r="AD891" i="19"/>
  <c r="H57" i="19"/>
  <c r="J56" i="19"/>
  <c r="K1218" i="19"/>
  <c r="K1219" i="19"/>
  <c r="K1220" i="19"/>
  <c r="F550" i="19"/>
  <c r="I36" i="72"/>
  <c r="K36" i="72"/>
  <c r="M36" i="72"/>
  <c r="J35" i="72"/>
  <c r="K35" i="72"/>
  <c r="O35" i="72"/>
  <c r="L71" i="72"/>
  <c r="L73" i="72"/>
  <c r="L74" i="72"/>
  <c r="T681" i="19"/>
  <c r="D681" i="19"/>
  <c r="T682" i="19"/>
  <c r="U682" i="19"/>
  <c r="F682" i="19"/>
  <c r="D261" i="32"/>
  <c r="C261" i="32"/>
  <c r="N261" i="32"/>
  <c r="V877" i="19"/>
  <c r="X877" i="19"/>
  <c r="V881" i="19"/>
  <c r="X881" i="19"/>
  <c r="T666" i="19"/>
  <c r="D666" i="19"/>
  <c r="F865" i="19"/>
  <c r="J865" i="19"/>
  <c r="V865" i="19"/>
  <c r="X865" i="19"/>
  <c r="U403" i="19"/>
  <c r="F403" i="19"/>
  <c r="F500" i="19"/>
  <c r="J500" i="19"/>
  <c r="V500" i="19"/>
  <c r="AA500" i="19"/>
  <c r="T395" i="19"/>
  <c r="D395" i="19"/>
  <c r="V774" i="19"/>
  <c r="Y774" i="19"/>
  <c r="J789" i="19"/>
  <c r="K847" i="19"/>
  <c r="K848" i="19"/>
  <c r="V487" i="19"/>
  <c r="Y487" i="19"/>
  <c r="M589" i="19"/>
  <c r="H131" i="19"/>
  <c r="J130" i="19"/>
  <c r="C28" i="71"/>
  <c r="D30" i="71"/>
  <c r="C30" i="71"/>
  <c r="H30" i="71"/>
  <c r="J123" i="19"/>
  <c r="H124" i="19"/>
  <c r="J124" i="19"/>
  <c r="V606" i="19"/>
  <c r="AA606" i="19"/>
  <c r="J617" i="19"/>
  <c r="U578" i="19"/>
  <c r="E936" i="19"/>
  <c r="E952" i="19"/>
  <c r="E212" i="19"/>
  <c r="J83" i="19"/>
  <c r="U630" i="19"/>
  <c r="V639" i="19"/>
  <c r="AA639" i="19"/>
  <c r="F639" i="19"/>
  <c r="J639" i="19"/>
  <c r="K1259" i="19"/>
  <c r="E1265" i="19"/>
  <c r="J1265" i="19"/>
  <c r="K1266" i="19"/>
  <c r="D705" i="32"/>
  <c r="C705" i="32"/>
  <c r="C65" i="66"/>
  <c r="I1259" i="19"/>
  <c r="K1261" i="19"/>
  <c r="E703" i="19"/>
  <c r="E704" i="19"/>
  <c r="M794" i="19"/>
  <c r="H795" i="19"/>
  <c r="H799" i="19"/>
  <c r="J870" i="19"/>
  <c r="N872" i="19"/>
  <c r="K1048" i="19"/>
  <c r="K1057" i="19"/>
  <c r="D638" i="32"/>
  <c r="C638" i="32"/>
  <c r="D641" i="32"/>
  <c r="C641" i="32"/>
  <c r="D639" i="32"/>
  <c r="C639" i="32"/>
  <c r="D640" i="32"/>
  <c r="C640" i="32"/>
  <c r="U554" i="19"/>
  <c r="J1324" i="19"/>
  <c r="K1331" i="19"/>
  <c r="D757" i="32"/>
  <c r="C757" i="32"/>
  <c r="C85" i="66"/>
  <c r="AF16" i="19"/>
  <c r="AG16" i="19"/>
  <c r="AG13" i="19"/>
  <c r="E557" i="19"/>
  <c r="E554" i="19"/>
  <c r="H698" i="19"/>
  <c r="K1148" i="19"/>
  <c r="U547" i="19"/>
  <c r="F547" i="19"/>
  <c r="O546" i="19"/>
  <c r="E550" i="19"/>
  <c r="E547" i="19"/>
  <c r="E548" i="19"/>
  <c r="I1271" i="19"/>
  <c r="K1271" i="19"/>
  <c r="D716" i="32"/>
  <c r="C716" i="32"/>
  <c r="C68" i="66"/>
  <c r="J58" i="72"/>
  <c r="J1203" i="19"/>
  <c r="K1207" i="19"/>
  <c r="K1208" i="19"/>
  <c r="K1209" i="19"/>
  <c r="T857" i="19"/>
  <c r="I1284" i="19"/>
  <c r="K1286" i="19"/>
  <c r="D741" i="32"/>
  <c r="V861" i="19"/>
  <c r="X861" i="19"/>
  <c r="U857" i="19"/>
  <c r="F857" i="19"/>
  <c r="T419" i="19"/>
  <c r="D419" i="19"/>
  <c r="J419" i="19"/>
  <c r="J1183" i="19"/>
  <c r="H952" i="19"/>
  <c r="O666" i="19"/>
  <c r="V665" i="19"/>
  <c r="Y665" i="19"/>
  <c r="L75" i="72"/>
  <c r="L76" i="72"/>
  <c r="L77" i="72"/>
  <c r="M74" i="72"/>
  <c r="H359" i="19"/>
  <c r="J204" i="19"/>
  <c r="H205" i="19"/>
  <c r="J422" i="19"/>
  <c r="E424" i="19"/>
  <c r="G263" i="19"/>
  <c r="G264" i="19"/>
  <c r="G265" i="19"/>
  <c r="G266" i="19"/>
  <c r="G267" i="19"/>
  <c r="G268" i="19"/>
  <c r="J97" i="19"/>
  <c r="J950" i="19"/>
  <c r="O422" i="19"/>
  <c r="F553" i="19"/>
  <c r="J553" i="19"/>
  <c r="V641" i="19"/>
  <c r="Y641" i="19"/>
  <c r="D641" i="19"/>
  <c r="J641" i="19"/>
  <c r="G807" i="19"/>
  <c r="M805" i="19"/>
  <c r="U806" i="19"/>
  <c r="J33" i="19"/>
  <c r="G34" i="19"/>
  <c r="E626" i="19"/>
  <c r="J626" i="19"/>
  <c r="J625" i="19"/>
  <c r="D135" i="32"/>
  <c r="D138" i="32"/>
  <c r="C138" i="32"/>
  <c r="F1004" i="19"/>
  <c r="J1004" i="19"/>
  <c r="K1004" i="19"/>
  <c r="D510" i="32"/>
  <c r="D517" i="32"/>
  <c r="C517" i="32"/>
  <c r="O402" i="19"/>
  <c r="O403" i="19"/>
  <c r="E403" i="19"/>
  <c r="J464" i="19"/>
  <c r="F258" i="19"/>
  <c r="I258" i="19"/>
  <c r="J30" i="19"/>
  <c r="D798" i="19"/>
  <c r="J798" i="19"/>
  <c r="V798" i="19"/>
  <c r="X798" i="19"/>
  <c r="F681" i="19"/>
  <c r="J681" i="19"/>
  <c r="D579" i="19"/>
  <c r="J579" i="19"/>
  <c r="E192" i="19"/>
  <c r="E182" i="19"/>
  <c r="J182" i="19"/>
  <c r="J963" i="19"/>
  <c r="V835" i="19"/>
  <c r="X835" i="19"/>
  <c r="D119" i="32"/>
  <c r="C119" i="32"/>
  <c r="C111" i="32"/>
  <c r="C15" i="34"/>
  <c r="O540" i="19"/>
  <c r="V540" i="19"/>
  <c r="AA540" i="19"/>
  <c r="F278" i="19"/>
  <c r="J278" i="19"/>
  <c r="F400" i="19"/>
  <c r="V844" i="19"/>
  <c r="Y844" i="19"/>
  <c r="V464" i="19"/>
  <c r="Y464" i="19"/>
  <c r="V612" i="19"/>
  <c r="AA612" i="19"/>
  <c r="D114" i="32"/>
  <c r="C114" i="32"/>
  <c r="J102" i="19"/>
  <c r="H262" i="19"/>
  <c r="H263" i="19"/>
  <c r="F868" i="19"/>
  <c r="J868" i="19"/>
  <c r="V868" i="19"/>
  <c r="Y868" i="19"/>
  <c r="T503" i="19"/>
  <c r="U499" i="19"/>
  <c r="T502" i="19"/>
  <c r="M798" i="19"/>
  <c r="U410" i="19"/>
  <c r="T412" i="19"/>
  <c r="U454" i="19"/>
  <c r="T766" i="19"/>
  <c r="O638" i="32"/>
  <c r="P638" i="32"/>
  <c r="I58" i="72"/>
  <c r="E1189" i="19"/>
  <c r="J1189" i="19"/>
  <c r="C66" i="34"/>
  <c r="C93" i="66"/>
  <c r="H784" i="32"/>
  <c r="I784" i="32"/>
  <c r="C92" i="66"/>
  <c r="H783" i="32"/>
  <c r="I783" i="32"/>
  <c r="C48" i="66"/>
  <c r="H779" i="32"/>
  <c r="I779" i="32"/>
  <c r="C88" i="66"/>
  <c r="D666" i="32"/>
  <c r="C666" i="32"/>
  <c r="C75" i="32"/>
  <c r="C12" i="34"/>
  <c r="H13" i="32"/>
  <c r="I13" i="32"/>
  <c r="F113" i="71"/>
  <c r="H782" i="32"/>
  <c r="I782" i="32"/>
  <c r="D767" i="32"/>
  <c r="F183" i="71"/>
  <c r="H183" i="71"/>
  <c r="D12" i="32"/>
  <c r="C12" i="32"/>
  <c r="D16" i="32"/>
  <c r="C16" i="32"/>
  <c r="E8" i="70"/>
  <c r="E29" i="70"/>
  <c r="E30" i="70"/>
  <c r="D665" i="32"/>
  <c r="F114" i="32"/>
  <c r="H114" i="32"/>
  <c r="F126" i="32"/>
  <c r="H126" i="32"/>
  <c r="I126" i="32"/>
  <c r="F36" i="71"/>
  <c r="H36" i="71"/>
  <c r="J36" i="71"/>
  <c r="D82" i="32"/>
  <c r="C82" i="32"/>
  <c r="G71" i="49"/>
  <c r="G46" i="49"/>
  <c r="H792" i="32"/>
  <c r="H781" i="32"/>
  <c r="I781" i="32"/>
  <c r="K779" i="32"/>
  <c r="D291" i="32"/>
  <c r="C291" i="32"/>
  <c r="O291" i="32"/>
  <c r="F47" i="71"/>
  <c r="H47" i="71"/>
  <c r="D268" i="32"/>
  <c r="C268" i="32"/>
  <c r="S268" i="32"/>
  <c r="D292" i="32"/>
  <c r="C292" i="32"/>
  <c r="C663" i="32"/>
  <c r="C58" i="34"/>
  <c r="D79" i="32"/>
  <c r="C79" i="32"/>
  <c r="F30" i="32"/>
  <c r="E9" i="49"/>
  <c r="G9" i="49"/>
  <c r="F66" i="32"/>
  <c r="D78" i="32"/>
  <c r="C78" i="32"/>
  <c r="G19" i="66"/>
  <c r="D64" i="66"/>
  <c r="F64" i="66"/>
  <c r="D66" i="34"/>
  <c r="F66" i="34"/>
  <c r="D295" i="32"/>
  <c r="C295" i="32"/>
  <c r="U295" i="32"/>
  <c r="D296" i="32"/>
  <c r="C296" i="32"/>
  <c r="S296" i="32"/>
  <c r="H490" i="32"/>
  <c r="I490" i="32"/>
  <c r="G70" i="49"/>
  <c r="D59" i="34"/>
  <c r="F59" i="34"/>
  <c r="F114" i="71"/>
  <c r="D77" i="32"/>
  <c r="C77" i="32"/>
  <c r="D289" i="32"/>
  <c r="C289" i="32"/>
  <c r="M289" i="32"/>
  <c r="D264" i="32"/>
  <c r="C264" i="32"/>
  <c r="F42" i="32"/>
  <c r="H42" i="32"/>
  <c r="I42" i="32"/>
  <c r="D260" i="32"/>
  <c r="D263" i="32"/>
  <c r="C263" i="32"/>
  <c r="F54" i="32"/>
  <c r="C6" i="34"/>
  <c r="C702" i="32"/>
  <c r="C63" i="66"/>
  <c r="D267" i="32"/>
  <c r="C267" i="32"/>
  <c r="U267" i="32"/>
  <c r="D113" i="66"/>
  <c r="F113" i="66"/>
  <c r="G62" i="49"/>
  <c r="G79" i="49"/>
  <c r="G80" i="49"/>
  <c r="H290" i="32"/>
  <c r="I290" i="32"/>
  <c r="F137" i="32"/>
  <c r="H137" i="32"/>
  <c r="E70" i="66"/>
  <c r="F718" i="32"/>
  <c r="E53" i="66"/>
  <c r="E114" i="66"/>
  <c r="F672" i="32"/>
  <c r="H672" i="32"/>
  <c r="E72" i="66"/>
  <c r="F730" i="32"/>
  <c r="H730" i="32"/>
  <c r="E22" i="66"/>
  <c r="F349" i="32"/>
  <c r="H349" i="32"/>
  <c r="I349" i="32"/>
  <c r="E107" i="66"/>
  <c r="F468" i="32"/>
  <c r="H468" i="32"/>
  <c r="J468" i="32"/>
  <c r="E77" i="66"/>
  <c r="G77" i="66"/>
  <c r="E38" i="66"/>
  <c r="E34" i="66"/>
  <c r="E74" i="66"/>
  <c r="F732" i="32"/>
  <c r="H732" i="32"/>
  <c r="E113" i="66"/>
  <c r="F659" i="32"/>
  <c r="H659" i="32"/>
  <c r="E56" i="66"/>
  <c r="F665" i="32"/>
  <c r="H665" i="32"/>
  <c r="E83" i="66"/>
  <c r="G83" i="66"/>
  <c r="E79" i="66"/>
  <c r="E78" i="66"/>
  <c r="G78" i="66"/>
  <c r="E94" i="66"/>
  <c r="G94" i="66"/>
  <c r="E57" i="66"/>
  <c r="F666" i="32"/>
  <c r="H666" i="32"/>
  <c r="I666" i="32"/>
  <c r="E67" i="66"/>
  <c r="E61" i="66"/>
  <c r="F682" i="32"/>
  <c r="H682" i="32"/>
  <c r="I682" i="32"/>
  <c r="E32" i="66"/>
  <c r="F548" i="32"/>
  <c r="H548" i="32"/>
  <c r="I548" i="32"/>
  <c r="E105" i="66"/>
  <c r="E91" i="66"/>
  <c r="E85" i="66"/>
  <c r="F757" i="32"/>
  <c r="H757" i="32"/>
  <c r="I757" i="32"/>
  <c r="E51" i="66"/>
  <c r="F669" i="32"/>
  <c r="H669" i="32"/>
  <c r="I669" i="32"/>
  <c r="E30" i="66"/>
  <c r="E49" i="66"/>
  <c r="E106" i="66"/>
  <c r="F70" i="32"/>
  <c r="H70" i="32"/>
  <c r="J70" i="32"/>
  <c r="E37" i="66"/>
  <c r="F571" i="32"/>
  <c r="H571" i="32"/>
  <c r="I571" i="32"/>
  <c r="E116" i="66"/>
  <c r="E96" i="66"/>
  <c r="G96" i="66"/>
  <c r="E40" i="66"/>
  <c r="E117" i="66"/>
  <c r="F724" i="32"/>
  <c r="H724" i="32"/>
  <c r="J724" i="32"/>
  <c r="E81" i="66"/>
  <c r="E93" i="66"/>
  <c r="E119" i="66"/>
  <c r="E86" i="66"/>
  <c r="F767" i="32"/>
  <c r="H767" i="32"/>
  <c r="I767" i="32"/>
  <c r="E48" i="66"/>
  <c r="G48" i="66"/>
  <c r="E82" i="66"/>
  <c r="E31" i="66"/>
  <c r="F547" i="32"/>
  <c r="H547" i="32"/>
  <c r="I547" i="32"/>
  <c r="E24" i="66"/>
  <c r="F559" i="32"/>
  <c r="H559" i="32"/>
  <c r="E27" i="66"/>
  <c r="F162" i="71"/>
  <c r="H162" i="71"/>
  <c r="J162" i="71"/>
  <c r="E75" i="66"/>
  <c r="F733" i="32"/>
  <c r="E71" i="66"/>
  <c r="F719" i="32"/>
  <c r="H719" i="32"/>
  <c r="I719" i="32"/>
  <c r="E80" i="66"/>
  <c r="E73" i="66"/>
  <c r="F731" i="32"/>
  <c r="E21" i="66"/>
  <c r="F306" i="32"/>
  <c r="H306" i="32"/>
  <c r="I306" i="32"/>
  <c r="E29" i="66"/>
  <c r="F173" i="71"/>
  <c r="H173" i="71"/>
  <c r="E35" i="66"/>
  <c r="F569" i="32"/>
  <c r="H569" i="32"/>
  <c r="I569" i="32"/>
  <c r="E39" i="66"/>
  <c r="E68" i="66"/>
  <c r="E26" i="66"/>
  <c r="F679" i="32"/>
  <c r="H679" i="32"/>
  <c r="I679" i="32"/>
  <c r="E36" i="66"/>
  <c r="G36" i="66"/>
  <c r="E100" i="66"/>
  <c r="E66" i="66"/>
  <c r="E97" i="66"/>
  <c r="E46" i="66"/>
  <c r="E88" i="66"/>
  <c r="E63" i="66"/>
  <c r="E98" i="66"/>
  <c r="E112" i="66"/>
  <c r="F577" i="32"/>
  <c r="H577" i="32"/>
  <c r="J577" i="32"/>
  <c r="E87" i="66"/>
  <c r="E33" i="66"/>
  <c r="E109" i="66"/>
  <c r="F772" i="32"/>
  <c r="H772" i="32"/>
  <c r="J772" i="32"/>
  <c r="E118" i="66"/>
  <c r="E50" i="66"/>
  <c r="F623" i="32"/>
  <c r="E52" i="66"/>
  <c r="F625" i="32"/>
  <c r="H625" i="32"/>
  <c r="I625" i="32"/>
  <c r="E42" i="66"/>
  <c r="F584" i="32"/>
  <c r="H584" i="32"/>
  <c r="I584" i="32"/>
  <c r="E65" i="66"/>
  <c r="G65" i="66"/>
  <c r="E62" i="66"/>
  <c r="E47" i="66"/>
  <c r="E43" i="66"/>
  <c r="F193" i="71"/>
  <c r="H193" i="71"/>
  <c r="E115" i="66"/>
  <c r="F722" i="32"/>
  <c r="H722" i="32"/>
  <c r="J722" i="32"/>
  <c r="E92" i="66"/>
  <c r="E58" i="66"/>
  <c r="F667" i="32"/>
  <c r="H667" i="32"/>
  <c r="I667" i="32"/>
  <c r="E28" i="66"/>
  <c r="F526" i="32"/>
  <c r="H526" i="32"/>
  <c r="I526" i="32"/>
  <c r="E44" i="66"/>
  <c r="F194" i="71"/>
  <c r="H194" i="71"/>
  <c r="J194" i="71"/>
  <c r="E25" i="66"/>
  <c r="F523" i="32"/>
  <c r="H523" i="32"/>
  <c r="I523" i="32"/>
  <c r="E54" i="66"/>
  <c r="E76" i="66"/>
  <c r="E99" i="66"/>
  <c r="F798" i="32"/>
  <c r="H798" i="32"/>
  <c r="I798" i="32"/>
  <c r="E41" i="66"/>
  <c r="F583" i="32"/>
  <c r="H583" i="32"/>
  <c r="E64" i="66"/>
  <c r="F703" i="32"/>
  <c r="H703" i="32"/>
  <c r="I703" i="32"/>
  <c r="E55" i="66"/>
  <c r="F656" i="32"/>
  <c r="H656" i="32"/>
  <c r="I656" i="32"/>
  <c r="E60" i="66"/>
  <c r="F678" i="32"/>
  <c r="H678" i="32"/>
  <c r="I678" i="32"/>
  <c r="C168" i="74"/>
  <c r="L168" i="74"/>
  <c r="E59" i="66"/>
  <c r="F668" i="32"/>
  <c r="H668" i="32"/>
  <c r="E95" i="66"/>
  <c r="G95" i="66"/>
  <c r="E84" i="66"/>
  <c r="E45" i="66"/>
  <c r="F597" i="32"/>
  <c r="H597" i="32"/>
  <c r="I597" i="32"/>
  <c r="E90" i="66"/>
  <c r="E69" i="66"/>
  <c r="E110" i="66"/>
  <c r="F341" i="32"/>
  <c r="H341" i="32"/>
  <c r="J341" i="32"/>
  <c r="E89" i="66"/>
  <c r="G89" i="66"/>
  <c r="E108" i="66"/>
  <c r="F340" i="32"/>
  <c r="H340" i="32"/>
  <c r="E23" i="66"/>
  <c r="F378" i="32"/>
  <c r="H378" i="32"/>
  <c r="I378" i="32"/>
  <c r="O8" i="70"/>
  <c r="O29" i="70"/>
  <c r="O30" i="70"/>
  <c r="D773" i="32"/>
  <c r="C773" i="32"/>
  <c r="D768" i="32"/>
  <c r="C768" i="32"/>
  <c r="C87" i="66"/>
  <c r="G87" i="66"/>
  <c r="C805" i="32"/>
  <c r="C69" i="34"/>
  <c r="D807" i="32"/>
  <c r="C807" i="32"/>
  <c r="C100" i="66"/>
  <c r="J100" i="66"/>
  <c r="K805" i="32"/>
  <c r="C97" i="66"/>
  <c r="H788" i="32"/>
  <c r="C214" i="32"/>
  <c r="C25" i="34"/>
  <c r="D216" i="32"/>
  <c r="C216" i="32"/>
  <c r="D224" i="32"/>
  <c r="C224" i="32"/>
  <c r="S224" i="32"/>
  <c r="D217" i="32"/>
  <c r="C217" i="32"/>
  <c r="C17" i="66"/>
  <c r="G17" i="66"/>
  <c r="C8" i="70"/>
  <c r="F502" i="32"/>
  <c r="H502" i="32"/>
  <c r="I502" i="32"/>
  <c r="G15" i="49"/>
  <c r="G75" i="49"/>
  <c r="G34" i="49"/>
  <c r="G51" i="49"/>
  <c r="G26" i="49"/>
  <c r="D22" i="66"/>
  <c r="F22" i="66"/>
  <c r="F204" i="71"/>
  <c r="H204" i="71"/>
  <c r="J204" i="71"/>
  <c r="D798" i="32"/>
  <c r="C796" i="32"/>
  <c r="C68" i="34"/>
  <c r="D756" i="32"/>
  <c r="C756" i="32"/>
  <c r="C84" i="66"/>
  <c r="D755" i="32"/>
  <c r="C755" i="32"/>
  <c r="H755" i="32"/>
  <c r="I755" i="32"/>
  <c r="H520" i="19"/>
  <c r="M515" i="19"/>
  <c r="V543" i="19"/>
  <c r="Y543" i="19"/>
  <c r="E436" i="19"/>
  <c r="U561" i="19"/>
  <c r="F561" i="19"/>
  <c r="J561" i="19"/>
  <c r="U562" i="19"/>
  <c r="F562" i="19"/>
  <c r="C123" i="74"/>
  <c r="L123" i="74"/>
  <c r="U502" i="19"/>
  <c r="F502" i="19"/>
  <c r="V484" i="19"/>
  <c r="AA484" i="19"/>
  <c r="K1134" i="19"/>
  <c r="K1135" i="19"/>
  <c r="D595" i="32"/>
  <c r="C595" i="32"/>
  <c r="C43" i="66"/>
  <c r="D593" i="32"/>
  <c r="M390" i="19"/>
  <c r="AF390" i="19"/>
  <c r="V486" i="19"/>
  <c r="Y486" i="19"/>
  <c r="O547" i="19"/>
  <c r="J925" i="19"/>
  <c r="V562" i="19"/>
  <c r="AA562" i="19"/>
  <c r="D654" i="32"/>
  <c r="C654" i="32"/>
  <c r="C53" i="66"/>
  <c r="F74" i="19"/>
  <c r="J74" i="19"/>
  <c r="J50" i="19"/>
  <c r="K58" i="72"/>
  <c r="M58" i="72"/>
  <c r="U560" i="19"/>
  <c r="J779" i="19"/>
  <c r="D653" i="32"/>
  <c r="C653" i="32"/>
  <c r="V773" i="19"/>
  <c r="Y773" i="19"/>
  <c r="V659" i="19"/>
  <c r="Y659" i="19"/>
  <c r="K235" i="19"/>
  <c r="K236" i="19"/>
  <c r="K237" i="19"/>
  <c r="D171" i="32"/>
  <c r="K186" i="19"/>
  <c r="F242" i="19"/>
  <c r="I242" i="19"/>
  <c r="J952" i="19"/>
  <c r="J547" i="19"/>
  <c r="V880" i="19"/>
  <c r="Y880" i="19"/>
  <c r="J49" i="19"/>
  <c r="U585" i="19"/>
  <c r="F585" i="19"/>
  <c r="K76" i="19"/>
  <c r="D470" i="19"/>
  <c r="J470" i="19"/>
  <c r="V470" i="19"/>
  <c r="Y470" i="19"/>
  <c r="M707" i="19"/>
  <c r="G712" i="19"/>
  <c r="F679" i="19"/>
  <c r="J679" i="19"/>
  <c r="V679" i="19"/>
  <c r="AA679" i="19"/>
  <c r="C50" i="66"/>
  <c r="V690" i="19"/>
  <c r="Y690" i="19"/>
  <c r="O436" i="19"/>
  <c r="U564" i="19"/>
  <c r="K1080" i="19"/>
  <c r="I128" i="74"/>
  <c r="I127" i="74"/>
  <c r="F506" i="19"/>
  <c r="J506" i="19"/>
  <c r="V506" i="19"/>
  <c r="AA506" i="19"/>
  <c r="C171" i="32"/>
  <c r="C13" i="70"/>
  <c r="D173" i="32"/>
  <c r="C173" i="32"/>
  <c r="D176" i="32"/>
  <c r="C176" i="32"/>
  <c r="K1273" i="19"/>
  <c r="E442" i="19"/>
  <c r="E443" i="19"/>
  <c r="J443" i="19"/>
  <c r="O440" i="19"/>
  <c r="V617" i="19"/>
  <c r="Y617" i="19"/>
  <c r="J964" i="19"/>
  <c r="H965" i="19"/>
  <c r="E276" i="19"/>
  <c r="J276" i="19"/>
  <c r="E392" i="19"/>
  <c r="E394" i="19"/>
  <c r="H109" i="19"/>
  <c r="J109" i="19"/>
  <c r="J108" i="19"/>
  <c r="G262" i="19"/>
  <c r="I261" i="19"/>
  <c r="V638" i="19"/>
  <c r="AA638" i="19"/>
  <c r="F638" i="19"/>
  <c r="J638" i="19"/>
  <c r="K622" i="32"/>
  <c r="D760" i="32"/>
  <c r="C760" i="32"/>
  <c r="D656" i="32"/>
  <c r="C656" i="32"/>
  <c r="J776" i="19"/>
  <c r="V675" i="19"/>
  <c r="Y675" i="19"/>
  <c r="D675" i="19"/>
  <c r="J675" i="19"/>
  <c r="J81" i="19"/>
  <c r="K84" i="19"/>
  <c r="D63" i="32"/>
  <c r="E426" i="19"/>
  <c r="E428" i="19"/>
  <c r="E284" i="19"/>
  <c r="J284" i="19"/>
  <c r="K287" i="19"/>
  <c r="D200" i="32"/>
  <c r="E250" i="19"/>
  <c r="I250" i="19"/>
  <c r="K1245" i="19"/>
  <c r="D676" i="32"/>
  <c r="F1248" i="19"/>
  <c r="J1248" i="19"/>
  <c r="K1249" i="19"/>
  <c r="K1250" i="19"/>
  <c r="D690" i="32"/>
  <c r="O769" i="19"/>
  <c r="V769" i="19"/>
  <c r="Z769" i="19"/>
  <c r="J769" i="19"/>
  <c r="H22" i="19"/>
  <c r="J21" i="19"/>
  <c r="D512" i="32"/>
  <c r="C512" i="32"/>
  <c r="D139" i="32"/>
  <c r="C139" i="32"/>
  <c r="D516" i="32"/>
  <c r="C516" i="32"/>
  <c r="U586" i="19"/>
  <c r="J48" i="19"/>
  <c r="D658" i="32"/>
  <c r="J193" i="19"/>
  <c r="V663" i="19"/>
  <c r="AA663" i="19"/>
  <c r="V671" i="19"/>
  <c r="AA671" i="19"/>
  <c r="F671" i="19"/>
  <c r="J671" i="19"/>
  <c r="J623" i="19"/>
  <c r="K645" i="19"/>
  <c r="K646" i="19"/>
  <c r="D362" i="32"/>
  <c r="C362" i="32"/>
  <c r="O623" i="19"/>
  <c r="V623" i="19"/>
  <c r="Z623" i="19"/>
  <c r="G512" i="19"/>
  <c r="M506" i="19"/>
  <c r="J469" i="19"/>
  <c r="J939" i="19"/>
  <c r="C671" i="32"/>
  <c r="D718" i="32"/>
  <c r="C718" i="32"/>
  <c r="C70" i="66"/>
  <c r="D652" i="32"/>
  <c r="C652" i="32"/>
  <c r="V687" i="19"/>
  <c r="AA687" i="19"/>
  <c r="D457" i="19"/>
  <c r="J457" i="19"/>
  <c r="V457" i="19"/>
  <c r="Y457" i="19"/>
  <c r="F442" i="19"/>
  <c r="J442" i="19"/>
  <c r="F557" i="19"/>
  <c r="J557" i="19"/>
  <c r="V557" i="19"/>
  <c r="Y557" i="19"/>
  <c r="V575" i="19"/>
  <c r="AA575" i="19"/>
  <c r="F575" i="19"/>
  <c r="J575" i="19"/>
  <c r="J923" i="19"/>
  <c r="F564" i="19"/>
  <c r="J564" i="19"/>
  <c r="V564" i="19"/>
  <c r="Y564" i="19"/>
  <c r="D761" i="32"/>
  <c r="C761" i="32"/>
  <c r="J666" i="19"/>
  <c r="C648" i="32"/>
  <c r="F490" i="19"/>
  <c r="J490" i="19"/>
  <c r="V490" i="19"/>
  <c r="AA490" i="19"/>
  <c r="V633" i="19"/>
  <c r="Y633" i="19"/>
  <c r="T511" i="19"/>
  <c r="D511" i="19"/>
  <c r="U508" i="19"/>
  <c r="T510" i="19"/>
  <c r="D510" i="19"/>
  <c r="U507" i="19"/>
  <c r="E277" i="19"/>
  <c r="J277" i="19"/>
  <c r="E396" i="19"/>
  <c r="E398" i="19"/>
  <c r="V483" i="19"/>
  <c r="AA483" i="19"/>
  <c r="V681" i="19"/>
  <c r="Y681" i="19"/>
  <c r="J194" i="19"/>
  <c r="C746" i="32"/>
  <c r="C65" i="34"/>
  <c r="D655" i="32"/>
  <c r="C655" i="32"/>
  <c r="K627" i="32"/>
  <c r="F498" i="19"/>
  <c r="J498" i="19"/>
  <c r="V498" i="19"/>
  <c r="AA498" i="19"/>
  <c r="J440" i="19"/>
  <c r="I260" i="19"/>
  <c r="J51" i="19"/>
  <c r="C741" i="32"/>
  <c r="C64" i="34"/>
  <c r="K741" i="32"/>
  <c r="D743" i="32"/>
  <c r="C743" i="32"/>
  <c r="C76" i="66"/>
  <c r="F630" i="19"/>
  <c r="J630" i="19"/>
  <c r="V630" i="19"/>
  <c r="AA630" i="19"/>
  <c r="V779" i="19"/>
  <c r="Y779" i="19"/>
  <c r="F560" i="19"/>
  <c r="J560" i="19"/>
  <c r="V560" i="19"/>
  <c r="AA560" i="19"/>
  <c r="O550" i="19"/>
  <c r="V550" i="19"/>
  <c r="Y550" i="19"/>
  <c r="V546" i="19"/>
  <c r="AA546" i="19"/>
  <c r="K917" i="19"/>
  <c r="K918" i="19"/>
  <c r="D435" i="32"/>
  <c r="D440" i="32"/>
  <c r="C440" i="32"/>
  <c r="F775" i="19"/>
  <c r="J775" i="19"/>
  <c r="K781" i="19"/>
  <c r="K782" i="19"/>
  <c r="V775" i="19"/>
  <c r="Y775" i="19"/>
  <c r="F495" i="19"/>
  <c r="J495" i="19"/>
  <c r="V495" i="19"/>
  <c r="Y495" i="19"/>
  <c r="D857" i="19"/>
  <c r="V857" i="19"/>
  <c r="X857" i="19"/>
  <c r="F1277" i="19"/>
  <c r="J1277" i="19"/>
  <c r="K1262" i="19"/>
  <c r="D703" i="32"/>
  <c r="C703" i="32"/>
  <c r="C64" i="66"/>
  <c r="F494" i="19"/>
  <c r="J494" i="19"/>
  <c r="V494" i="19"/>
  <c r="Y494" i="19"/>
  <c r="T586" i="19"/>
  <c r="D586" i="19"/>
  <c r="T585" i="19"/>
  <c r="U583" i="19"/>
  <c r="U582" i="19"/>
  <c r="G299" i="19"/>
  <c r="J298" i="19"/>
  <c r="K322" i="19"/>
  <c r="O437" i="19"/>
  <c r="V437" i="19"/>
  <c r="X437" i="19"/>
  <c r="V436" i="19"/>
  <c r="Y436" i="19"/>
  <c r="J57" i="19"/>
  <c r="H58" i="19"/>
  <c r="M590" i="19"/>
  <c r="U593" i="19"/>
  <c r="F593" i="19"/>
  <c r="H594" i="19"/>
  <c r="M597" i="19"/>
  <c r="U599" i="19"/>
  <c r="F599" i="19"/>
  <c r="U398" i="19"/>
  <c r="F398" i="19"/>
  <c r="J398" i="19"/>
  <c r="T399" i="19"/>
  <c r="D399" i="19"/>
  <c r="D717" i="32"/>
  <c r="C717" i="32"/>
  <c r="C69" i="66"/>
  <c r="G69" i="66"/>
  <c r="D203" i="32"/>
  <c r="C203" i="32"/>
  <c r="H261" i="32"/>
  <c r="I261" i="32"/>
  <c r="C105" i="66"/>
  <c r="I114" i="32"/>
  <c r="H933" i="19"/>
  <c r="H934" i="19"/>
  <c r="D205" i="32"/>
  <c r="C205" i="32"/>
  <c r="H205" i="32"/>
  <c r="I205" i="32"/>
  <c r="M701" i="19"/>
  <c r="H705" i="19"/>
  <c r="D700" i="32"/>
  <c r="D548" i="32"/>
  <c r="C548" i="32"/>
  <c r="C32" i="66"/>
  <c r="G32" i="66"/>
  <c r="D544" i="32"/>
  <c r="F1278" i="19"/>
  <c r="J1278" i="19"/>
  <c r="D713" i="32"/>
  <c r="J562" i="19"/>
  <c r="H31" i="71"/>
  <c r="K30" i="71"/>
  <c r="J550" i="19"/>
  <c r="D208" i="32"/>
  <c r="C208" i="32"/>
  <c r="U208" i="32"/>
  <c r="D143" i="32"/>
  <c r="C143" i="32"/>
  <c r="V547" i="19"/>
  <c r="AA547" i="19"/>
  <c r="E555" i="19"/>
  <c r="O554" i="19"/>
  <c r="V554" i="19"/>
  <c r="AA554" i="19"/>
  <c r="F554" i="19"/>
  <c r="J554" i="19"/>
  <c r="U872" i="19"/>
  <c r="T873" i="19"/>
  <c r="D682" i="19"/>
  <c r="J682" i="19"/>
  <c r="V682" i="19"/>
  <c r="Y682" i="19"/>
  <c r="V419" i="19"/>
  <c r="X419" i="19"/>
  <c r="E1165" i="19"/>
  <c r="J1165" i="19"/>
  <c r="K1194" i="19"/>
  <c r="K1195" i="19"/>
  <c r="K1196" i="19"/>
  <c r="J1164" i="19"/>
  <c r="F686" i="19"/>
  <c r="J686" i="19"/>
  <c r="V686" i="19"/>
  <c r="AA686" i="19"/>
  <c r="D210" i="32"/>
  <c r="C210" i="32"/>
  <c r="D137" i="32"/>
  <c r="C137" i="32"/>
  <c r="D209" i="32"/>
  <c r="C209" i="32"/>
  <c r="S209" i="32"/>
  <c r="K119" i="19"/>
  <c r="D87" i="32"/>
  <c r="D91" i="32"/>
  <c r="C91" i="32"/>
  <c r="V666" i="19"/>
  <c r="Y666" i="19"/>
  <c r="J790" i="19"/>
  <c r="F578" i="19"/>
  <c r="J578" i="19"/>
  <c r="V578" i="19"/>
  <c r="Y578" i="19"/>
  <c r="H132" i="19"/>
  <c r="J131" i="19"/>
  <c r="G927" i="19"/>
  <c r="J926" i="19"/>
  <c r="C5" i="32"/>
  <c r="D7" i="32"/>
  <c r="C7" i="32"/>
  <c r="J7" i="70"/>
  <c r="V776" i="19"/>
  <c r="Y776" i="19"/>
  <c r="J337" i="19"/>
  <c r="G338" i="19"/>
  <c r="F693" i="19"/>
  <c r="J693" i="19"/>
  <c r="V693" i="19"/>
  <c r="AA693" i="19"/>
  <c r="C135" i="32"/>
  <c r="C17" i="34"/>
  <c r="J857" i="19"/>
  <c r="K1149" i="19"/>
  <c r="D610" i="32"/>
  <c r="D142" i="32"/>
  <c r="C142" i="32"/>
  <c r="D723" i="32"/>
  <c r="C723" i="32"/>
  <c r="C116" i="66"/>
  <c r="G116" i="66"/>
  <c r="D202" i="32"/>
  <c r="C202" i="32"/>
  <c r="O548" i="19"/>
  <c r="V548" i="19"/>
  <c r="AA548" i="19"/>
  <c r="J548" i="19"/>
  <c r="H803" i="19"/>
  <c r="M802" i="19"/>
  <c r="C658" i="32"/>
  <c r="D659" i="32"/>
  <c r="C659" i="32"/>
  <c r="C113" i="66"/>
  <c r="F696" i="19"/>
  <c r="J696" i="19"/>
  <c r="V696" i="19"/>
  <c r="Y696" i="19"/>
  <c r="D90" i="32"/>
  <c r="C90" i="32"/>
  <c r="H90" i="32"/>
  <c r="I90" i="32"/>
  <c r="H528" i="19"/>
  <c r="M531" i="19"/>
  <c r="M523" i="19"/>
  <c r="U515" i="19"/>
  <c r="U514" i="19"/>
  <c r="T518" i="19"/>
  <c r="T519" i="19"/>
  <c r="U516" i="19"/>
  <c r="G35" i="19"/>
  <c r="F62" i="19"/>
  <c r="F930" i="19"/>
  <c r="F206" i="19"/>
  <c r="F34" i="19"/>
  <c r="F262" i="19"/>
  <c r="D766" i="19"/>
  <c r="J766" i="19"/>
  <c r="K783" i="19"/>
  <c r="K784" i="19"/>
  <c r="D390" i="32"/>
  <c r="V766" i="19"/>
  <c r="Z766" i="19"/>
  <c r="H264" i="19"/>
  <c r="E425" i="19"/>
  <c r="J425" i="19"/>
  <c r="J424" i="19"/>
  <c r="F454" i="19"/>
  <c r="J454" i="19"/>
  <c r="K471" i="19"/>
  <c r="K472" i="19"/>
  <c r="V454" i="19"/>
  <c r="AA454" i="19"/>
  <c r="I262" i="19"/>
  <c r="F806" i="19"/>
  <c r="J806" i="19"/>
  <c r="V806" i="19"/>
  <c r="X806" i="19"/>
  <c r="H289" i="32"/>
  <c r="I289" i="32"/>
  <c r="D405" i="32"/>
  <c r="G811" i="19"/>
  <c r="M809" i="19"/>
  <c r="U810" i="19"/>
  <c r="D391" i="32"/>
  <c r="C391" i="32"/>
  <c r="O424" i="19"/>
  <c r="V422" i="19"/>
  <c r="AA422" i="19"/>
  <c r="J205" i="19"/>
  <c r="H206" i="19"/>
  <c r="D412" i="19"/>
  <c r="J412" i="19"/>
  <c r="V412" i="19"/>
  <c r="Y412" i="19"/>
  <c r="D502" i="19"/>
  <c r="J502" i="19"/>
  <c r="V502" i="19"/>
  <c r="Y502" i="19"/>
  <c r="D513" i="32"/>
  <c r="C513" i="32"/>
  <c r="C510" i="32"/>
  <c r="C47" i="34"/>
  <c r="H360" i="19"/>
  <c r="J359" i="19"/>
  <c r="F410" i="19"/>
  <c r="J410" i="19"/>
  <c r="V410" i="19"/>
  <c r="AA410" i="19"/>
  <c r="V499" i="19"/>
  <c r="AA499" i="19"/>
  <c r="F499" i="19"/>
  <c r="J499" i="19"/>
  <c r="F586" i="19"/>
  <c r="V586" i="19"/>
  <c r="Y586" i="19"/>
  <c r="K187" i="19"/>
  <c r="D147" i="32"/>
  <c r="O263" i="32"/>
  <c r="D503" i="19"/>
  <c r="J503" i="19"/>
  <c r="V503" i="19"/>
  <c r="Y503" i="19"/>
  <c r="AF402" i="19"/>
  <c r="M402" i="19"/>
  <c r="E388" i="19"/>
  <c r="E390" i="19"/>
  <c r="E275" i="19"/>
  <c r="J275" i="19"/>
  <c r="K279" i="19"/>
  <c r="J192" i="19"/>
  <c r="K196" i="19"/>
  <c r="J792" i="32"/>
  <c r="H793" i="32"/>
  <c r="C57" i="66"/>
  <c r="C767" i="32"/>
  <c r="C86" i="66"/>
  <c r="K767" i="32"/>
  <c r="D667" i="32"/>
  <c r="C667" i="32"/>
  <c r="C665" i="32"/>
  <c r="C260" i="32"/>
  <c r="M260" i="32"/>
  <c r="M216" i="32"/>
  <c r="H216" i="32"/>
  <c r="C798" i="32"/>
  <c r="C99" i="66"/>
  <c r="G99" i="66"/>
  <c r="K798" i="32"/>
  <c r="F622" i="32"/>
  <c r="H622" i="32"/>
  <c r="I622" i="32"/>
  <c r="I788" i="32"/>
  <c r="H790" i="32"/>
  <c r="H203" i="32"/>
  <c r="I203" i="32"/>
  <c r="N203" i="32"/>
  <c r="F336" i="32"/>
  <c r="H336" i="32"/>
  <c r="I336" i="32"/>
  <c r="F308" i="32"/>
  <c r="H308" i="32"/>
  <c r="I308" i="32"/>
  <c r="F637" i="32"/>
  <c r="H637" i="32"/>
  <c r="I637" i="32"/>
  <c r="H623" i="32"/>
  <c r="I623" i="32"/>
  <c r="F651" i="32"/>
  <c r="H651" i="32"/>
  <c r="I651" i="32"/>
  <c r="F615" i="32"/>
  <c r="H615" i="32"/>
  <c r="F17" i="71"/>
  <c r="H17" i="71"/>
  <c r="K17" i="71"/>
  <c r="F717" i="32"/>
  <c r="H717" i="32"/>
  <c r="I717" i="32"/>
  <c r="G100" i="66"/>
  <c r="F807" i="32"/>
  <c r="H807" i="32"/>
  <c r="I807" i="32"/>
  <c r="F723" i="32"/>
  <c r="H723" i="32"/>
  <c r="J723" i="32"/>
  <c r="F210" i="32"/>
  <c r="H210" i="32"/>
  <c r="J210" i="32"/>
  <c r="F167" i="32"/>
  <c r="F283" i="32"/>
  <c r="H283" i="32"/>
  <c r="J283" i="32"/>
  <c r="F269" i="32"/>
  <c r="H269" i="32"/>
  <c r="J269" i="32"/>
  <c r="F254" i="32"/>
  <c r="H254" i="32"/>
  <c r="J254" i="32"/>
  <c r="F239" i="32"/>
  <c r="F297" i="32"/>
  <c r="H297" i="32"/>
  <c r="J297" i="32"/>
  <c r="F196" i="32"/>
  <c r="H196" i="32"/>
  <c r="J196" i="32"/>
  <c r="F225" i="32"/>
  <c r="H225" i="32"/>
  <c r="J225" i="32"/>
  <c r="F573" i="32"/>
  <c r="F525" i="32"/>
  <c r="H525" i="32"/>
  <c r="I525" i="32"/>
  <c r="G49" i="66"/>
  <c r="F650" i="32"/>
  <c r="H650" i="32"/>
  <c r="I650" i="32"/>
  <c r="F715" i="32"/>
  <c r="H715" i="32"/>
  <c r="F654" i="32"/>
  <c r="H654" i="32"/>
  <c r="I654" i="32"/>
  <c r="F640" i="32"/>
  <c r="H640" i="32"/>
  <c r="I640" i="32"/>
  <c r="F163" i="71"/>
  <c r="H163" i="71"/>
  <c r="J163" i="71"/>
  <c r="F751" i="32"/>
  <c r="H751" i="32"/>
  <c r="I751" i="32"/>
  <c r="F391" i="32"/>
  <c r="H391" i="32"/>
  <c r="F363" i="32"/>
  <c r="H363" i="32"/>
  <c r="I363" i="32"/>
  <c r="F405" i="32"/>
  <c r="F335" i="32"/>
  <c r="F419" i="32"/>
  <c r="H419" i="32"/>
  <c r="I419" i="32"/>
  <c r="N217" i="32"/>
  <c r="I217" i="32"/>
  <c r="F118" i="71"/>
  <c r="H118" i="71"/>
  <c r="F368" i="32"/>
  <c r="H368" i="32"/>
  <c r="J368" i="32"/>
  <c r="F354" i="32"/>
  <c r="H354" i="32"/>
  <c r="J354" i="32"/>
  <c r="F312" i="32"/>
  <c r="H312" i="32"/>
  <c r="F326" i="32"/>
  <c r="F410" i="32"/>
  <c r="H410" i="32"/>
  <c r="F743" i="32"/>
  <c r="H743" i="32"/>
  <c r="F685" i="32"/>
  <c r="H685" i="32"/>
  <c r="J685" i="32"/>
  <c r="F607" i="32"/>
  <c r="H607" i="32"/>
  <c r="F393" i="32"/>
  <c r="H393" i="32"/>
  <c r="I393" i="32"/>
  <c r="F379" i="32"/>
  <c r="H379" i="32"/>
  <c r="F421" i="32"/>
  <c r="H421" i="32"/>
  <c r="I421" i="32"/>
  <c r="F752" i="32"/>
  <c r="H752" i="32"/>
  <c r="I752" i="32"/>
  <c r="F537" i="32"/>
  <c r="F693" i="32"/>
  <c r="H693" i="32"/>
  <c r="I693" i="32"/>
  <c r="F174" i="71"/>
  <c r="H174" i="71"/>
  <c r="J174" i="71"/>
  <c r="F558" i="32"/>
  <c r="H558" i="32"/>
  <c r="I558" i="32"/>
  <c r="H718" i="32"/>
  <c r="I718" i="32"/>
  <c r="I668" i="32"/>
  <c r="G59" i="66"/>
  <c r="G33" i="66"/>
  <c r="F557" i="32"/>
  <c r="H557" i="32"/>
  <c r="I557" i="32"/>
  <c r="F638" i="32"/>
  <c r="H638" i="32"/>
  <c r="I638" i="32"/>
  <c r="F572" i="32"/>
  <c r="H572" i="32"/>
  <c r="I572" i="32"/>
  <c r="F176" i="32"/>
  <c r="H176" i="32"/>
  <c r="H177" i="32"/>
  <c r="F692" i="32"/>
  <c r="F768" i="32"/>
  <c r="H768" i="32"/>
  <c r="I768" i="32"/>
  <c r="F706" i="32"/>
  <c r="H706" i="32"/>
  <c r="I706" i="32"/>
  <c r="F376" i="32"/>
  <c r="H376" i="32"/>
  <c r="I376" i="32"/>
  <c r="F404" i="32"/>
  <c r="H404" i="32"/>
  <c r="F390" i="32"/>
  <c r="H390" i="32"/>
  <c r="I390" i="32"/>
  <c r="F348" i="32"/>
  <c r="H348" i="32"/>
  <c r="I348" i="32"/>
  <c r="F334" i="32"/>
  <c r="H334" i="32"/>
  <c r="I334" i="32"/>
  <c r="F320" i="32"/>
  <c r="H320" i="32"/>
  <c r="I320" i="32"/>
  <c r="F362" i="32"/>
  <c r="H362" i="32"/>
  <c r="I362" i="32"/>
  <c r="F418" i="32"/>
  <c r="H418" i="32"/>
  <c r="G82" i="66"/>
  <c r="F753" i="32"/>
  <c r="H753" i="32"/>
  <c r="I753" i="32"/>
  <c r="F574" i="32"/>
  <c r="H574" i="32"/>
  <c r="I574" i="32"/>
  <c r="F748" i="32"/>
  <c r="H748" i="32"/>
  <c r="I748" i="32"/>
  <c r="C20" i="34"/>
  <c r="K473" i="19"/>
  <c r="K474" i="19"/>
  <c r="D349" i="32"/>
  <c r="C349" i="32"/>
  <c r="C54" i="66"/>
  <c r="U390" i="19"/>
  <c r="F390" i="19"/>
  <c r="T391" i="19"/>
  <c r="D391" i="19"/>
  <c r="Z888" i="19"/>
  <c r="Z890" i="19"/>
  <c r="Z891" i="19"/>
  <c r="K626" i="32"/>
  <c r="J436" i="19"/>
  <c r="E437" i="19"/>
  <c r="J437" i="19"/>
  <c r="C52" i="66"/>
  <c r="K625" i="32"/>
  <c r="D601" i="32"/>
  <c r="C601" i="32"/>
  <c r="D596" i="32"/>
  <c r="C596" i="32"/>
  <c r="C44" i="66"/>
  <c r="D600" i="32"/>
  <c r="C600" i="32"/>
  <c r="D597" i="32"/>
  <c r="C597" i="32"/>
  <c r="C45" i="66"/>
  <c r="K594" i="32"/>
  <c r="C593" i="32"/>
  <c r="C54" i="34"/>
  <c r="M714" i="19"/>
  <c r="G719" i="19"/>
  <c r="J390" i="19"/>
  <c r="K1081" i="19"/>
  <c r="K1082" i="19"/>
  <c r="K1083" i="19"/>
  <c r="D569" i="32"/>
  <c r="C569" i="32"/>
  <c r="C35" i="66"/>
  <c r="I35" i="66"/>
  <c r="D567" i="32"/>
  <c r="C567" i="32"/>
  <c r="C52" i="34"/>
  <c r="E1107" i="19"/>
  <c r="J1107" i="19"/>
  <c r="K1108" i="19"/>
  <c r="G1116" i="19"/>
  <c r="J1116" i="19"/>
  <c r="K1119" i="19"/>
  <c r="V561" i="19"/>
  <c r="AA561" i="19"/>
  <c r="D89" i="32"/>
  <c r="C89" i="32"/>
  <c r="D71" i="32"/>
  <c r="C71" i="32"/>
  <c r="D67" i="32"/>
  <c r="C67" i="32"/>
  <c r="H67" i="32"/>
  <c r="I67" i="32"/>
  <c r="D65" i="32"/>
  <c r="C65" i="32"/>
  <c r="D66" i="32"/>
  <c r="C66" i="32"/>
  <c r="H66" i="32"/>
  <c r="I66" i="32"/>
  <c r="C63" i="32"/>
  <c r="C11" i="34"/>
  <c r="D70" i="32"/>
  <c r="C70" i="32"/>
  <c r="U511" i="19"/>
  <c r="U510" i="19"/>
  <c r="H23" i="19"/>
  <c r="J23" i="19"/>
  <c r="J22" i="19"/>
  <c r="K24" i="19"/>
  <c r="E395" i="19"/>
  <c r="J395" i="19"/>
  <c r="O394" i="19"/>
  <c r="J394" i="19"/>
  <c r="K666" i="32"/>
  <c r="J586" i="19"/>
  <c r="D95" i="32"/>
  <c r="C95" i="32"/>
  <c r="E399" i="19"/>
  <c r="J399" i="19"/>
  <c r="O398" i="19"/>
  <c r="K52" i="19"/>
  <c r="D39" i="32"/>
  <c r="D42" i="32"/>
  <c r="C42" i="32"/>
  <c r="K624" i="32"/>
  <c r="C51" i="66"/>
  <c r="D692" i="32"/>
  <c r="C692" i="32"/>
  <c r="C62" i="66"/>
  <c r="G62" i="66"/>
  <c r="C690" i="32"/>
  <c r="C60" i="34"/>
  <c r="D696" i="32"/>
  <c r="C696" i="32"/>
  <c r="D693" i="32"/>
  <c r="C693" i="32"/>
  <c r="H966" i="19"/>
  <c r="J965" i="19"/>
  <c r="J13" i="70"/>
  <c r="S176" i="32"/>
  <c r="F507" i="19"/>
  <c r="J507" i="19"/>
  <c r="V507" i="19"/>
  <c r="AA507" i="19"/>
  <c r="D679" i="32"/>
  <c r="C679" i="32"/>
  <c r="D682" i="32"/>
  <c r="C682" i="32"/>
  <c r="C61" i="66"/>
  <c r="D681" i="32"/>
  <c r="C681" i="32"/>
  <c r="D678" i="32"/>
  <c r="C678" i="32"/>
  <c r="C60" i="66"/>
  <c r="D685" i="32"/>
  <c r="C685" i="32"/>
  <c r="D680" i="32"/>
  <c r="C680" i="32"/>
  <c r="C676" i="32"/>
  <c r="C59" i="34"/>
  <c r="D686" i="32"/>
  <c r="C686" i="32"/>
  <c r="K628" i="32"/>
  <c r="C55" i="66"/>
  <c r="L13" i="70"/>
  <c r="H173" i="32"/>
  <c r="I173" i="32"/>
  <c r="N173" i="32"/>
  <c r="G520" i="19"/>
  <c r="M514" i="19"/>
  <c r="U600" i="19"/>
  <c r="F600" i="19"/>
  <c r="F508" i="19"/>
  <c r="J508" i="19"/>
  <c r="V508" i="19"/>
  <c r="AA508" i="19"/>
  <c r="D204" i="32"/>
  <c r="C204" i="32"/>
  <c r="C200" i="32"/>
  <c r="C24" i="34"/>
  <c r="O442" i="19"/>
  <c r="V440" i="19"/>
  <c r="AA440" i="19"/>
  <c r="D94" i="32"/>
  <c r="C94" i="32"/>
  <c r="O428" i="19"/>
  <c r="J428" i="19"/>
  <c r="K444" i="19"/>
  <c r="K445" i="19"/>
  <c r="D333" i="32"/>
  <c r="E430" i="19"/>
  <c r="M202" i="32"/>
  <c r="H202" i="32"/>
  <c r="I202" i="32"/>
  <c r="F872" i="19"/>
  <c r="J872" i="19"/>
  <c r="K882" i="19"/>
  <c r="K883" i="19"/>
  <c r="V872" i="19"/>
  <c r="Y872" i="19"/>
  <c r="U592" i="19"/>
  <c r="F592" i="19"/>
  <c r="C87" i="32"/>
  <c r="C13" i="34"/>
  <c r="G928" i="19"/>
  <c r="J927" i="19"/>
  <c r="D706" i="32"/>
  <c r="C706" i="32"/>
  <c r="C66" i="66"/>
  <c r="G66" i="66"/>
  <c r="C700" i="32"/>
  <c r="C61" i="34"/>
  <c r="D709" i="32"/>
  <c r="C709" i="32"/>
  <c r="T599" i="19"/>
  <c r="U597" i="19"/>
  <c r="U596" i="19"/>
  <c r="T600" i="19"/>
  <c r="O555" i="19"/>
  <c r="V555" i="19"/>
  <c r="AA555" i="19"/>
  <c r="J555" i="19"/>
  <c r="M708" i="19"/>
  <c r="H712" i="19"/>
  <c r="T592" i="19"/>
  <c r="U590" i="19"/>
  <c r="T593" i="19"/>
  <c r="U589" i="19"/>
  <c r="J299" i="19"/>
  <c r="G300" i="19"/>
  <c r="M806" i="19"/>
  <c r="H807" i="19"/>
  <c r="G339" i="19"/>
  <c r="J338" i="19"/>
  <c r="J132" i="19"/>
  <c r="H133" i="19"/>
  <c r="U700" i="19"/>
  <c r="U701" i="19"/>
  <c r="T704" i="19"/>
  <c r="T703" i="19"/>
  <c r="U703" i="19"/>
  <c r="F703" i="19"/>
  <c r="U704" i="19"/>
  <c r="F704" i="19"/>
  <c r="J58" i="19"/>
  <c r="H59" i="19"/>
  <c r="F582" i="19"/>
  <c r="J582" i="19"/>
  <c r="V582" i="19"/>
  <c r="AA582" i="19"/>
  <c r="K1279" i="19"/>
  <c r="D728" i="32"/>
  <c r="C18" i="66"/>
  <c r="G18" i="66"/>
  <c r="H440" i="32"/>
  <c r="I440" i="32"/>
  <c r="C5" i="34"/>
  <c r="C7" i="70"/>
  <c r="D547" i="32"/>
  <c r="C547" i="32"/>
  <c r="C31" i="66"/>
  <c r="G31" i="66"/>
  <c r="C544" i="32"/>
  <c r="C50" i="34"/>
  <c r="D546" i="32"/>
  <c r="C546" i="32"/>
  <c r="J34" i="19"/>
  <c r="C610" i="32"/>
  <c r="C56" i="34"/>
  <c r="D615" i="32"/>
  <c r="C615" i="32"/>
  <c r="D612" i="32"/>
  <c r="C612" i="32"/>
  <c r="C47" i="66"/>
  <c r="G47" i="66"/>
  <c r="C713" i="32"/>
  <c r="C62" i="34"/>
  <c r="K713" i="32"/>
  <c r="D722" i="32"/>
  <c r="C722" i="32"/>
  <c r="C115" i="66"/>
  <c r="D715" i="32"/>
  <c r="C715" i="32"/>
  <c r="C67" i="66"/>
  <c r="G67" i="66"/>
  <c r="F583" i="19"/>
  <c r="J583" i="19"/>
  <c r="V583" i="19"/>
  <c r="AA583" i="19"/>
  <c r="D439" i="32"/>
  <c r="C439" i="32"/>
  <c r="D443" i="32"/>
  <c r="C443" i="32"/>
  <c r="D437" i="32"/>
  <c r="C437" i="32"/>
  <c r="H437" i="32"/>
  <c r="I437" i="32"/>
  <c r="D438" i="32"/>
  <c r="C438" i="32"/>
  <c r="H438" i="32"/>
  <c r="I438" i="32"/>
  <c r="D444" i="32"/>
  <c r="C444" i="32"/>
  <c r="C435" i="32"/>
  <c r="V873" i="19"/>
  <c r="X873" i="19"/>
  <c r="D873" i="19"/>
  <c r="J873" i="19"/>
  <c r="K884" i="19"/>
  <c r="K885" i="19"/>
  <c r="D420" i="32"/>
  <c r="C420" i="32"/>
  <c r="D585" i="19"/>
  <c r="J585" i="19"/>
  <c r="V585" i="19"/>
  <c r="Y585" i="19"/>
  <c r="V424" i="19"/>
  <c r="Y424" i="19"/>
  <c r="O425" i="19"/>
  <c r="V425" i="19"/>
  <c r="X425" i="19"/>
  <c r="C390" i="32"/>
  <c r="D388" i="32"/>
  <c r="D393" i="32"/>
  <c r="C393" i="32"/>
  <c r="G36" i="19"/>
  <c r="F207" i="19"/>
  <c r="F35" i="19"/>
  <c r="F263" i="19"/>
  <c r="I263" i="19"/>
  <c r="F63" i="19"/>
  <c r="F931" i="19"/>
  <c r="F245" i="19"/>
  <c r="I245" i="19"/>
  <c r="D186" i="32"/>
  <c r="H361" i="19"/>
  <c r="J360" i="19"/>
  <c r="D387" i="32"/>
  <c r="E391" i="19"/>
  <c r="J391" i="19"/>
  <c r="O390" i="19"/>
  <c r="H207" i="19"/>
  <c r="J206" i="19"/>
  <c r="F810" i="19"/>
  <c r="J810" i="19"/>
  <c r="V810" i="19"/>
  <c r="X810" i="19"/>
  <c r="D345" i="32"/>
  <c r="D347" i="32"/>
  <c r="F516" i="19"/>
  <c r="J516" i="19"/>
  <c r="V516" i="19"/>
  <c r="AA516" i="19"/>
  <c r="T403" i="19"/>
  <c r="U402" i="19"/>
  <c r="G815" i="19"/>
  <c r="G819" i="19"/>
  <c r="M821" i="19"/>
  <c r="U822" i="19"/>
  <c r="M813" i="19"/>
  <c r="U814" i="19"/>
  <c r="H935" i="19"/>
  <c r="D41" i="32"/>
  <c r="C41" i="32"/>
  <c r="D47" i="32"/>
  <c r="C47" i="32"/>
  <c r="C39" i="32"/>
  <c r="C9" i="34"/>
  <c r="D43" i="32"/>
  <c r="C43" i="32"/>
  <c r="D519" i="19"/>
  <c r="D518" i="19"/>
  <c r="C405" i="32"/>
  <c r="H405" i="32"/>
  <c r="I405" i="32"/>
  <c r="H265" i="19"/>
  <c r="I264" i="19"/>
  <c r="V514" i="19"/>
  <c r="AA514" i="19"/>
  <c r="F514" i="19"/>
  <c r="J514" i="19"/>
  <c r="U524" i="19"/>
  <c r="U523" i="19"/>
  <c r="U522" i="19"/>
  <c r="T526" i="19"/>
  <c r="T527" i="19"/>
  <c r="C147" i="32"/>
  <c r="D153" i="32"/>
  <c r="C153" i="32"/>
  <c r="F946" i="19"/>
  <c r="J946" i="19"/>
  <c r="F515" i="19"/>
  <c r="J515" i="19"/>
  <c r="V515" i="19"/>
  <c r="AA515" i="19"/>
  <c r="T535" i="19"/>
  <c r="U531" i="19"/>
  <c r="T534" i="19"/>
  <c r="U532" i="19"/>
  <c r="U530" i="19"/>
  <c r="C56" i="66"/>
  <c r="K665" i="32"/>
  <c r="H260" i="32"/>
  <c r="I260" i="32"/>
  <c r="C58" i="66"/>
  <c r="K667" i="32"/>
  <c r="H794" i="32"/>
  <c r="H777" i="32"/>
  <c r="G67" i="34"/>
  <c r="E67" i="34"/>
  <c r="I216" i="32"/>
  <c r="I404" i="32"/>
  <c r="E1111" i="19"/>
  <c r="J1111" i="19"/>
  <c r="K1112" i="19"/>
  <c r="D573" i="32"/>
  <c r="C573" i="32"/>
  <c r="K1109" i="19"/>
  <c r="M721" i="19"/>
  <c r="G726" i="19"/>
  <c r="D46" i="32"/>
  <c r="C46" i="32"/>
  <c r="K1120" i="19"/>
  <c r="D581" i="32"/>
  <c r="F1123" i="19"/>
  <c r="J1123" i="19"/>
  <c r="O395" i="19"/>
  <c r="V395" i="19"/>
  <c r="AA395" i="19"/>
  <c r="V394" i="19"/>
  <c r="AA394" i="19"/>
  <c r="V510" i="19"/>
  <c r="Y510" i="19"/>
  <c r="F510" i="19"/>
  <c r="J510" i="19"/>
  <c r="O443" i="19"/>
  <c r="V443" i="19"/>
  <c r="X443" i="19"/>
  <c r="V442" i="19"/>
  <c r="Y442" i="19"/>
  <c r="V511" i="19"/>
  <c r="Y511" i="19"/>
  <c r="F511" i="19"/>
  <c r="J511" i="19"/>
  <c r="E431" i="19"/>
  <c r="J431" i="19"/>
  <c r="K448" i="19"/>
  <c r="K449" i="19"/>
  <c r="D336" i="32"/>
  <c r="C336" i="32"/>
  <c r="J430" i="19"/>
  <c r="K446" i="19"/>
  <c r="K447" i="19"/>
  <c r="O204" i="32"/>
  <c r="H967" i="19"/>
  <c r="J966" i="19"/>
  <c r="V428" i="19"/>
  <c r="AA428" i="19"/>
  <c r="O430" i="19"/>
  <c r="U519" i="19"/>
  <c r="U518" i="19"/>
  <c r="M522" i="19"/>
  <c r="G528" i="19"/>
  <c r="M530" i="19"/>
  <c r="O399" i="19"/>
  <c r="V399" i="19"/>
  <c r="AA399" i="19"/>
  <c r="V398" i="19"/>
  <c r="AA398" i="19"/>
  <c r="H692" i="32"/>
  <c r="I692" i="32"/>
  <c r="F700" i="19"/>
  <c r="J700" i="19"/>
  <c r="V700" i="19"/>
  <c r="AA700" i="19"/>
  <c r="V593" i="19"/>
  <c r="Y593" i="19"/>
  <c r="D593" i="19"/>
  <c r="J593" i="19"/>
  <c r="F596" i="19"/>
  <c r="J596" i="19"/>
  <c r="V596" i="19"/>
  <c r="AA596" i="19"/>
  <c r="G929" i="19"/>
  <c r="J928" i="19"/>
  <c r="F589" i="19"/>
  <c r="J589" i="19"/>
  <c r="V589" i="19"/>
  <c r="AA589" i="19"/>
  <c r="H60" i="19"/>
  <c r="J59" i="19"/>
  <c r="H134" i="19"/>
  <c r="J133" i="19"/>
  <c r="F590" i="19"/>
  <c r="J590" i="19"/>
  <c r="V590" i="19"/>
  <c r="AA590" i="19"/>
  <c r="V597" i="19"/>
  <c r="AA597" i="19"/>
  <c r="F597" i="19"/>
  <c r="J597" i="19"/>
  <c r="V592" i="19"/>
  <c r="Y592" i="19"/>
  <c r="D592" i="19"/>
  <c r="J592" i="19"/>
  <c r="D599" i="19"/>
  <c r="J599" i="19"/>
  <c r="V599" i="19"/>
  <c r="Y599" i="19"/>
  <c r="F701" i="19"/>
  <c r="J701" i="19"/>
  <c r="V701" i="19"/>
  <c r="AA701" i="19"/>
  <c r="D600" i="19"/>
  <c r="J600" i="19"/>
  <c r="V600" i="19"/>
  <c r="Y600" i="19"/>
  <c r="C41" i="34"/>
  <c r="C15" i="70"/>
  <c r="M715" i="19"/>
  <c r="H719" i="19"/>
  <c r="D419" i="32"/>
  <c r="D415" i="32"/>
  <c r="G340" i="19"/>
  <c r="J339" i="19"/>
  <c r="U710" i="19"/>
  <c r="F710" i="19"/>
  <c r="U707" i="19"/>
  <c r="U708" i="19"/>
  <c r="T710" i="19"/>
  <c r="T711" i="19"/>
  <c r="U711" i="19"/>
  <c r="F711" i="19"/>
  <c r="D703" i="19"/>
  <c r="J703" i="19"/>
  <c r="V703" i="19"/>
  <c r="Y703" i="19"/>
  <c r="M810" i="19"/>
  <c r="H811" i="19"/>
  <c r="G301" i="19"/>
  <c r="J301" i="19"/>
  <c r="J300" i="19"/>
  <c r="D737" i="32"/>
  <c r="C737" i="32"/>
  <c r="D730" i="32"/>
  <c r="C730" i="32"/>
  <c r="D732" i="32"/>
  <c r="C732" i="32"/>
  <c r="D736" i="32"/>
  <c r="C736" i="32"/>
  <c r="C728" i="32"/>
  <c r="C63" i="34"/>
  <c r="D731" i="32"/>
  <c r="C731" i="32"/>
  <c r="K728" i="32"/>
  <c r="D733" i="32"/>
  <c r="C733" i="32"/>
  <c r="V704" i="19"/>
  <c r="Y704" i="19"/>
  <c r="D704" i="19"/>
  <c r="J704" i="19"/>
  <c r="C333" i="32"/>
  <c r="H936" i="19"/>
  <c r="C345" i="32"/>
  <c r="C34" i="34"/>
  <c r="D355" i="32"/>
  <c r="C355" i="32"/>
  <c r="D354" i="32"/>
  <c r="C354" i="32"/>
  <c r="D191" i="32"/>
  <c r="C191" i="32"/>
  <c r="H191" i="32"/>
  <c r="I191" i="32"/>
  <c r="D188" i="32"/>
  <c r="C188" i="32"/>
  <c r="D190" i="32"/>
  <c r="C190" i="32"/>
  <c r="D194" i="32"/>
  <c r="C194" i="32"/>
  <c r="C186" i="32"/>
  <c r="C23" i="34"/>
  <c r="D196" i="32"/>
  <c r="C196" i="32"/>
  <c r="D195" i="32"/>
  <c r="C195" i="32"/>
  <c r="D189" i="32"/>
  <c r="C189" i="32"/>
  <c r="V530" i="19"/>
  <c r="AA530" i="19"/>
  <c r="F530" i="19"/>
  <c r="J530" i="19"/>
  <c r="D527" i="19"/>
  <c r="H266" i="19"/>
  <c r="F822" i="19"/>
  <c r="J822" i="19"/>
  <c r="V822" i="19"/>
  <c r="X822" i="19"/>
  <c r="J36" i="19"/>
  <c r="G37" i="19"/>
  <c r="M817" i="19"/>
  <c r="U818" i="19"/>
  <c r="G823" i="19"/>
  <c r="M825" i="19"/>
  <c r="U826" i="19"/>
  <c r="V402" i="19"/>
  <c r="AA402" i="19"/>
  <c r="F402" i="19"/>
  <c r="J402" i="19"/>
  <c r="F531" i="19"/>
  <c r="J531" i="19"/>
  <c r="V531" i="19"/>
  <c r="AA531" i="19"/>
  <c r="J11" i="70"/>
  <c r="S153" i="32"/>
  <c r="V522" i="19"/>
  <c r="AA522" i="19"/>
  <c r="F522" i="19"/>
  <c r="J522" i="19"/>
  <c r="D403" i="19"/>
  <c r="J403" i="19"/>
  <c r="V403" i="19"/>
  <c r="AA403" i="19"/>
  <c r="H208" i="19"/>
  <c r="J207" i="19"/>
  <c r="D396" i="32"/>
  <c r="C396" i="32"/>
  <c r="D397" i="32"/>
  <c r="C397" i="32"/>
  <c r="C387" i="32"/>
  <c r="C37" i="34"/>
  <c r="C21" i="66"/>
  <c r="G21" i="66"/>
  <c r="C26" i="74"/>
  <c r="L26" i="74"/>
  <c r="V814" i="19"/>
  <c r="X814" i="19"/>
  <c r="F814" i="19"/>
  <c r="J814" i="19"/>
  <c r="D534" i="19"/>
  <c r="D526" i="19"/>
  <c r="D535" i="19"/>
  <c r="C11" i="70"/>
  <c r="C18" i="34"/>
  <c r="D149" i="32"/>
  <c r="F523" i="19"/>
  <c r="J523" i="19"/>
  <c r="V523" i="19"/>
  <c r="AA523" i="19"/>
  <c r="F532" i="19"/>
  <c r="J532" i="19"/>
  <c r="V532" i="19"/>
  <c r="AA532" i="19"/>
  <c r="V524" i="19"/>
  <c r="AA524" i="19"/>
  <c r="F524" i="19"/>
  <c r="J524" i="19"/>
  <c r="H363" i="19"/>
  <c r="J363" i="19"/>
  <c r="H362" i="19"/>
  <c r="J362" i="19"/>
  <c r="J361" i="19"/>
  <c r="F947" i="19"/>
  <c r="J947" i="19"/>
  <c r="H43" i="32"/>
  <c r="I43" i="32"/>
  <c r="C347" i="32"/>
  <c r="D346" i="32"/>
  <c r="D351" i="32"/>
  <c r="C351" i="32"/>
  <c r="O391" i="19"/>
  <c r="V391" i="19"/>
  <c r="AA391" i="19"/>
  <c r="V390" i="19"/>
  <c r="AA390" i="19"/>
  <c r="J35" i="19"/>
  <c r="D588" i="32"/>
  <c r="C588" i="32"/>
  <c r="D583" i="32"/>
  <c r="D585" i="32"/>
  <c r="C585" i="32"/>
  <c r="D589" i="32"/>
  <c r="C589" i="32"/>
  <c r="C581" i="32"/>
  <c r="C53" i="34"/>
  <c r="C39" i="66"/>
  <c r="G39" i="66"/>
  <c r="H573" i="32"/>
  <c r="I573" i="32"/>
  <c r="M728" i="19"/>
  <c r="G733" i="19"/>
  <c r="D574" i="32"/>
  <c r="C574" i="32"/>
  <c r="K1113" i="19"/>
  <c r="D335" i="32"/>
  <c r="D331" i="32"/>
  <c r="U535" i="19"/>
  <c r="U534" i="19"/>
  <c r="U527" i="19"/>
  <c r="U526" i="19"/>
  <c r="J967" i="19"/>
  <c r="H968" i="19"/>
  <c r="F519" i="19"/>
  <c r="J519" i="19"/>
  <c r="V519" i="19"/>
  <c r="Y519" i="19"/>
  <c r="V430" i="19"/>
  <c r="Y430" i="19"/>
  <c r="O431" i="19"/>
  <c r="V431" i="19"/>
  <c r="X431" i="19"/>
  <c r="F518" i="19"/>
  <c r="J518" i="19"/>
  <c r="V518" i="19"/>
  <c r="Y518" i="19"/>
  <c r="C73" i="66"/>
  <c r="G73" i="66"/>
  <c r="H731" i="32"/>
  <c r="I731" i="32"/>
  <c r="G341" i="19"/>
  <c r="J340" i="19"/>
  <c r="H135" i="19"/>
  <c r="J134" i="19"/>
  <c r="D711" i="19"/>
  <c r="J711" i="19"/>
  <c r="V711" i="19"/>
  <c r="Y711" i="19"/>
  <c r="C415" i="32"/>
  <c r="C39" i="34"/>
  <c r="D425" i="32"/>
  <c r="C425" i="32"/>
  <c r="D424" i="32"/>
  <c r="C424" i="32"/>
  <c r="H819" i="19"/>
  <c r="M822" i="19"/>
  <c r="H815" i="19"/>
  <c r="M814" i="19"/>
  <c r="G930" i="19"/>
  <c r="J929" i="19"/>
  <c r="C74" i="66"/>
  <c r="G74" i="66"/>
  <c r="I732" i="32"/>
  <c r="F708" i="19"/>
  <c r="J708" i="19"/>
  <c r="V708" i="19"/>
  <c r="AA708" i="19"/>
  <c r="C72" i="66"/>
  <c r="V707" i="19"/>
  <c r="AA707" i="19"/>
  <c r="F707" i="19"/>
  <c r="J707" i="19"/>
  <c r="M722" i="19"/>
  <c r="H726" i="19"/>
  <c r="V710" i="19"/>
  <c r="Y710" i="19"/>
  <c r="D710" i="19"/>
  <c r="J710" i="19"/>
  <c r="C419" i="32"/>
  <c r="D416" i="32"/>
  <c r="D421" i="32"/>
  <c r="C421" i="32"/>
  <c r="H61" i="19"/>
  <c r="J60" i="19"/>
  <c r="U715" i="19"/>
  <c r="T717" i="19"/>
  <c r="U714" i="19"/>
  <c r="U717" i="19"/>
  <c r="F717" i="19"/>
  <c r="T718" i="19"/>
  <c r="U718" i="19"/>
  <c r="F718" i="19"/>
  <c r="K368" i="19"/>
  <c r="D273" i="32"/>
  <c r="C75" i="66"/>
  <c r="G75" i="66"/>
  <c r="H733" i="32"/>
  <c r="I733" i="32"/>
  <c r="H209" i="19"/>
  <c r="J208" i="19"/>
  <c r="U194" i="32"/>
  <c r="D150" i="32"/>
  <c r="C150" i="32"/>
  <c r="C149" i="32"/>
  <c r="K404" i="19"/>
  <c r="K405" i="19"/>
  <c r="F826" i="19"/>
  <c r="J826" i="19"/>
  <c r="V826" i="19"/>
  <c r="X826" i="19"/>
  <c r="H267" i="19"/>
  <c r="I266" i="19"/>
  <c r="O190" i="32"/>
  <c r="F818" i="19"/>
  <c r="J818" i="19"/>
  <c r="V818" i="19"/>
  <c r="X818" i="19"/>
  <c r="X888" i="19"/>
  <c r="X890" i="19"/>
  <c r="M188" i="32"/>
  <c r="H188" i="32"/>
  <c r="I188" i="32"/>
  <c r="F37" i="19"/>
  <c r="F265" i="19"/>
  <c r="I265" i="19"/>
  <c r="F209" i="19"/>
  <c r="G38" i="19"/>
  <c r="F65" i="19"/>
  <c r="F933" i="19"/>
  <c r="N189" i="32"/>
  <c r="H189" i="32"/>
  <c r="I189" i="32"/>
  <c r="S195" i="32"/>
  <c r="C40" i="66"/>
  <c r="C583" i="32"/>
  <c r="D584" i="32"/>
  <c r="C584" i="32"/>
  <c r="M735" i="19"/>
  <c r="G740" i="19"/>
  <c r="F534" i="19"/>
  <c r="J534" i="19"/>
  <c r="V534" i="19"/>
  <c r="Y534" i="19"/>
  <c r="F535" i="19"/>
  <c r="J535" i="19"/>
  <c r="K643" i="19"/>
  <c r="K644" i="19"/>
  <c r="V535" i="19"/>
  <c r="Y535" i="19"/>
  <c r="J968" i="19"/>
  <c r="H970" i="19"/>
  <c r="J970" i="19"/>
  <c r="H969" i="19"/>
  <c r="J969" i="19"/>
  <c r="C331" i="32"/>
  <c r="C33" i="34"/>
  <c r="D340" i="32"/>
  <c r="C340" i="32"/>
  <c r="D341" i="32"/>
  <c r="C341" i="32"/>
  <c r="C335" i="32"/>
  <c r="H335" i="32"/>
  <c r="I335" i="32"/>
  <c r="D332" i="32"/>
  <c r="D337" i="32"/>
  <c r="C337" i="32"/>
  <c r="F526" i="19"/>
  <c r="J526" i="19"/>
  <c r="V526" i="19"/>
  <c r="Y526" i="19"/>
  <c r="F527" i="19"/>
  <c r="J527" i="19"/>
  <c r="V527" i="19"/>
  <c r="Y527" i="19"/>
  <c r="K849" i="19"/>
  <c r="K850" i="19"/>
  <c r="J61" i="19"/>
  <c r="H62" i="19"/>
  <c r="M729" i="19"/>
  <c r="H733" i="19"/>
  <c r="D717" i="19"/>
  <c r="J717" i="19"/>
  <c r="V717" i="19"/>
  <c r="Y717" i="19"/>
  <c r="G931" i="19"/>
  <c r="J930" i="19"/>
  <c r="D718" i="19"/>
  <c r="J718" i="19"/>
  <c r="V718" i="19"/>
  <c r="Y718" i="19"/>
  <c r="T725" i="19"/>
  <c r="T724" i="19"/>
  <c r="U724" i="19"/>
  <c r="F724" i="19"/>
  <c r="U725" i="19"/>
  <c r="F725" i="19"/>
  <c r="U721" i="19"/>
  <c r="U722" i="19"/>
  <c r="H823" i="19"/>
  <c r="M826" i="19"/>
  <c r="M818" i="19"/>
  <c r="H136" i="19"/>
  <c r="J135" i="19"/>
  <c r="V714" i="19"/>
  <c r="AA714" i="19"/>
  <c r="F714" i="19"/>
  <c r="J714" i="19"/>
  <c r="G342" i="19"/>
  <c r="J342" i="19"/>
  <c r="J341" i="19"/>
  <c r="F715" i="19"/>
  <c r="J715" i="19"/>
  <c r="V715" i="19"/>
  <c r="AA715" i="19"/>
  <c r="F949" i="19"/>
  <c r="J949" i="19"/>
  <c r="G39" i="19"/>
  <c r="J38" i="19"/>
  <c r="X891" i="19"/>
  <c r="H268" i="19"/>
  <c r="I268" i="19"/>
  <c r="C9" i="66"/>
  <c r="G9" i="66"/>
  <c r="C10" i="74"/>
  <c r="L10" i="74"/>
  <c r="D317" i="32"/>
  <c r="D319" i="32"/>
  <c r="L11" i="70"/>
  <c r="N150" i="32"/>
  <c r="D278" i="32"/>
  <c r="C278" i="32"/>
  <c r="H278" i="32"/>
  <c r="I278" i="32"/>
  <c r="D282" i="32"/>
  <c r="C282" i="32"/>
  <c r="D277" i="32"/>
  <c r="C277" i="32"/>
  <c r="D275" i="32"/>
  <c r="C275" i="32"/>
  <c r="D276" i="32"/>
  <c r="C276" i="32"/>
  <c r="D281" i="32"/>
  <c r="C281" i="32"/>
  <c r="D283" i="32"/>
  <c r="C283" i="32"/>
  <c r="C273" i="32"/>
  <c r="C29" i="34"/>
  <c r="J37" i="19"/>
  <c r="D406" i="32"/>
  <c r="D401" i="32"/>
  <c r="H210" i="19"/>
  <c r="J209" i="19"/>
  <c r="K647" i="19"/>
  <c r="K648" i="19"/>
  <c r="D363" i="32"/>
  <c r="C363" i="32"/>
  <c r="G747" i="19"/>
  <c r="M749" i="19"/>
  <c r="M742" i="19"/>
  <c r="C42" i="66"/>
  <c r="C41" i="66"/>
  <c r="G41" i="66"/>
  <c r="K987" i="19"/>
  <c r="K343" i="19"/>
  <c r="D243" i="32"/>
  <c r="D361" i="32"/>
  <c r="V722" i="19"/>
  <c r="AA722" i="19"/>
  <c r="F722" i="19"/>
  <c r="J722" i="19"/>
  <c r="H740" i="19"/>
  <c r="M743" i="19"/>
  <c r="M736" i="19"/>
  <c r="H747" i="19"/>
  <c r="M750" i="19"/>
  <c r="F721" i="19"/>
  <c r="J721" i="19"/>
  <c r="V721" i="19"/>
  <c r="AA721" i="19"/>
  <c r="U731" i="19"/>
  <c r="F731" i="19"/>
  <c r="T732" i="19"/>
  <c r="T731" i="19"/>
  <c r="U729" i="19"/>
  <c r="U728" i="19"/>
  <c r="U732" i="19"/>
  <c r="F732" i="19"/>
  <c r="J62" i="19"/>
  <c r="H63" i="19"/>
  <c r="G932" i="19"/>
  <c r="J931" i="19"/>
  <c r="D724" i="19"/>
  <c r="J724" i="19"/>
  <c r="V724" i="19"/>
  <c r="Y724" i="19"/>
  <c r="J136" i="19"/>
  <c r="H137" i="19"/>
  <c r="V725" i="19"/>
  <c r="Y725" i="19"/>
  <c r="D725" i="19"/>
  <c r="J725" i="19"/>
  <c r="H211" i="19"/>
  <c r="J210" i="19"/>
  <c r="N276" i="32"/>
  <c r="H276" i="32"/>
  <c r="I276" i="32"/>
  <c r="M275" i="32"/>
  <c r="H277" i="32"/>
  <c r="I277" i="32"/>
  <c r="O277" i="32"/>
  <c r="S282" i="32"/>
  <c r="D323" i="32"/>
  <c r="C323" i="32"/>
  <c r="D327" i="32"/>
  <c r="C327" i="32"/>
  <c r="D326" i="32"/>
  <c r="C326" i="32"/>
  <c r="C317" i="32"/>
  <c r="C32" i="34"/>
  <c r="G40" i="19"/>
  <c r="J40" i="19"/>
  <c r="F39" i="19"/>
  <c r="F267" i="19"/>
  <c r="I267" i="19"/>
  <c r="F211" i="19"/>
  <c r="F67" i="19"/>
  <c r="F935" i="19"/>
  <c r="U281" i="32"/>
  <c r="C319" i="32"/>
  <c r="D318" i="32"/>
  <c r="D411" i="32"/>
  <c r="C411" i="32"/>
  <c r="D410" i="32"/>
  <c r="C410" i="32"/>
  <c r="C401" i="32"/>
  <c r="C38" i="34"/>
  <c r="C406" i="32"/>
  <c r="D402" i="32"/>
  <c r="D407" i="32"/>
  <c r="C407" i="32"/>
  <c r="D359" i="32"/>
  <c r="D368" i="32"/>
  <c r="C368" i="32"/>
  <c r="D473" i="32"/>
  <c r="K988" i="19"/>
  <c r="K989" i="19"/>
  <c r="D460" i="32"/>
  <c r="C460" i="32"/>
  <c r="C43" i="34"/>
  <c r="F992" i="19"/>
  <c r="J992" i="19"/>
  <c r="K1000" i="19"/>
  <c r="D369" i="32"/>
  <c r="C369" i="32"/>
  <c r="C361" i="32"/>
  <c r="D360" i="32"/>
  <c r="D365" i="32"/>
  <c r="C365" i="32"/>
  <c r="G933" i="19"/>
  <c r="J932" i="19"/>
  <c r="V728" i="19"/>
  <c r="AA728" i="19"/>
  <c r="F728" i="19"/>
  <c r="J728" i="19"/>
  <c r="D254" i="32"/>
  <c r="C254" i="32"/>
  <c r="C243" i="32"/>
  <c r="C27" i="34"/>
  <c r="D253" i="32"/>
  <c r="C253" i="32"/>
  <c r="D246" i="32"/>
  <c r="C246" i="32"/>
  <c r="D252" i="32"/>
  <c r="C252" i="32"/>
  <c r="D249" i="32"/>
  <c r="C249" i="32"/>
  <c r="H249" i="32"/>
  <c r="I249" i="32"/>
  <c r="D245" i="32"/>
  <c r="D247" i="32"/>
  <c r="C247" i="32"/>
  <c r="H64" i="19"/>
  <c r="J63" i="19"/>
  <c r="D731" i="19"/>
  <c r="J731" i="19"/>
  <c r="V731" i="19"/>
  <c r="Y731" i="19"/>
  <c r="U735" i="19"/>
  <c r="T739" i="19"/>
  <c r="T738" i="19"/>
  <c r="U738" i="19"/>
  <c r="F738" i="19"/>
  <c r="U736" i="19"/>
  <c r="U739" i="19"/>
  <c r="F739" i="19"/>
  <c r="V729" i="19"/>
  <c r="AA729" i="19"/>
  <c r="F729" i="19"/>
  <c r="J729" i="19"/>
  <c r="U749" i="19"/>
  <c r="U750" i="19"/>
  <c r="T753" i="19"/>
  <c r="T752" i="19"/>
  <c r="U752" i="19"/>
  <c r="F752" i="19"/>
  <c r="U753" i="19"/>
  <c r="F753" i="19"/>
  <c r="J137" i="19"/>
  <c r="H138" i="19"/>
  <c r="J138" i="19"/>
  <c r="H139" i="19"/>
  <c r="J139" i="19"/>
  <c r="V732" i="19"/>
  <c r="Y732" i="19"/>
  <c r="D732" i="19"/>
  <c r="J732" i="19"/>
  <c r="U743" i="19"/>
  <c r="U742" i="19"/>
  <c r="T746" i="19"/>
  <c r="T745" i="19"/>
  <c r="U745" i="19"/>
  <c r="F745" i="19"/>
  <c r="U746" i="19"/>
  <c r="F746" i="19"/>
  <c r="C28" i="74"/>
  <c r="L28" i="74"/>
  <c r="C23" i="66"/>
  <c r="G23" i="66"/>
  <c r="H212" i="19"/>
  <c r="J212" i="19"/>
  <c r="J211" i="19"/>
  <c r="F951" i="19"/>
  <c r="J951" i="19"/>
  <c r="K952" i="19"/>
  <c r="J39" i="19"/>
  <c r="K41" i="19"/>
  <c r="H326" i="32"/>
  <c r="J326" i="32"/>
  <c r="C359" i="32"/>
  <c r="C35" i="34"/>
  <c r="K140" i="19"/>
  <c r="D99" i="32"/>
  <c r="D106" i="32"/>
  <c r="C106" i="32"/>
  <c r="K1005" i="19"/>
  <c r="D498" i="32"/>
  <c r="D481" i="32"/>
  <c r="C481" i="32"/>
  <c r="D478" i="32"/>
  <c r="C478" i="32"/>
  <c r="D475" i="32"/>
  <c r="C475" i="32"/>
  <c r="H475" i="32"/>
  <c r="I475" i="32"/>
  <c r="D476" i="32"/>
  <c r="C476" i="32"/>
  <c r="H476" i="32"/>
  <c r="I476" i="32"/>
  <c r="C473" i="32"/>
  <c r="D459" i="32"/>
  <c r="D482" i="32"/>
  <c r="C482" i="32"/>
  <c r="V750" i="19"/>
  <c r="AA750" i="19"/>
  <c r="F750" i="19"/>
  <c r="J750" i="19"/>
  <c r="D739" i="19"/>
  <c r="J739" i="19"/>
  <c r="V739" i="19"/>
  <c r="Y739" i="19"/>
  <c r="D248" i="32"/>
  <c r="C248" i="32"/>
  <c r="C245" i="32"/>
  <c r="D745" i="19"/>
  <c r="J745" i="19"/>
  <c r="V745" i="19"/>
  <c r="Y745" i="19"/>
  <c r="F749" i="19"/>
  <c r="J749" i="19"/>
  <c r="V749" i="19"/>
  <c r="AA749" i="19"/>
  <c r="F735" i="19"/>
  <c r="J735" i="19"/>
  <c r="V735" i="19"/>
  <c r="AA735" i="19"/>
  <c r="AA888" i="19"/>
  <c r="AA890" i="19"/>
  <c r="AA891" i="19"/>
  <c r="U252" i="32"/>
  <c r="G934" i="19"/>
  <c r="J933" i="19"/>
  <c r="F742" i="19"/>
  <c r="J742" i="19"/>
  <c r="V742" i="19"/>
  <c r="AA742" i="19"/>
  <c r="N246" i="32"/>
  <c r="H246" i="32"/>
  <c r="I246" i="32"/>
  <c r="K213" i="19"/>
  <c r="F743" i="19"/>
  <c r="J743" i="19"/>
  <c r="V743" i="19"/>
  <c r="AA743" i="19"/>
  <c r="J753" i="19"/>
  <c r="S253" i="32"/>
  <c r="V736" i="19"/>
  <c r="AA736" i="19"/>
  <c r="F736" i="19"/>
  <c r="J736" i="19"/>
  <c r="H65" i="19"/>
  <c r="J64" i="19"/>
  <c r="D752" i="19"/>
  <c r="J752" i="19"/>
  <c r="V752" i="19"/>
  <c r="Y752" i="19"/>
  <c r="V746" i="19"/>
  <c r="Y746" i="19"/>
  <c r="D746" i="19"/>
  <c r="J746" i="19"/>
  <c r="V753" i="19"/>
  <c r="Y753" i="19"/>
  <c r="D753" i="19"/>
  <c r="V738" i="19"/>
  <c r="Y738" i="19"/>
  <c r="Y888" i="19"/>
  <c r="Y890" i="19"/>
  <c r="D738" i="19"/>
  <c r="J738" i="19"/>
  <c r="F889" i="19"/>
  <c r="G889" i="19"/>
  <c r="O247" i="32"/>
  <c r="K42" i="19"/>
  <c r="N41" i="19"/>
  <c r="N213" i="19"/>
  <c r="K222" i="19"/>
  <c r="K754" i="19"/>
  <c r="K755" i="19"/>
  <c r="C99" i="32"/>
  <c r="C14" i="34"/>
  <c r="C44" i="34"/>
  <c r="D477" i="32"/>
  <c r="C477" i="32"/>
  <c r="K1006" i="19"/>
  <c r="D487" i="32"/>
  <c r="C487" i="32"/>
  <c r="C45" i="34"/>
  <c r="F1018" i="19"/>
  <c r="J1018" i="19"/>
  <c r="K1019" i="19"/>
  <c r="D101" i="32"/>
  <c r="C101" i="32"/>
  <c r="D103" i="32"/>
  <c r="C103" i="32"/>
  <c r="D501" i="32"/>
  <c r="C501" i="32"/>
  <c r="H501" i="32"/>
  <c r="I501" i="32"/>
  <c r="D486" i="32"/>
  <c r="C498" i="32"/>
  <c r="C46" i="34"/>
  <c r="D506" i="32"/>
  <c r="C506" i="32"/>
  <c r="D500" i="32"/>
  <c r="C500" i="32"/>
  <c r="H500" i="32"/>
  <c r="I500" i="32"/>
  <c r="D505" i="32"/>
  <c r="C505" i="32"/>
  <c r="D107" i="32"/>
  <c r="C107" i="32"/>
  <c r="C15" i="66"/>
  <c r="G15" i="66"/>
  <c r="D102" i="32"/>
  <c r="C102" i="32"/>
  <c r="H102" i="32"/>
  <c r="I102" i="32"/>
  <c r="Y891" i="19"/>
  <c r="W892" i="19"/>
  <c r="W893" i="19"/>
  <c r="W894" i="19"/>
  <c r="H889" i="19"/>
  <c r="K758" i="19"/>
  <c r="K759" i="19"/>
  <c r="D377" i="32"/>
  <c r="C377" i="32"/>
  <c r="M245" i="32"/>
  <c r="O248" i="32"/>
  <c r="C16" i="66"/>
  <c r="G16" i="66"/>
  <c r="D375" i="32"/>
  <c r="F893" i="19"/>
  <c r="G893" i="19"/>
  <c r="H893" i="19"/>
  <c r="F891" i="19"/>
  <c r="G891" i="19"/>
  <c r="H891" i="19"/>
  <c r="H66" i="19"/>
  <c r="J65" i="19"/>
  <c r="G935" i="19"/>
  <c r="J934" i="19"/>
  <c r="F890" i="19"/>
  <c r="G890" i="19"/>
  <c r="H890" i="19"/>
  <c r="F243" i="19"/>
  <c r="I243" i="19"/>
  <c r="I269" i="19"/>
  <c r="K223" i="19"/>
  <c r="D157" i="32"/>
  <c r="K43" i="19"/>
  <c r="D22" i="32"/>
  <c r="C22" i="32"/>
  <c r="F240" i="19"/>
  <c r="J240" i="19"/>
  <c r="J269" i="19"/>
  <c r="F892" i="19"/>
  <c r="G892" i="19"/>
  <c r="H892" i="19"/>
  <c r="K897" i="19"/>
  <c r="F1023" i="19"/>
  <c r="J1023" i="19"/>
  <c r="K1024" i="19"/>
  <c r="K1025" i="19"/>
  <c r="D534" i="32"/>
  <c r="K1020" i="19"/>
  <c r="D521" i="32"/>
  <c r="K270" i="19"/>
  <c r="K271" i="19"/>
  <c r="D180" i="32"/>
  <c r="D182" i="32"/>
  <c r="C182" i="32"/>
  <c r="C27" i="74"/>
  <c r="C171" i="74"/>
  <c r="L171" i="74"/>
  <c r="C22" i="66"/>
  <c r="G22" i="66"/>
  <c r="G936" i="19"/>
  <c r="J936" i="19"/>
  <c r="J935" i="19"/>
  <c r="J66" i="19"/>
  <c r="H67" i="19"/>
  <c r="C375" i="32"/>
  <c r="D374" i="32"/>
  <c r="D379" i="32"/>
  <c r="C379" i="32"/>
  <c r="D373" i="32"/>
  <c r="C7" i="34"/>
  <c r="D24" i="32"/>
  <c r="C24" i="32"/>
  <c r="C9" i="70"/>
  <c r="D167" i="32"/>
  <c r="C167" i="32"/>
  <c r="D160" i="32"/>
  <c r="C160" i="32"/>
  <c r="D166" i="32"/>
  <c r="C166" i="32"/>
  <c r="C157" i="32"/>
  <c r="D161" i="32"/>
  <c r="C161" i="32"/>
  <c r="D159" i="32"/>
  <c r="C159" i="32"/>
  <c r="D162" i="32"/>
  <c r="C162" i="32"/>
  <c r="D165" i="32"/>
  <c r="C165" i="32"/>
  <c r="C180" i="32"/>
  <c r="C21" i="34"/>
  <c r="M896" i="19"/>
  <c r="G895" i="19"/>
  <c r="K896" i="19"/>
  <c r="D302" i="32"/>
  <c r="D114" i="71"/>
  <c r="C114" i="71"/>
  <c r="H114" i="71"/>
  <c r="J114" i="71"/>
  <c r="K936" i="19"/>
  <c r="D523" i="32"/>
  <c r="C523" i="32"/>
  <c r="C521" i="32"/>
  <c r="C48" i="34"/>
  <c r="D529" i="32"/>
  <c r="C529" i="32"/>
  <c r="D524" i="32"/>
  <c r="C524" i="32"/>
  <c r="D525" i="32"/>
  <c r="C525" i="32"/>
  <c r="D526" i="32"/>
  <c r="C526" i="32"/>
  <c r="D530" i="32"/>
  <c r="C530" i="32"/>
  <c r="D540" i="32"/>
  <c r="C540" i="32"/>
  <c r="D537" i="32"/>
  <c r="C537" i="32"/>
  <c r="D536" i="32"/>
  <c r="C536" i="32"/>
  <c r="C534" i="32"/>
  <c r="C49" i="34"/>
  <c r="I379" i="32"/>
  <c r="C29" i="74"/>
  <c r="L29" i="74"/>
  <c r="C24" i="66"/>
  <c r="H68" i="19"/>
  <c r="J68" i="19"/>
  <c r="J67" i="19"/>
  <c r="K955" i="19"/>
  <c r="K956" i="19"/>
  <c r="D448" i="32"/>
  <c r="D113" i="71"/>
  <c r="C113" i="71"/>
  <c r="H113" i="71"/>
  <c r="J113" i="71"/>
  <c r="C302" i="32"/>
  <c r="D382" i="32"/>
  <c r="C382" i="32"/>
  <c r="D301" i="32"/>
  <c r="D383" i="32"/>
  <c r="C383" i="32"/>
  <c r="C373" i="32"/>
  <c r="C36" i="34"/>
  <c r="C25" i="74"/>
  <c r="L25" i="74"/>
  <c r="C20" i="66"/>
  <c r="C19" i="34"/>
  <c r="C12" i="70"/>
  <c r="J12" i="70"/>
  <c r="S166" i="32"/>
  <c r="H160" i="32"/>
  <c r="I160" i="32"/>
  <c r="N160" i="32"/>
  <c r="L12" i="70"/>
  <c r="L29" i="70"/>
  <c r="L30" i="70"/>
  <c r="S182" i="32"/>
  <c r="H167" i="32"/>
  <c r="J167" i="32"/>
  <c r="J9" i="70"/>
  <c r="D64" i="49"/>
  <c r="G12" i="70"/>
  <c r="G29" i="70"/>
  <c r="G30" i="70"/>
  <c r="U165" i="32"/>
  <c r="M159" i="32"/>
  <c r="K12" i="70"/>
  <c r="K29" i="70"/>
  <c r="K30" i="70"/>
  <c r="H161" i="32"/>
  <c r="I161" i="32"/>
  <c r="M12" i="70"/>
  <c r="M29" i="70"/>
  <c r="M30" i="70"/>
  <c r="O161" i="32"/>
  <c r="D115" i="71"/>
  <c r="C115" i="71"/>
  <c r="C27" i="66"/>
  <c r="G27" i="66"/>
  <c r="C28" i="66"/>
  <c r="C26" i="66"/>
  <c r="J29" i="70"/>
  <c r="J30" i="70"/>
  <c r="C109" i="66"/>
  <c r="G109" i="66"/>
  <c r="C29" i="66"/>
  <c r="K69" i="19"/>
  <c r="H537" i="32"/>
  <c r="I537" i="32"/>
  <c r="C30" i="66"/>
  <c r="G30" i="66"/>
  <c r="C25" i="66"/>
  <c r="G25" i="66"/>
  <c r="N69" i="19"/>
  <c r="D51" i="32"/>
  <c r="K177" i="19"/>
  <c r="K178" i="19"/>
  <c r="D27" i="32"/>
  <c r="D452" i="32"/>
  <c r="C452" i="32"/>
  <c r="D455" i="32"/>
  <c r="C455" i="32"/>
  <c r="D450" i="32"/>
  <c r="C450" i="32"/>
  <c r="D451" i="32"/>
  <c r="C451" i="32"/>
  <c r="D456" i="32"/>
  <c r="C456" i="32"/>
  <c r="C448" i="32"/>
  <c r="C108" i="66"/>
  <c r="G108" i="66"/>
  <c r="C127" i="74"/>
  <c r="L127" i="74"/>
  <c r="C31" i="34"/>
  <c r="C16" i="70"/>
  <c r="C42" i="34"/>
  <c r="C17" i="70"/>
  <c r="J17" i="70"/>
  <c r="L17" i="70"/>
  <c r="H451" i="32"/>
  <c r="I451" i="32"/>
  <c r="K17" i="70"/>
  <c r="H450" i="32"/>
  <c r="D551" i="32"/>
  <c r="C551" i="32"/>
  <c r="C27" i="32"/>
  <c r="C8" i="34"/>
  <c r="G17" i="70"/>
  <c r="D54" i="32"/>
  <c r="C54" i="32"/>
  <c r="D58" i="32"/>
  <c r="C58" i="32"/>
  <c r="D53" i="32"/>
  <c r="C53" i="32"/>
  <c r="D26" i="32"/>
  <c r="C51" i="32"/>
  <c r="C10" i="34"/>
  <c r="D55" i="32"/>
  <c r="C55" i="32"/>
  <c r="D59" i="32"/>
  <c r="C59" i="32"/>
  <c r="C15" i="74"/>
  <c r="C164" i="74"/>
  <c r="L164" i="74"/>
  <c r="R17" i="70"/>
  <c r="R29" i="70"/>
  <c r="R30" i="70"/>
  <c r="H452" i="32"/>
  <c r="I452" i="32"/>
  <c r="C14" i="66"/>
  <c r="G14" i="66"/>
  <c r="C13" i="74"/>
  <c r="L13" i="74"/>
  <c r="C12" i="66"/>
  <c r="G12" i="66"/>
  <c r="H54" i="32"/>
  <c r="I54" i="32"/>
  <c r="I450" i="32"/>
  <c r="H55" i="32"/>
  <c r="I55" i="32"/>
  <c r="C13" i="66"/>
  <c r="G13" i="66"/>
  <c r="C14" i="74"/>
  <c r="L14" i="74"/>
  <c r="C106" i="66"/>
  <c r="C124" i="74"/>
  <c r="L124" i="74"/>
  <c r="C12" i="74"/>
  <c r="C172" i="74"/>
  <c r="L172" i="74"/>
  <c r="C11" i="66"/>
  <c r="G11" i="66"/>
  <c r="K383" i="19"/>
  <c r="K384" i="19"/>
  <c r="D185" i="32"/>
  <c r="C185" i="32"/>
  <c r="D229" i="32"/>
  <c r="D233" i="32"/>
  <c r="C233" i="32"/>
  <c r="G112" i="66"/>
  <c r="G51" i="66"/>
  <c r="F153" i="32"/>
  <c r="H153" i="32"/>
  <c r="F351" i="32"/>
  <c r="H351" i="32"/>
  <c r="I351" i="32"/>
  <c r="F406" i="32"/>
  <c r="H406" i="32"/>
  <c r="I406" i="32"/>
  <c r="H808" i="32"/>
  <c r="H805" i="32"/>
  <c r="G69" i="34"/>
  <c r="F47" i="32"/>
  <c r="H47" i="32"/>
  <c r="F337" i="32"/>
  <c r="H337" i="32"/>
  <c r="I337" i="32"/>
  <c r="F529" i="32"/>
  <c r="H529" i="32"/>
  <c r="F382" i="32"/>
  <c r="H382" i="32"/>
  <c r="J382" i="32"/>
  <c r="F377" i="32"/>
  <c r="H377" i="32"/>
  <c r="I377" i="32"/>
  <c r="F705" i="32"/>
  <c r="H705" i="32"/>
  <c r="I705" i="32"/>
  <c r="F596" i="32"/>
  <c r="H596" i="32"/>
  <c r="I596" i="32"/>
  <c r="F420" i="32"/>
  <c r="H420" i="32"/>
  <c r="I420" i="32"/>
  <c r="F570" i="32"/>
  <c r="H570" i="32"/>
  <c r="G76" i="66"/>
  <c r="G90" i="66"/>
  <c r="G93" i="66"/>
  <c r="F323" i="32"/>
  <c r="H323" i="32"/>
  <c r="I323" i="32"/>
  <c r="G43" i="66"/>
  <c r="F396" i="32"/>
  <c r="H396" i="32"/>
  <c r="J396" i="32"/>
  <c r="F364" i="32"/>
  <c r="H364" i="32"/>
  <c r="I364" i="32"/>
  <c r="G86" i="66"/>
  <c r="G92" i="66"/>
  <c r="G46" i="66"/>
  <c r="G35" i="66"/>
  <c r="G44" i="66"/>
  <c r="F652" i="32"/>
  <c r="H652" i="32"/>
  <c r="I652" i="32"/>
  <c r="F309" i="32"/>
  <c r="H309" i="32"/>
  <c r="I309" i="32"/>
  <c r="F407" i="32"/>
  <c r="H407" i="32"/>
  <c r="I407" i="32"/>
  <c r="L27" i="74"/>
  <c r="G24" i="66"/>
  <c r="G72" i="66"/>
  <c r="G56" i="66"/>
  <c r="G115" i="66"/>
  <c r="G60" i="66"/>
  <c r="F749" i="32"/>
  <c r="H749" i="32"/>
  <c r="I749" i="32"/>
  <c r="F161" i="71"/>
  <c r="H161" i="71"/>
  <c r="F624" i="32"/>
  <c r="H624" i="32"/>
  <c r="F365" i="32"/>
  <c r="H365" i="32"/>
  <c r="I365" i="32"/>
  <c r="F115" i="71"/>
  <c r="H115" i="71"/>
  <c r="J115" i="71"/>
  <c r="F424" i="32"/>
  <c r="H424" i="32"/>
  <c r="J424" i="32"/>
  <c r="F307" i="32"/>
  <c r="H307" i="32"/>
  <c r="I307" i="32"/>
  <c r="F754" i="32"/>
  <c r="H754" i="32"/>
  <c r="I754" i="32"/>
  <c r="G37" i="66"/>
  <c r="F322" i="32"/>
  <c r="H322" i="32"/>
  <c r="I322" i="32"/>
  <c r="G38" i="66"/>
  <c r="G118" i="66"/>
  <c r="G81" i="66"/>
  <c r="J127" i="71"/>
  <c r="H128" i="71"/>
  <c r="H744" i="32"/>
  <c r="H741" i="32"/>
  <c r="G64" i="34"/>
  <c r="E64" i="34"/>
  <c r="I743" i="32"/>
  <c r="F645" i="32"/>
  <c r="H645" i="32"/>
  <c r="F207" i="71"/>
  <c r="H207" i="71"/>
  <c r="F17" i="32"/>
  <c r="H17" i="32"/>
  <c r="J17" i="32"/>
  <c r="F642" i="32"/>
  <c r="H642" i="32"/>
  <c r="I642" i="32"/>
  <c r="G113" i="66"/>
  <c r="F319" i="32"/>
  <c r="H319" i="32"/>
  <c r="F347" i="32"/>
  <c r="H347" i="32"/>
  <c r="H453" i="32"/>
  <c r="G42" i="66"/>
  <c r="G28" i="66"/>
  <c r="F736" i="32"/>
  <c r="H736" i="32"/>
  <c r="F595" i="32"/>
  <c r="H595" i="32"/>
  <c r="F631" i="32"/>
  <c r="H631" i="32"/>
  <c r="F94" i="32"/>
  <c r="H94" i="32"/>
  <c r="J94" i="32"/>
  <c r="F130" i="32"/>
  <c r="H130" i="32"/>
  <c r="J130" i="32"/>
  <c r="F305" i="32"/>
  <c r="H305" i="32"/>
  <c r="G40" i="66"/>
  <c r="H694" i="32"/>
  <c r="F187" i="71"/>
  <c r="H187" i="71"/>
  <c r="F58" i="32"/>
  <c r="H58" i="32"/>
  <c r="J58" i="32"/>
  <c r="F216" i="71"/>
  <c r="H216" i="71"/>
  <c r="G85" i="66"/>
  <c r="G106" i="66"/>
  <c r="G29" i="66"/>
  <c r="D231" i="32"/>
  <c r="C231" i="32"/>
  <c r="H231" i="32"/>
  <c r="F696" i="32"/>
  <c r="H696" i="32"/>
  <c r="F681" i="32"/>
  <c r="H681" i="32"/>
  <c r="I681" i="32"/>
  <c r="F106" i="32"/>
  <c r="H106" i="32"/>
  <c r="J106" i="32"/>
  <c r="F46" i="32"/>
  <c r="H46" i="32"/>
  <c r="J46" i="32"/>
  <c r="F389" i="32"/>
  <c r="H389" i="32"/>
  <c r="I389" i="32"/>
  <c r="G20" i="66"/>
  <c r="G55" i="66"/>
  <c r="F588" i="32"/>
  <c r="H588" i="32"/>
  <c r="F540" i="32"/>
  <c r="H540" i="32"/>
  <c r="H541" i="32"/>
  <c r="F197" i="71"/>
  <c r="H197" i="71"/>
  <c r="K197" i="71"/>
  <c r="F34" i="32"/>
  <c r="H34" i="32"/>
  <c r="F709" i="32"/>
  <c r="H709" i="32"/>
  <c r="G63" i="66"/>
  <c r="G68" i="66"/>
  <c r="F333" i="32"/>
  <c r="H333" i="32"/>
  <c r="I333" i="32"/>
  <c r="G61" i="66"/>
  <c r="F536" i="32"/>
  <c r="H536" i="32"/>
  <c r="I536" i="32"/>
  <c r="F82" i="32"/>
  <c r="H82" i="32"/>
  <c r="J82" i="32"/>
  <c r="F118" i="32"/>
  <c r="H118" i="32"/>
  <c r="J118" i="32"/>
  <c r="F40" i="71"/>
  <c r="H40" i="71"/>
  <c r="K40" i="71"/>
  <c r="H30" i="32"/>
  <c r="I30" i="32"/>
  <c r="G97" i="66"/>
  <c r="G84" i="66"/>
  <c r="G88" i="66"/>
  <c r="F361" i="32"/>
  <c r="H361" i="32"/>
  <c r="H116" i="71"/>
  <c r="F177" i="71"/>
  <c r="H177" i="71"/>
  <c r="F166" i="71"/>
  <c r="H166" i="71"/>
  <c r="K166" i="71"/>
  <c r="F321" i="32"/>
  <c r="H321" i="32"/>
  <c r="I321" i="32"/>
  <c r="F680" i="32"/>
  <c r="H680" i="32"/>
  <c r="I680" i="32"/>
  <c r="F551" i="32"/>
  <c r="H551" i="32"/>
  <c r="H552" i="32"/>
  <c r="F142" i="32"/>
  <c r="H142" i="32"/>
  <c r="J142" i="32"/>
  <c r="F600" i="32"/>
  <c r="H600" i="32"/>
  <c r="F628" i="32"/>
  <c r="H628" i="32"/>
  <c r="I628" i="32"/>
  <c r="G50" i="66"/>
  <c r="F375" i="32"/>
  <c r="H375" i="32"/>
  <c r="I375" i="32"/>
  <c r="F403" i="32"/>
  <c r="H403" i="32"/>
  <c r="I403" i="32"/>
  <c r="I108" i="66"/>
  <c r="J312" i="32"/>
  <c r="H324" i="32"/>
  <c r="I319" i="32"/>
  <c r="J631" i="32"/>
  <c r="H632" i="32"/>
  <c r="H195" i="71"/>
  <c r="J193" i="71"/>
  <c r="J47" i="71"/>
  <c r="H49" i="71"/>
  <c r="J696" i="32"/>
  <c r="H697" i="32"/>
  <c r="H698" i="32"/>
  <c r="H690" i="32"/>
  <c r="G60" i="34"/>
  <c r="E60" i="34"/>
  <c r="I730" i="32"/>
  <c r="H734" i="32"/>
  <c r="I570" i="32"/>
  <c r="H575" i="32"/>
  <c r="H538" i="32"/>
  <c r="H542" i="32"/>
  <c r="H534" i="32"/>
  <c r="G49" i="34"/>
  <c r="E49" i="34"/>
  <c r="C22" i="34"/>
  <c r="C14" i="70"/>
  <c r="J709" i="32"/>
  <c r="H710" i="32"/>
  <c r="G117" i="66"/>
  <c r="G80" i="66"/>
  <c r="G26" i="66"/>
  <c r="H408" i="32"/>
  <c r="M231" i="32"/>
  <c r="G58" i="66"/>
  <c r="F281" i="32"/>
  <c r="H281" i="32"/>
  <c r="J281" i="32"/>
  <c r="G114" i="66"/>
  <c r="I11" i="66"/>
  <c r="J11" i="66"/>
  <c r="C7" i="74"/>
  <c r="D184" i="32"/>
  <c r="H151" i="32"/>
  <c r="D232" i="32"/>
  <c r="C232" i="32"/>
  <c r="I715" i="32"/>
  <c r="H174" i="32"/>
  <c r="H178" i="32"/>
  <c r="H578" i="32"/>
  <c r="G52" i="66"/>
  <c r="F516" i="32"/>
  <c r="H516" i="32"/>
  <c r="J516" i="32"/>
  <c r="H799" i="32"/>
  <c r="F143" i="71"/>
  <c r="H143" i="71"/>
  <c r="K143" i="71"/>
  <c r="F524" i="32"/>
  <c r="H524" i="32"/>
  <c r="I524" i="32"/>
  <c r="C6" i="66"/>
  <c r="G6" i="66"/>
  <c r="I6" i="66"/>
  <c r="H479" i="32"/>
  <c r="H338" i="32"/>
  <c r="F194" i="32"/>
  <c r="H194" i="32"/>
  <c r="J194" i="32"/>
  <c r="F756" i="32"/>
  <c r="H756" i="32"/>
  <c r="I756" i="32"/>
  <c r="F702" i="32"/>
  <c r="H702" i="32"/>
  <c r="F392" i="32"/>
  <c r="H392" i="32"/>
  <c r="I392" i="32"/>
  <c r="G57" i="66"/>
  <c r="F481" i="32"/>
  <c r="H481" i="32"/>
  <c r="J481" i="32"/>
  <c r="F716" i="32"/>
  <c r="H716" i="32"/>
  <c r="I716" i="32"/>
  <c r="F350" i="32"/>
  <c r="H350" i="32"/>
  <c r="I350" i="32"/>
  <c r="L12" i="74"/>
  <c r="D237" i="32"/>
  <c r="C237" i="32"/>
  <c r="D234" i="32"/>
  <c r="C234" i="32"/>
  <c r="G45" i="66"/>
  <c r="F639" i="32"/>
  <c r="H639" i="32"/>
  <c r="I639" i="32"/>
  <c r="E10" i="49"/>
  <c r="G10" i="49"/>
  <c r="H279" i="32"/>
  <c r="C229" i="32"/>
  <c r="C26" i="34"/>
  <c r="H514" i="32"/>
  <c r="G64" i="66"/>
  <c r="I595" i="32"/>
  <c r="H598" i="32"/>
  <c r="K187" i="71"/>
  <c r="H188" i="71"/>
  <c r="I106" i="66"/>
  <c r="H380" i="32"/>
  <c r="I231" i="32"/>
  <c r="I665" i="32"/>
  <c r="H670" i="32"/>
  <c r="H154" i="32"/>
  <c r="H155" i="32"/>
  <c r="H147" i="32"/>
  <c r="G18" i="34"/>
  <c r="J153" i="32"/>
  <c r="J340" i="32"/>
  <c r="H342" i="32"/>
  <c r="H343" i="32"/>
  <c r="K118" i="71"/>
  <c r="H725" i="32"/>
  <c r="O233" i="32"/>
  <c r="C8" i="66"/>
  <c r="G8" i="66"/>
  <c r="C9" i="74"/>
  <c r="I347" i="32"/>
  <c r="H352" i="32"/>
  <c r="H683" i="32"/>
  <c r="I607" i="32"/>
  <c r="H608" i="32"/>
  <c r="H605" i="32"/>
  <c r="G55" i="34"/>
  <c r="E55" i="34"/>
  <c r="J672" i="32"/>
  <c r="H673" i="32"/>
  <c r="J600" i="32"/>
  <c r="J183" i="71"/>
  <c r="H185" i="71"/>
  <c r="J76" i="71"/>
  <c r="C170" i="74"/>
  <c r="L170" i="74"/>
  <c r="H163" i="32"/>
  <c r="H769" i="32"/>
  <c r="E69" i="34"/>
  <c r="J176" i="32"/>
  <c r="H175" i="71"/>
  <c r="J173" i="71"/>
  <c r="L15" i="74"/>
  <c r="I109" i="66"/>
  <c r="I159" i="32"/>
  <c r="J540" i="32"/>
  <c r="I583" i="32"/>
  <c r="N232" i="32"/>
  <c r="H265" i="32"/>
  <c r="I391" i="32"/>
  <c r="H394" i="32"/>
  <c r="J529" i="32"/>
  <c r="K207" i="71"/>
  <c r="H208" i="71"/>
  <c r="H466" i="32"/>
  <c r="J47" i="32"/>
  <c r="H48" i="32"/>
  <c r="H441" i="32"/>
  <c r="H503" i="32"/>
  <c r="H422" i="32"/>
  <c r="I418" i="32"/>
  <c r="I624" i="32"/>
  <c r="H140" i="32"/>
  <c r="I137" i="32"/>
  <c r="J588" i="32"/>
  <c r="J736" i="32"/>
  <c r="J34" i="32"/>
  <c r="F131" i="71"/>
  <c r="H131" i="71"/>
  <c r="K131" i="71"/>
  <c r="F506" i="32"/>
  <c r="H506" i="32"/>
  <c r="J506" i="32"/>
  <c r="F773" i="32"/>
  <c r="H773" i="32"/>
  <c r="J773" i="32"/>
  <c r="F224" i="32"/>
  <c r="H224" i="32"/>
  <c r="J224" i="32"/>
  <c r="F530" i="32"/>
  <c r="H530" i="32"/>
  <c r="J530" i="32"/>
  <c r="F589" i="32"/>
  <c r="H589" i="32"/>
  <c r="J589" i="32"/>
  <c r="F383" i="32"/>
  <c r="H383" i="32"/>
  <c r="F95" i="32"/>
  <c r="H95" i="32"/>
  <c r="F195" i="32"/>
  <c r="H195" i="32"/>
  <c r="F71" i="32"/>
  <c r="H71" i="32"/>
  <c r="F41" i="71"/>
  <c r="H41" i="71"/>
  <c r="K41" i="71"/>
  <c r="F313" i="32"/>
  <c r="H313" i="32"/>
  <c r="F166" i="32"/>
  <c r="H166" i="32"/>
  <c r="J166" i="32"/>
  <c r="F94" i="71"/>
  <c r="H94" i="71"/>
  <c r="K94" i="71"/>
  <c r="F425" i="32"/>
  <c r="H425" i="32"/>
  <c r="F107" i="32"/>
  <c r="H107" i="32"/>
  <c r="J107" i="32"/>
  <c r="F143" i="32"/>
  <c r="H143" i="32"/>
  <c r="F494" i="32"/>
  <c r="H494" i="32"/>
  <c r="J494" i="32"/>
  <c r="F369" i="32"/>
  <c r="H369" i="32"/>
  <c r="J369" i="32"/>
  <c r="F761" i="32"/>
  <c r="H761" i="32"/>
  <c r="J761" i="32"/>
  <c r="F282" i="32"/>
  <c r="H282" i="32"/>
  <c r="F563" i="32"/>
  <c r="H563" i="32"/>
  <c r="J563" i="32"/>
  <c r="F7" i="32"/>
  <c r="F517" i="32"/>
  <c r="H517" i="32"/>
  <c r="F108" i="71"/>
  <c r="F456" i="32"/>
  <c r="H456" i="32"/>
  <c r="J456" i="32"/>
  <c r="F411" i="32"/>
  <c r="H411" i="32"/>
  <c r="J411" i="32"/>
  <c r="F18" i="71"/>
  <c r="H18" i="71"/>
  <c r="K18" i="71"/>
  <c r="F24" i="71"/>
  <c r="H24" i="71"/>
  <c r="F51" i="71"/>
  <c r="H51" i="71"/>
  <c r="F431" i="32"/>
  <c r="H431" i="32"/>
  <c r="F18" i="32"/>
  <c r="H18" i="32"/>
  <c r="J18" i="32"/>
  <c r="F238" i="32"/>
  <c r="F131" i="32"/>
  <c r="H131" i="32"/>
  <c r="F155" i="71"/>
  <c r="H155" i="71"/>
  <c r="K155" i="71"/>
  <c r="F119" i="32"/>
  <c r="H119" i="32"/>
  <c r="F82" i="71"/>
  <c r="H82" i="71"/>
  <c r="K82" i="71"/>
  <c r="F167" i="71"/>
  <c r="H167" i="71"/>
  <c r="F327" i="32"/>
  <c r="H327" i="32"/>
  <c r="F268" i="32"/>
  <c r="H268" i="32"/>
  <c r="J268" i="32"/>
  <c r="F296" i="32"/>
  <c r="H296" i="32"/>
  <c r="J296" i="32"/>
  <c r="F469" i="32"/>
  <c r="H469" i="32"/>
  <c r="F209" i="32"/>
  <c r="H209" i="32"/>
  <c r="J209" i="32"/>
  <c r="F59" i="32"/>
  <c r="H59" i="32"/>
  <c r="F119" i="71"/>
  <c r="H119" i="71"/>
  <c r="K119" i="71"/>
  <c r="F198" i="71"/>
  <c r="H198" i="71"/>
  <c r="F35" i="32"/>
  <c r="H35" i="32"/>
  <c r="J35" i="32"/>
  <c r="F24" i="32"/>
  <c r="F397" i="32"/>
  <c r="H397" i="32"/>
  <c r="F63" i="71"/>
  <c r="H63" i="71"/>
  <c r="K63" i="71"/>
  <c r="F444" i="32"/>
  <c r="H444" i="32"/>
  <c r="J444" i="32"/>
  <c r="F182" i="32"/>
  <c r="H182" i="32"/>
  <c r="F71" i="71"/>
  <c r="H71" i="71"/>
  <c r="F253" i="32"/>
  <c r="H253" i="32"/>
  <c r="J253" i="32"/>
  <c r="F482" i="32"/>
  <c r="H482" i="32"/>
  <c r="F144" i="71"/>
  <c r="H144" i="71"/>
  <c r="F601" i="32"/>
  <c r="H601" i="32"/>
  <c r="J601" i="32"/>
  <c r="F355" i="32"/>
  <c r="H355" i="32"/>
  <c r="F83" i="32"/>
  <c r="H83" i="32"/>
  <c r="F737" i="32"/>
  <c r="H737" i="32"/>
  <c r="J737" i="32"/>
  <c r="F686" i="32"/>
  <c r="H686" i="32"/>
  <c r="J686" i="32"/>
  <c r="F7" i="71"/>
  <c r="H7" i="71"/>
  <c r="J659" i="32"/>
  <c r="H660" i="32"/>
  <c r="J410" i="32"/>
  <c r="H616" i="32"/>
  <c r="J615" i="32"/>
  <c r="I559" i="32"/>
  <c r="H560" i="32"/>
  <c r="F41" i="32"/>
  <c r="H41" i="32"/>
  <c r="F546" i="32"/>
  <c r="H546" i="32"/>
  <c r="F77" i="32"/>
  <c r="H77" i="32"/>
  <c r="F12" i="32"/>
  <c r="H12" i="32"/>
  <c r="F29" i="32"/>
  <c r="H29" i="32"/>
  <c r="F89" i="32"/>
  <c r="H89" i="32"/>
  <c r="F101" i="32"/>
  <c r="H101" i="32"/>
  <c r="F113" i="32"/>
  <c r="H113" i="32"/>
  <c r="F12" i="71"/>
  <c r="H12" i="71"/>
  <c r="F53" i="32"/>
  <c r="H53" i="32"/>
  <c r="F65" i="32"/>
  <c r="H65" i="32"/>
  <c r="F35" i="71"/>
  <c r="H35" i="71"/>
  <c r="F125" i="32"/>
  <c r="H125" i="32"/>
  <c r="H491" i="32"/>
  <c r="D239" i="32"/>
  <c r="C239" i="32"/>
  <c r="F801" i="32"/>
  <c r="H801" i="32"/>
  <c r="G119" i="66"/>
  <c r="F16" i="71"/>
  <c r="H16" i="71"/>
  <c r="G105" i="66"/>
  <c r="F16" i="32"/>
  <c r="H16" i="32"/>
  <c r="G79" i="66"/>
  <c r="F750" i="32"/>
  <c r="H750" i="32"/>
  <c r="F208" i="32"/>
  <c r="H208" i="32"/>
  <c r="F760" i="32"/>
  <c r="H760" i="32"/>
  <c r="F771" i="32"/>
  <c r="H771" i="32"/>
  <c r="F237" i="32"/>
  <c r="H237" i="32"/>
  <c r="F165" i="32"/>
  <c r="H165" i="32"/>
  <c r="F505" i="32"/>
  <c r="H505" i="32"/>
  <c r="F295" i="32"/>
  <c r="H295" i="32"/>
  <c r="F81" i="71"/>
  <c r="H81" i="71"/>
  <c r="F443" i="32"/>
  <c r="H443" i="32"/>
  <c r="F455" i="32"/>
  <c r="H455" i="32"/>
  <c r="F267" i="32"/>
  <c r="H267" i="32"/>
  <c r="F130" i="71"/>
  <c r="H130" i="71"/>
  <c r="F252" i="32"/>
  <c r="H252" i="32"/>
  <c r="F62" i="71"/>
  <c r="H62" i="71"/>
  <c r="F154" i="71"/>
  <c r="H154" i="71"/>
  <c r="F562" i="32"/>
  <c r="H562" i="32"/>
  <c r="F223" i="32"/>
  <c r="H223" i="32"/>
  <c r="F93" i="71"/>
  <c r="H93" i="71"/>
  <c r="F493" i="32"/>
  <c r="H493" i="32"/>
  <c r="D238" i="32"/>
  <c r="C238" i="32"/>
  <c r="H152" i="71"/>
  <c r="J150" i="71"/>
  <c r="H164" i="71"/>
  <c r="J161" i="71"/>
  <c r="H42" i="71"/>
  <c r="F641" i="32"/>
  <c r="H641" i="32"/>
  <c r="I641" i="32"/>
  <c r="F627" i="32"/>
  <c r="H627" i="32"/>
  <c r="I627" i="32"/>
  <c r="G54" i="66"/>
  <c r="F655" i="32"/>
  <c r="H655" i="32"/>
  <c r="I655" i="32"/>
  <c r="F612" i="32"/>
  <c r="H612" i="32"/>
  <c r="F213" i="71"/>
  <c r="H213" i="71"/>
  <c r="H205" i="71"/>
  <c r="H209" i="71"/>
  <c r="J57" i="71"/>
  <c r="F184" i="71"/>
  <c r="H184" i="71"/>
  <c r="J184" i="71"/>
  <c r="F585" i="32"/>
  <c r="H585" i="32"/>
  <c r="I585" i="32"/>
  <c r="F626" i="32"/>
  <c r="H626" i="32"/>
  <c r="I626" i="32"/>
  <c r="G53" i="66"/>
  <c r="J137" i="71"/>
  <c r="H141" i="71"/>
  <c r="F653" i="32"/>
  <c r="H653" i="32"/>
  <c r="I653" i="32"/>
  <c r="F636" i="32"/>
  <c r="H636" i="32"/>
  <c r="G70" i="66"/>
  <c r="F291" i="32"/>
  <c r="H291" i="32"/>
  <c r="F59" i="71"/>
  <c r="H59" i="71"/>
  <c r="J59" i="71"/>
  <c r="F78" i="71"/>
  <c r="H78" i="71"/>
  <c r="J78" i="71"/>
  <c r="F233" i="32"/>
  <c r="H233" i="32"/>
  <c r="I233" i="32"/>
  <c r="F204" i="32"/>
  <c r="H204" i="32"/>
  <c r="F190" i="32"/>
  <c r="H190" i="32"/>
  <c r="F90" i="71"/>
  <c r="H90" i="71"/>
  <c r="F247" i="32"/>
  <c r="H247" i="32"/>
  <c r="F218" i="32"/>
  <c r="H218" i="32"/>
  <c r="I218" i="32"/>
  <c r="G98" i="66"/>
  <c r="G71" i="66"/>
  <c r="G91" i="66"/>
  <c r="J551" i="32"/>
  <c r="H221" i="32"/>
  <c r="H179" i="71"/>
  <c r="I5" i="66"/>
  <c r="H178" i="71"/>
  <c r="K177" i="71"/>
  <c r="H366" i="32"/>
  <c r="I361" i="32"/>
  <c r="J645" i="32"/>
  <c r="H646" i="32"/>
  <c r="I305" i="32"/>
  <c r="H310" i="32"/>
  <c r="H370" i="32"/>
  <c r="H579" i="32"/>
  <c r="H567" i="32"/>
  <c r="G52" i="34"/>
  <c r="E52" i="34"/>
  <c r="H60" i="71"/>
  <c r="H527" i="32"/>
  <c r="K216" i="71"/>
  <c r="H217" i="71"/>
  <c r="N20" i="34"/>
  <c r="H171" i="32"/>
  <c r="G20" i="34"/>
  <c r="H629" i="32"/>
  <c r="H633" i="32"/>
  <c r="H189" i="71"/>
  <c r="H586" i="32"/>
  <c r="H232" i="32"/>
  <c r="I232" i="32"/>
  <c r="C8" i="74"/>
  <c r="C7" i="66"/>
  <c r="G7" i="66"/>
  <c r="H412" i="32"/>
  <c r="H413" i="32"/>
  <c r="H401" i="32"/>
  <c r="G38" i="34"/>
  <c r="H238" i="32"/>
  <c r="J238" i="32"/>
  <c r="C10" i="66"/>
  <c r="G10" i="66"/>
  <c r="C11" i="74"/>
  <c r="L11" i="74"/>
  <c r="H234" i="32"/>
  <c r="I234" i="32"/>
  <c r="I702" i="32"/>
  <c r="H707" i="32"/>
  <c r="H711" i="32"/>
  <c r="H700" i="32"/>
  <c r="G61" i="34"/>
  <c r="H720" i="32"/>
  <c r="H726" i="32"/>
  <c r="H713" i="32"/>
  <c r="G62" i="34"/>
  <c r="E62" i="34"/>
  <c r="U237" i="32"/>
  <c r="C107" i="66"/>
  <c r="G107" i="66"/>
  <c r="C125" i="74"/>
  <c r="L125" i="74"/>
  <c r="C165" i="74"/>
  <c r="L165" i="74"/>
  <c r="L7" i="74"/>
  <c r="I190" i="32"/>
  <c r="H192" i="32"/>
  <c r="H802" i="32"/>
  <c r="H803" i="32"/>
  <c r="H796" i="32"/>
  <c r="G68" i="34"/>
  <c r="E68" i="34"/>
  <c r="J801" i="32"/>
  <c r="H214" i="71"/>
  <c r="H218" i="71"/>
  <c r="J213" i="71"/>
  <c r="K81" i="71"/>
  <c r="H83" i="71"/>
  <c r="H239" i="32"/>
  <c r="C111" i="66"/>
  <c r="G111" i="66"/>
  <c r="C128" i="74"/>
  <c r="L128" i="74"/>
  <c r="I113" i="32"/>
  <c r="H116" i="32"/>
  <c r="K7" i="71"/>
  <c r="H8" i="71"/>
  <c r="H199" i="71"/>
  <c r="H200" i="71"/>
  <c r="K198" i="71"/>
  <c r="H168" i="71"/>
  <c r="H169" i="71"/>
  <c r="K167" i="71"/>
  <c r="K51" i="71"/>
  <c r="H52" i="71"/>
  <c r="H53" i="71"/>
  <c r="E18" i="34"/>
  <c r="H18" i="34"/>
  <c r="I18" i="34"/>
  <c r="K18" i="34"/>
  <c r="L18" i="34"/>
  <c r="J208" i="32"/>
  <c r="H211" i="32"/>
  <c r="I41" i="32"/>
  <c r="H44" i="32"/>
  <c r="H7" i="32"/>
  <c r="H384" i="32"/>
  <c r="H385" i="32"/>
  <c r="J383" i="32"/>
  <c r="H36" i="32"/>
  <c r="H564" i="32"/>
  <c r="H565" i="32"/>
  <c r="H555" i="32"/>
  <c r="G51" i="34"/>
  <c r="J562" i="32"/>
  <c r="I750" i="32"/>
  <c r="H758" i="32"/>
  <c r="H613" i="32"/>
  <c r="H617" i="32"/>
  <c r="H610" i="32"/>
  <c r="G56" i="34"/>
  <c r="E56" i="34"/>
  <c r="I612" i="32"/>
  <c r="H156" i="71"/>
  <c r="K154" i="71"/>
  <c r="J295" i="32"/>
  <c r="H298" i="32"/>
  <c r="H104" i="32"/>
  <c r="I101" i="32"/>
  <c r="K71" i="71"/>
  <c r="H72" i="71"/>
  <c r="H25" i="71"/>
  <c r="K24" i="71"/>
  <c r="J282" i="32"/>
  <c r="H284" i="32"/>
  <c r="H285" i="32"/>
  <c r="H273" i="32"/>
  <c r="G29" i="34"/>
  <c r="H738" i="32"/>
  <c r="H739" i="32"/>
  <c r="H728" i="32"/>
  <c r="G63" i="34"/>
  <c r="E63" i="34"/>
  <c r="H79" i="71"/>
  <c r="H674" i="32"/>
  <c r="H663" i="32"/>
  <c r="G58" i="34"/>
  <c r="E58" i="34"/>
  <c r="H19" i="32"/>
  <c r="J16" i="32"/>
  <c r="I105" i="66"/>
  <c r="H687" i="32"/>
  <c r="H688" i="32"/>
  <c r="H676" i="32"/>
  <c r="G59" i="34"/>
  <c r="E59" i="34"/>
  <c r="H92" i="32"/>
  <c r="I89" i="32"/>
  <c r="J182" i="32"/>
  <c r="H183" i="32"/>
  <c r="H180" i="32"/>
  <c r="G21" i="34"/>
  <c r="J59" i="32"/>
  <c r="H60" i="32"/>
  <c r="J119" i="32"/>
  <c r="H120" i="32"/>
  <c r="J313" i="32"/>
  <c r="H314" i="32"/>
  <c r="H315" i="32"/>
  <c r="H590" i="32"/>
  <c r="H591" i="32"/>
  <c r="H581" i="32"/>
  <c r="G53" i="34"/>
  <c r="E53" i="34"/>
  <c r="H531" i="32"/>
  <c r="H532" i="32"/>
  <c r="H521" i="32"/>
  <c r="G48" i="34"/>
  <c r="E48" i="34"/>
  <c r="H457" i="32"/>
  <c r="H458" i="32"/>
  <c r="H448" i="32"/>
  <c r="G42" i="34"/>
  <c r="J455" i="32"/>
  <c r="K144" i="71"/>
  <c r="H145" i="71"/>
  <c r="H146" i="71"/>
  <c r="I204" i="32"/>
  <c r="H206" i="32"/>
  <c r="J223" i="32"/>
  <c r="H226" i="32"/>
  <c r="H227" i="32"/>
  <c r="H14" i="71"/>
  <c r="J12" i="71"/>
  <c r="J482" i="32"/>
  <c r="H483" i="32"/>
  <c r="H484" i="32"/>
  <c r="J431" i="32"/>
  <c r="H432" i="32"/>
  <c r="H433" i="32"/>
  <c r="H429" i="32"/>
  <c r="G40" i="34"/>
  <c r="O20" i="34"/>
  <c r="E20" i="34"/>
  <c r="H20" i="34"/>
  <c r="I20" i="34"/>
  <c r="K20" i="34"/>
  <c r="L20" i="34"/>
  <c r="H157" i="71"/>
  <c r="H64" i="71"/>
  <c r="H65" i="71"/>
  <c r="K62" i="71"/>
  <c r="H507" i="32"/>
  <c r="J505" i="32"/>
  <c r="I291" i="32"/>
  <c r="H293" i="32"/>
  <c r="S238" i="32"/>
  <c r="C110" i="66"/>
  <c r="G110" i="66"/>
  <c r="G121" i="66"/>
  <c r="C129" i="74"/>
  <c r="L129" i="74"/>
  <c r="J252" i="32"/>
  <c r="H255" i="32"/>
  <c r="H168" i="32"/>
  <c r="N18" i="34"/>
  <c r="O18" i="34"/>
  <c r="I107" i="66"/>
  <c r="J165" i="32"/>
  <c r="I125" i="32"/>
  <c r="H128" i="32"/>
  <c r="I29" i="32"/>
  <c r="H32" i="32"/>
  <c r="J83" i="32"/>
  <c r="H84" i="32"/>
  <c r="H508" i="32"/>
  <c r="L9" i="74"/>
  <c r="C167" i="74"/>
  <c r="L167" i="74"/>
  <c r="H445" i="32"/>
  <c r="N40" i="34"/>
  <c r="J443" i="32"/>
  <c r="H328" i="32"/>
  <c r="H329" i="32"/>
  <c r="J327" i="32"/>
  <c r="J425" i="32"/>
  <c r="H426" i="32"/>
  <c r="H427" i="32"/>
  <c r="H415" i="32"/>
  <c r="G39" i="34"/>
  <c r="H250" i="32"/>
  <c r="I247" i="32"/>
  <c r="H657" i="32"/>
  <c r="H661" i="32"/>
  <c r="H619" i="32"/>
  <c r="G57" i="34"/>
  <c r="E57" i="34"/>
  <c r="K130" i="71"/>
  <c r="H132" i="71"/>
  <c r="H133" i="71"/>
  <c r="J237" i="32"/>
  <c r="H19" i="71"/>
  <c r="K16" i="71"/>
  <c r="H38" i="71"/>
  <c r="H43" i="71"/>
  <c r="J35" i="71"/>
  <c r="I12" i="32"/>
  <c r="H14" i="32"/>
  <c r="H356" i="32"/>
  <c r="H357" i="32"/>
  <c r="J355" i="32"/>
  <c r="J469" i="32"/>
  <c r="H470" i="32"/>
  <c r="H471" i="32"/>
  <c r="J131" i="32"/>
  <c r="H132" i="32"/>
  <c r="H72" i="32"/>
  <c r="J71" i="32"/>
  <c r="H120" i="71"/>
  <c r="H121" i="71"/>
  <c r="H108" i="32"/>
  <c r="H109" i="32"/>
  <c r="H99" i="32"/>
  <c r="G14" i="34"/>
  <c r="H95" i="71"/>
  <c r="K93" i="71"/>
  <c r="J760" i="32"/>
  <c r="K761" i="32"/>
  <c r="L761" i="32"/>
  <c r="H762" i="32"/>
  <c r="H56" i="32"/>
  <c r="I53" i="32"/>
  <c r="I546" i="32"/>
  <c r="H549" i="32"/>
  <c r="H553" i="32"/>
  <c r="H544" i="32"/>
  <c r="G50" i="34"/>
  <c r="E64" i="49"/>
  <c r="H24" i="32"/>
  <c r="H518" i="32"/>
  <c r="H519" i="32"/>
  <c r="H510" i="32"/>
  <c r="G47" i="34"/>
  <c r="J517" i="32"/>
  <c r="J95" i="32"/>
  <c r="H96" i="32"/>
  <c r="J90" i="71"/>
  <c r="H91" i="71"/>
  <c r="H643" i="32"/>
  <c r="H647" i="32"/>
  <c r="I636" i="32"/>
  <c r="J493" i="32"/>
  <c r="H495" i="32"/>
  <c r="H496" i="32"/>
  <c r="H270" i="32"/>
  <c r="H271" i="32"/>
  <c r="J267" i="32"/>
  <c r="J771" i="32"/>
  <c r="K773" i="32"/>
  <c r="L773" i="32"/>
  <c r="H774" i="32"/>
  <c r="H775" i="32"/>
  <c r="H765" i="32"/>
  <c r="G66" i="34"/>
  <c r="E66" i="34"/>
  <c r="I65" i="32"/>
  <c r="H68" i="32"/>
  <c r="H80" i="32"/>
  <c r="I77" i="32"/>
  <c r="E38" i="34"/>
  <c r="H398" i="32"/>
  <c r="H399" i="32"/>
  <c r="J397" i="32"/>
  <c r="J143" i="32"/>
  <c r="H144" i="32"/>
  <c r="H145" i="32"/>
  <c r="H135" i="32"/>
  <c r="G17" i="34"/>
  <c r="J195" i="32"/>
  <c r="H197" i="32"/>
  <c r="H49" i="32"/>
  <c r="H602" i="32"/>
  <c r="H603" i="32"/>
  <c r="H593" i="32"/>
  <c r="G54" i="34"/>
  <c r="E54" i="34"/>
  <c r="H331" i="32"/>
  <c r="G33" i="34"/>
  <c r="N33" i="34"/>
  <c r="H20" i="71"/>
  <c r="H235" i="32"/>
  <c r="H133" i="32"/>
  <c r="H123" i="32"/>
  <c r="G16" i="34"/>
  <c r="E16" i="34"/>
  <c r="H240" i="32"/>
  <c r="H371" i="32"/>
  <c r="H763" i="32"/>
  <c r="H746" i="32"/>
  <c r="G65" i="34"/>
  <c r="E65" i="34"/>
  <c r="H169" i="32"/>
  <c r="N19" i="34"/>
  <c r="H121" i="32"/>
  <c r="H111" i="32"/>
  <c r="G15" i="34"/>
  <c r="E15" i="34"/>
  <c r="G102" i="66"/>
  <c r="C6" i="67"/>
  <c r="O61" i="34"/>
  <c r="E61" i="34"/>
  <c r="H61" i="34"/>
  <c r="I61" i="34"/>
  <c r="K61" i="34"/>
  <c r="L61" i="34"/>
  <c r="C166" i="74"/>
  <c r="L166" i="74"/>
  <c r="L175" i="74"/>
  <c r="L8" i="74"/>
  <c r="L120" i="74"/>
  <c r="H198" i="32"/>
  <c r="H186" i="32"/>
  <c r="G23" i="34"/>
  <c r="L160" i="74"/>
  <c r="H37" i="32"/>
  <c r="N8" i="34"/>
  <c r="O8" i="34"/>
  <c r="H84" i="71"/>
  <c r="G122" i="66"/>
  <c r="C7" i="67"/>
  <c r="E51" i="34"/>
  <c r="H51" i="34"/>
  <c r="I51" i="34"/>
  <c r="O51" i="34"/>
  <c r="H97" i="32"/>
  <c r="H87" i="32"/>
  <c r="G13" i="34"/>
  <c r="H15" i="34"/>
  <c r="I15" i="34"/>
  <c r="K15" i="34"/>
  <c r="L15" i="34"/>
  <c r="E29" i="34"/>
  <c r="N36" i="34"/>
  <c r="H373" i="32"/>
  <c r="G36" i="34"/>
  <c r="I111" i="66"/>
  <c r="J239" i="32"/>
  <c r="H39" i="32"/>
  <c r="G9" i="34"/>
  <c r="H473" i="32"/>
  <c r="G44" i="34"/>
  <c r="H460" i="32"/>
  <c r="H14" i="34"/>
  <c r="I14" i="34"/>
  <c r="K14" i="34"/>
  <c r="L14" i="34"/>
  <c r="E14" i="34"/>
  <c r="N25" i="34"/>
  <c r="H214" i="32"/>
  <c r="G25" i="34"/>
  <c r="H42" i="34"/>
  <c r="I42" i="34"/>
  <c r="K42" i="34"/>
  <c r="M42" i="34"/>
  <c r="E42" i="34"/>
  <c r="O42" i="34"/>
  <c r="H61" i="32"/>
  <c r="H51" i="32"/>
  <c r="G10" i="34"/>
  <c r="H8" i="32"/>
  <c r="J7" i="32"/>
  <c r="I110" i="66"/>
  <c r="E17" i="34"/>
  <c r="E39" i="34"/>
  <c r="H299" i="32"/>
  <c r="H287" i="32"/>
  <c r="G30" i="34"/>
  <c r="H85" i="32"/>
  <c r="H75" i="32"/>
  <c r="G12" i="34"/>
  <c r="E47" i="34"/>
  <c r="H47" i="34"/>
  <c r="I47" i="34"/>
  <c r="K47" i="34"/>
  <c r="L47" i="34"/>
  <c r="H446" i="32"/>
  <c r="N34" i="34"/>
  <c r="H345" i="32"/>
  <c r="G34" i="34"/>
  <c r="H20" i="32"/>
  <c r="O50" i="34"/>
  <c r="E50" i="34"/>
  <c r="H50" i="34"/>
  <c r="I50" i="34"/>
  <c r="H487" i="32"/>
  <c r="H498" i="32"/>
  <c r="G46" i="34"/>
  <c r="H33" i="34"/>
  <c r="I33" i="34"/>
  <c r="K33" i="34"/>
  <c r="L33" i="34"/>
  <c r="E33" i="34"/>
  <c r="O33" i="34"/>
  <c r="H25" i="32"/>
  <c r="J24" i="32"/>
  <c r="C9" i="67"/>
  <c r="N28" i="34"/>
  <c r="H258" i="32"/>
  <c r="G28" i="34"/>
  <c r="H387" i="32"/>
  <c r="G37" i="34"/>
  <c r="N37" i="34"/>
  <c r="H96" i="71"/>
  <c r="N32" i="34"/>
  <c r="H317" i="32"/>
  <c r="G32" i="34"/>
  <c r="H302" i="32"/>
  <c r="H256" i="32"/>
  <c r="H40" i="34"/>
  <c r="I40" i="34"/>
  <c r="K40" i="34"/>
  <c r="L40" i="34"/>
  <c r="E40" i="34"/>
  <c r="O40" i="34"/>
  <c r="E21" i="34"/>
  <c r="H21" i="34"/>
  <c r="I21" i="34"/>
  <c r="K21" i="34"/>
  <c r="L21" i="34"/>
  <c r="O21" i="34"/>
  <c r="E65" i="49"/>
  <c r="G65" i="49"/>
  <c r="G64" i="49"/>
  <c r="H73" i="32"/>
  <c r="H63" i="32"/>
  <c r="G11" i="34"/>
  <c r="I811" i="32"/>
  <c r="H212" i="32"/>
  <c r="N23" i="34"/>
  <c r="H157" i="32"/>
  <c r="G19" i="34"/>
  <c r="E19" i="34"/>
  <c r="H241" i="32"/>
  <c r="H811" i="32"/>
  <c r="L161" i="74"/>
  <c r="L178" i="74"/>
  <c r="N35" i="34"/>
  <c r="H359" i="32"/>
  <c r="G35" i="34"/>
  <c r="E13" i="34"/>
  <c r="H13" i="34"/>
  <c r="I13" i="34"/>
  <c r="K13" i="34"/>
  <c r="L13" i="34"/>
  <c r="I102" i="66"/>
  <c r="I103" i="66"/>
  <c r="E46" i="34"/>
  <c r="H46" i="34"/>
  <c r="I46" i="34"/>
  <c r="K46" i="34"/>
  <c r="L46" i="34"/>
  <c r="O36" i="34"/>
  <c r="E36" i="34"/>
  <c r="H36" i="34"/>
  <c r="I36" i="34"/>
  <c r="K36" i="34"/>
  <c r="L36" i="34"/>
  <c r="E25" i="34"/>
  <c r="O25" i="34"/>
  <c r="H25" i="34"/>
  <c r="I25" i="34"/>
  <c r="E44" i="34"/>
  <c r="H44" i="34"/>
  <c r="I44" i="34"/>
  <c r="N24" i="34"/>
  <c r="H200" i="32"/>
  <c r="G24" i="34"/>
  <c r="O23" i="34"/>
  <c r="H23" i="34"/>
  <c r="I23" i="34"/>
  <c r="E23" i="34"/>
  <c r="E11" i="34"/>
  <c r="H11" i="34"/>
  <c r="I11" i="34"/>
  <c r="K11" i="34"/>
  <c r="L11" i="34"/>
  <c r="H185" i="32"/>
  <c r="O28" i="34"/>
  <c r="E28" i="34"/>
  <c r="H28" i="34"/>
  <c r="I28" i="34"/>
  <c r="N7" i="34"/>
  <c r="H22" i="32"/>
  <c r="G7" i="34"/>
  <c r="H10" i="32"/>
  <c r="G6" i="34"/>
  <c r="N6" i="34"/>
  <c r="H5" i="32"/>
  <c r="G5" i="34"/>
  <c r="N5" i="34"/>
  <c r="H243" i="32"/>
  <c r="G27" i="34"/>
  <c r="N27" i="34"/>
  <c r="E30" i="34"/>
  <c r="H10" i="34"/>
  <c r="E10" i="34"/>
  <c r="H27" i="32"/>
  <c r="H37" i="34"/>
  <c r="I37" i="34"/>
  <c r="K37" i="34"/>
  <c r="L37" i="34"/>
  <c r="E37" i="34"/>
  <c r="O37" i="34"/>
  <c r="J811" i="32"/>
  <c r="I121" i="66"/>
  <c r="J121" i="66"/>
  <c r="H12" i="34"/>
  <c r="I12" i="34"/>
  <c r="K12" i="34"/>
  <c r="L12" i="34"/>
  <c r="E12" i="34"/>
  <c r="E34" i="34"/>
  <c r="O34" i="34"/>
  <c r="H34" i="34"/>
  <c r="I34" i="34"/>
  <c r="K34" i="34"/>
  <c r="L34" i="34"/>
  <c r="H9" i="34"/>
  <c r="E9" i="34"/>
  <c r="N41" i="34"/>
  <c r="H435" i="32"/>
  <c r="G41" i="34"/>
  <c r="H32" i="34"/>
  <c r="I32" i="34"/>
  <c r="K32" i="34"/>
  <c r="L32" i="34"/>
  <c r="E32" i="34"/>
  <c r="O32" i="34"/>
  <c r="G123" i="66"/>
  <c r="G124" i="66"/>
  <c r="C12" i="67"/>
  <c r="I123" i="66"/>
  <c r="N26" i="34"/>
  <c r="O19" i="34"/>
  <c r="H229" i="32"/>
  <c r="G26" i="34"/>
  <c r="H26" i="34"/>
  <c r="I26" i="34"/>
  <c r="H19" i="34"/>
  <c r="I19" i="34"/>
  <c r="K19" i="34"/>
  <c r="L19" i="34"/>
  <c r="O35" i="34"/>
  <c r="H35" i="34"/>
  <c r="I35" i="34"/>
  <c r="K35" i="34"/>
  <c r="L35" i="34"/>
  <c r="E35" i="34"/>
  <c r="L177" i="74"/>
  <c r="I122" i="66"/>
  <c r="J122" i="66"/>
  <c r="N71" i="34"/>
  <c r="H812" i="32"/>
  <c r="H813" i="32"/>
  <c r="K121" i="66"/>
  <c r="I10" i="34"/>
  <c r="H5" i="34"/>
  <c r="E5" i="34"/>
  <c r="G71" i="34"/>
  <c r="P41" i="34"/>
  <c r="Q10" i="34"/>
  <c r="O5" i="34"/>
  <c r="H7" i="34"/>
  <c r="O7" i="34"/>
  <c r="E7" i="34"/>
  <c r="I9" i="34"/>
  <c r="C11" i="67"/>
  <c r="G125" i="66"/>
  <c r="C13" i="67"/>
  <c r="H24" i="34"/>
  <c r="I24" i="34"/>
  <c r="E24" i="34"/>
  <c r="O24" i="34"/>
  <c r="E6" i="34"/>
  <c r="H6" i="34"/>
  <c r="O6" i="34"/>
  <c r="E26" i="34"/>
  <c r="O26" i="34"/>
  <c r="O41" i="34"/>
  <c r="E41" i="34"/>
  <c r="H41" i="34"/>
  <c r="I41" i="34"/>
  <c r="K41" i="34"/>
  <c r="L41" i="34"/>
  <c r="J815" i="32"/>
  <c r="E27" i="34"/>
  <c r="H27" i="34"/>
  <c r="I27" i="34"/>
  <c r="O27" i="34"/>
  <c r="P6" i="34"/>
  <c r="P70" i="34"/>
  <c r="P8" i="34"/>
  <c r="P22" i="34"/>
  <c r="P31" i="34"/>
  <c r="P43" i="34"/>
  <c r="P45" i="34"/>
  <c r="G72" i="34"/>
  <c r="G73" i="34"/>
  <c r="P61" i="34"/>
  <c r="P38" i="34"/>
  <c r="P18" i="34"/>
  <c r="P20" i="34"/>
  <c r="P42" i="34"/>
  <c r="P39" i="34"/>
  <c r="P35" i="34"/>
  <c r="P29" i="34"/>
  <c r="P40" i="34"/>
  <c r="P21" i="34"/>
  <c r="P14" i="34"/>
  <c r="P16" i="34"/>
  <c r="P15" i="34"/>
  <c r="P33" i="34"/>
  <c r="P50" i="34"/>
  <c r="P17" i="34"/>
  <c r="P51" i="34"/>
  <c r="P47" i="34"/>
  <c r="P36" i="34"/>
  <c r="P28" i="34"/>
  <c r="P10" i="34"/>
  <c r="P12" i="34"/>
  <c r="P9" i="34"/>
  <c r="P19" i="34"/>
  <c r="P11" i="34"/>
  <c r="P37" i="34"/>
  <c r="P32" i="34"/>
  <c r="P13" i="34"/>
  <c r="P44" i="34"/>
  <c r="P46" i="34"/>
  <c r="P30" i="34"/>
  <c r="P34" i="34"/>
  <c r="P25" i="34"/>
  <c r="P23" i="34"/>
  <c r="H814" i="32"/>
  <c r="H815" i="32"/>
  <c r="I126" i="66"/>
  <c r="C14" i="67"/>
  <c r="C15" i="67"/>
  <c r="I6" i="34"/>
  <c r="I7" i="34"/>
  <c r="P26" i="34"/>
  <c r="H71" i="34"/>
  <c r="H72" i="34"/>
  <c r="I5" i="34"/>
  <c r="P5" i="34"/>
  <c r="P27" i="34"/>
  <c r="K10" i="34"/>
  <c r="G126" i="66"/>
  <c r="K9" i="34"/>
  <c r="P24" i="34"/>
  <c r="O71" i="34"/>
  <c r="P7" i="34"/>
  <c r="Q8" i="34"/>
  <c r="G74" i="34"/>
  <c r="G75" i="34"/>
  <c r="Q5" i="34"/>
  <c r="Q7" i="34"/>
  <c r="I815" i="32"/>
  <c r="J126" i="66"/>
  <c r="N75" i="34"/>
  <c r="G127" i="66"/>
  <c r="L9" i="34"/>
  <c r="H73" i="34"/>
  <c r="M10" i="34"/>
  <c r="K7" i="34"/>
  <c r="F15" i="67"/>
  <c r="C6" i="75"/>
  <c r="C6" i="82"/>
  <c r="C10" i="82"/>
  <c r="C12" i="82"/>
  <c r="C18" i="67"/>
  <c r="C20" i="67"/>
  <c r="I71" i="34"/>
  <c r="K5" i="34"/>
  <c r="K6" i="34"/>
  <c r="Q9" i="34"/>
  <c r="Q6" i="34"/>
  <c r="K71" i="34"/>
  <c r="K72" i="34"/>
  <c r="O75" i="34"/>
  <c r="M71" i="34"/>
  <c r="M72" i="34"/>
  <c r="Q11" i="34"/>
  <c r="C17" i="82"/>
  <c r="F12" i="82"/>
  <c r="C15" i="82"/>
  <c r="H74" i="34"/>
  <c r="H75" i="34"/>
  <c r="F6" i="75"/>
  <c r="C9" i="75"/>
  <c r="C14" i="75"/>
  <c r="C15" i="75"/>
  <c r="C18" i="75"/>
  <c r="I72" i="34"/>
  <c r="I73" i="34"/>
  <c r="L7" i="34"/>
  <c r="K73" i="34"/>
  <c r="K74" i="34"/>
  <c r="K75" i="34"/>
  <c r="M73" i="34"/>
  <c r="I74" i="34"/>
  <c r="I75" i="34"/>
  <c r="L71" i="34"/>
  <c r="M74" i="34"/>
  <c r="M75" i="34"/>
  <c r="L72" i="34"/>
  <c r="L73" i="34"/>
  <c r="L74" i="34"/>
  <c r="L75" i="34"/>
</calcChain>
</file>

<file path=xl/sharedStrings.xml><?xml version="1.0" encoding="utf-8"?>
<sst xmlns="http://schemas.openxmlformats.org/spreadsheetml/2006/main" count="5053" uniqueCount="951">
  <si>
    <t>Unit</t>
  </si>
  <si>
    <t>Nos</t>
  </si>
  <si>
    <t>Particulars</t>
  </si>
  <si>
    <t>No</t>
  </si>
  <si>
    <t xml:space="preserve">Measurement </t>
  </si>
  <si>
    <t>Contents</t>
  </si>
  <si>
    <t>L</t>
  </si>
  <si>
    <t>B</t>
  </si>
  <si>
    <t>H</t>
  </si>
  <si>
    <t>Ton</t>
  </si>
  <si>
    <t>Fs</t>
  </si>
  <si>
    <t>Sud</t>
  </si>
  <si>
    <t>Ft</t>
  </si>
  <si>
    <t>Rft</t>
  </si>
  <si>
    <t>Cement</t>
  </si>
  <si>
    <t>Bag</t>
  </si>
  <si>
    <t>Sand</t>
  </si>
  <si>
    <t>Jungle Wood</t>
  </si>
  <si>
    <t>5 Ply Wood ( 8'x4' )</t>
  </si>
  <si>
    <t>Sheet</t>
  </si>
  <si>
    <t>Binding Wire</t>
  </si>
  <si>
    <t>Nails</t>
  </si>
  <si>
    <t>Earth Oil</t>
  </si>
  <si>
    <t>Gal</t>
  </si>
  <si>
    <t>Brick</t>
  </si>
  <si>
    <t>lb</t>
  </si>
  <si>
    <t xml:space="preserve">Jungle Wood </t>
  </si>
  <si>
    <t xml:space="preserve">5 Ply Wood (8'x4') </t>
  </si>
  <si>
    <t>Lbs</t>
  </si>
  <si>
    <t>Labour Cost</t>
  </si>
  <si>
    <t>Sht</t>
  </si>
  <si>
    <t>Particular</t>
  </si>
  <si>
    <t>Quantity</t>
  </si>
  <si>
    <t>Rate( Kyats )</t>
  </si>
  <si>
    <t>Per</t>
  </si>
  <si>
    <t>Amount(Ks)</t>
  </si>
  <si>
    <t>RSA</t>
  </si>
  <si>
    <t>Earth work excavating for foundation in</t>
  </si>
  <si>
    <t>medium soil</t>
  </si>
  <si>
    <t>Ø16mm MS Rod</t>
  </si>
  <si>
    <t>Sr.
No</t>
  </si>
  <si>
    <t>R/Sand</t>
  </si>
  <si>
    <t xml:space="preserve">Details of Measurement </t>
  </si>
  <si>
    <t>Deduction</t>
  </si>
  <si>
    <t>4½ thk; Brick Work in (1:3) Cement Mortar</t>
  </si>
  <si>
    <t>Sft</t>
  </si>
  <si>
    <t>M</t>
  </si>
  <si>
    <t>Roofing Screw</t>
  </si>
  <si>
    <t>Ridging</t>
  </si>
  <si>
    <t>Silicon</t>
  </si>
  <si>
    <t>Bamboo ( Wahya )</t>
  </si>
  <si>
    <t>Coir Yarn</t>
  </si>
  <si>
    <t>Viss</t>
  </si>
  <si>
    <t>Ø10mm MS Rod</t>
  </si>
  <si>
    <t>Ø6mm MS Rod</t>
  </si>
  <si>
    <t>M 20  Hight Strength Bolt &amp; Nut</t>
  </si>
  <si>
    <t>Total Materials Cost</t>
  </si>
  <si>
    <t>Total Labour Cost</t>
  </si>
  <si>
    <t>Total Materials + Labour Cost</t>
  </si>
  <si>
    <t>Stone Boulder</t>
  </si>
  <si>
    <t>Angle Fabrication &amp; Erection</t>
  </si>
  <si>
    <r>
      <t>Reinforcement ( X met 2</t>
    </r>
    <r>
      <rPr>
        <sz val="12"/>
        <rFont val="Calibri"/>
        <family val="2"/>
      </rPr>
      <t>½</t>
    </r>
    <r>
      <rPr>
        <sz val="12"/>
        <rFont val="Times New Roman"/>
        <family val="1"/>
      </rPr>
      <t xml:space="preserve"> wide )</t>
    </r>
  </si>
  <si>
    <t>Main Building</t>
  </si>
  <si>
    <t>Site clearing</t>
  </si>
  <si>
    <t>Site Clearing</t>
  </si>
  <si>
    <t xml:space="preserve">Material </t>
  </si>
  <si>
    <t xml:space="preserve">Labour </t>
  </si>
  <si>
    <t>Worker</t>
  </si>
  <si>
    <t>Carpenter</t>
  </si>
  <si>
    <t>Mason</t>
  </si>
  <si>
    <t>binding and fixing ( Assorted Size )</t>
  </si>
  <si>
    <t>Ø16 mm MS Rod</t>
  </si>
  <si>
    <t>Roller</t>
  </si>
  <si>
    <t>Sand Paper</t>
  </si>
  <si>
    <t xml:space="preserve">Thin Plus Putty </t>
  </si>
  <si>
    <t>Painter</t>
  </si>
  <si>
    <t>Roofing work</t>
  </si>
  <si>
    <t>Steel Fixer</t>
  </si>
  <si>
    <t>Amount</t>
  </si>
  <si>
    <t>Total Amount</t>
  </si>
  <si>
    <t>PAE</t>
  </si>
  <si>
    <t>Teak Door including painting</t>
  </si>
  <si>
    <t>Teak Window including painting</t>
  </si>
  <si>
    <t>White Cement</t>
  </si>
  <si>
    <t>Acid</t>
  </si>
  <si>
    <t>Bottle</t>
  </si>
  <si>
    <t>Corner Beat</t>
  </si>
  <si>
    <t>5" x 2" Chowket including painting</t>
  </si>
  <si>
    <t xml:space="preserve">GI Plain Sheet 28G (3' wide) for Gutter </t>
  </si>
  <si>
    <t>Gutter Bracket</t>
  </si>
  <si>
    <t>Down Spout</t>
  </si>
  <si>
    <r>
      <t>45</t>
    </r>
    <r>
      <rPr>
        <vertAlign val="superscript"/>
        <sz val="12"/>
        <rFont val="Times New Roman"/>
        <family val="1"/>
      </rPr>
      <t xml:space="preserve"> . </t>
    </r>
    <r>
      <rPr>
        <sz val="12"/>
        <rFont val="Times New Roman"/>
        <family val="1"/>
      </rPr>
      <t xml:space="preserve">Elbow </t>
    </r>
  </si>
  <si>
    <r>
      <t>90</t>
    </r>
    <r>
      <rPr>
        <vertAlign val="superscript"/>
        <sz val="12"/>
        <rFont val="Times New Roman"/>
        <family val="1"/>
      </rPr>
      <t xml:space="preserve"> . </t>
    </r>
    <r>
      <rPr>
        <sz val="12"/>
        <rFont val="Times New Roman"/>
        <family val="1"/>
      </rPr>
      <t>Elbow</t>
    </r>
  </si>
  <si>
    <t xml:space="preserve">Socket </t>
  </si>
  <si>
    <t>Tee</t>
  </si>
  <si>
    <t>Bill of Quantities RC Work ( Materials )</t>
  </si>
  <si>
    <t>Bill of Quantities RC Work (Labour)</t>
  </si>
  <si>
    <t xml:space="preserve">Steel Structure Painting </t>
  </si>
  <si>
    <t xml:space="preserve">Total </t>
  </si>
  <si>
    <t>Rate(Kyats)</t>
  </si>
  <si>
    <t>Anchor Bolt &amp; Nut</t>
  </si>
  <si>
    <t>Teak Pannel Door including painting</t>
  </si>
  <si>
    <t>Teak Pannel Window including painting</t>
  </si>
  <si>
    <t>4"x4"  Glazed Tiles in Cement mortar ( 1:3 )</t>
  </si>
  <si>
    <t>Pump House</t>
  </si>
  <si>
    <t>Apron &amp; Drain</t>
  </si>
  <si>
    <t>Steel Handrail</t>
  </si>
  <si>
    <t xml:space="preserve">4 Angle Metal Sheet Roofing </t>
  </si>
  <si>
    <t>Slab</t>
  </si>
  <si>
    <t xml:space="preserve">12mm thk M.S Plate  </t>
  </si>
  <si>
    <t>4"x4" Glazes Tile ( Malay )</t>
  </si>
  <si>
    <t xml:space="preserve">                                                                      </t>
  </si>
  <si>
    <t xml:space="preserve">    </t>
  </si>
  <si>
    <t>Ground  Floor</t>
  </si>
  <si>
    <t xml:space="preserve">                            </t>
  </si>
  <si>
    <t xml:space="preserve">Timber shuttering Formwork </t>
  </si>
  <si>
    <t>1'x1'  Glazed Tiles in Cement mortar ( 1:3 )</t>
  </si>
  <si>
    <t>Bath &amp; W.C</t>
  </si>
  <si>
    <t>W.C</t>
  </si>
  <si>
    <t>Varendah</t>
  </si>
  <si>
    <t>Ø18 mm MS Rod</t>
  </si>
  <si>
    <t>Ø8mm MS Rod</t>
  </si>
  <si>
    <t>1'x1' Glazed Tiles</t>
  </si>
  <si>
    <t>Ø12mm MS Rod</t>
  </si>
  <si>
    <t>Red Oxide Painting</t>
  </si>
  <si>
    <t xml:space="preserve">rdw¬Dvmc&amp;dkif? 0rf;wGif;jrdKU (4)cef;wGJ(3)xyf </t>
  </si>
  <si>
    <t>3" x 1½" Purlin</t>
  </si>
  <si>
    <t>D1</t>
  </si>
  <si>
    <t xml:space="preserve"> </t>
  </si>
  <si>
    <t>Line A to K</t>
  </si>
  <si>
    <t>Line 2,7</t>
  </si>
  <si>
    <t>Line 3,6</t>
  </si>
  <si>
    <t>Bet Line 4 &amp; 5</t>
  </si>
  <si>
    <t>Stair area</t>
  </si>
  <si>
    <t>First Floor to Fourth</t>
  </si>
  <si>
    <t>Bet Line 7 &amp; 8</t>
  </si>
  <si>
    <t>D2</t>
  </si>
  <si>
    <t>W1</t>
  </si>
  <si>
    <t>W2</t>
  </si>
  <si>
    <t>W3</t>
  </si>
  <si>
    <t>W4</t>
  </si>
  <si>
    <t>Kitchen,W.C</t>
  </si>
  <si>
    <t>P.V.C Door</t>
  </si>
  <si>
    <t>Surveyor</t>
  </si>
  <si>
    <t>Ø20 mm MS Rod</t>
  </si>
  <si>
    <t>မီးဖိုခံု</t>
  </si>
  <si>
    <t>Ground Tank (8000 Gals)</t>
  </si>
  <si>
    <t>Septic Tank (For 200 persons)</t>
  </si>
  <si>
    <t>4" x 2" Chowket including painting</t>
  </si>
  <si>
    <t>Gypsum Board Ceiling</t>
  </si>
  <si>
    <t>Gypsum Board Ceiling(4mm)</t>
  </si>
  <si>
    <t>Ground Floor</t>
  </si>
  <si>
    <t>Emulsion Paint</t>
  </si>
  <si>
    <t>Iron Grille Work</t>
  </si>
  <si>
    <t>Doz</t>
  </si>
  <si>
    <t>Putty Towel</t>
  </si>
  <si>
    <t>F &amp; R</t>
  </si>
  <si>
    <t>Earth</t>
  </si>
  <si>
    <t>Con;Road</t>
  </si>
  <si>
    <t>Ele</t>
  </si>
  <si>
    <t>Mecha</t>
  </si>
  <si>
    <t>Total of
 each</t>
  </si>
  <si>
    <t xml:space="preserve">First to Fifth  Floor </t>
  </si>
  <si>
    <t>32'-0" x 36'-0" Span</t>
  </si>
  <si>
    <t>Ø25 mm MS Rod</t>
  </si>
  <si>
    <t>Bath &amp; WC</t>
  </si>
  <si>
    <t>8"x12" Wall Glazed Tiles in Cement mortar ( 1:3 )</t>
  </si>
  <si>
    <t>Kitchen</t>
  </si>
  <si>
    <t>Wall</t>
  </si>
  <si>
    <t>12"x12" Floor Glazed Tiles in Cement mortar ( 1:3 )</t>
  </si>
  <si>
    <t>Floor</t>
  </si>
  <si>
    <t xml:space="preserve">3" x 3" Angle </t>
  </si>
  <si>
    <t>Kg</t>
  </si>
  <si>
    <t>Purlin Cleat</t>
  </si>
  <si>
    <t>M16 Bolt &amp;  Nuts</t>
  </si>
  <si>
    <t>M12 Bolt &amp; Nuts</t>
  </si>
  <si>
    <t xml:space="preserve">12 mm thk; M.S Plate </t>
  </si>
  <si>
    <t>Timber Louver Door</t>
  </si>
  <si>
    <t>Putty</t>
  </si>
  <si>
    <t>Putty Tower</t>
  </si>
  <si>
    <t xml:space="preserve">Bamboo </t>
  </si>
  <si>
    <t xml:space="preserve">8"x12" Glazes Tile </t>
  </si>
  <si>
    <t xml:space="preserve">12"x12" Glazes Tile </t>
  </si>
  <si>
    <t>No.</t>
  </si>
  <si>
    <t xml:space="preserve">16 mm thk; M.S Base Plate </t>
  </si>
  <si>
    <t>Labour</t>
  </si>
  <si>
    <t xml:space="preserve">4" PVC Down Take Pipe </t>
  </si>
  <si>
    <t>45˚ Elbow</t>
  </si>
  <si>
    <t>90˚ Elbow</t>
  </si>
  <si>
    <t>Socket</t>
  </si>
  <si>
    <t>Down Take Pipe Bracket</t>
  </si>
  <si>
    <t>Screw</t>
  </si>
  <si>
    <t>Colour Paint</t>
  </si>
  <si>
    <t>5" x2" Chowket including painting</t>
  </si>
  <si>
    <t xml:space="preserve"> Teak Door including painting</t>
  </si>
  <si>
    <t>Shera Board Ceiling ( Including Painting )</t>
  </si>
  <si>
    <t>Ø6.5mm MS Rod</t>
  </si>
  <si>
    <t>Iron Grille Work (M+L)</t>
  </si>
  <si>
    <t>Reinforcement ( X met 2½ wide )</t>
  </si>
  <si>
    <t>Original</t>
  </si>
  <si>
    <t>3" x 2" Lip Purlin</t>
  </si>
  <si>
    <t>Aluminium Window (M+L)</t>
  </si>
  <si>
    <t>Aluminium Louver Window  (M+L)</t>
  </si>
  <si>
    <t>Steel Handrail  (M+L)</t>
  </si>
  <si>
    <t>B Bar</t>
  </si>
  <si>
    <t>T Bar</t>
  </si>
  <si>
    <t>119'-0" x 79'-0" x 71' -5"(8 Unit 6 Storyed)</t>
  </si>
  <si>
    <t>PRICE</t>
  </si>
  <si>
    <t>Dedu-
ction</t>
  </si>
  <si>
    <t>Cabinet</t>
  </si>
  <si>
    <t>Measurement</t>
  </si>
  <si>
    <t>Content</t>
  </si>
  <si>
    <t>Total of
Each</t>
  </si>
  <si>
    <t>Details of Measurement</t>
  </si>
  <si>
    <t>Builder's Estimate</t>
  </si>
  <si>
    <t>Rate</t>
  </si>
  <si>
    <t>TL01A (2'-6"x6'-6")</t>
  </si>
  <si>
    <t>TL01 (2'-6"x6'-6")</t>
  </si>
  <si>
    <t>Aluminium Frame Casement Window With Glazing</t>
  </si>
  <si>
    <t>Aluminium Frame Fixed Panel With Glazing</t>
  </si>
  <si>
    <t>%Fs</t>
  </si>
  <si>
    <t>=</t>
  </si>
  <si>
    <t>%Fc</t>
  </si>
  <si>
    <t>M.S reinforCement work including cutting,</t>
  </si>
  <si>
    <t xml:space="preserve">  </t>
  </si>
  <si>
    <t>120'-0" x 54'-0" x 70' -6"(8 Unit 6 Storeyed Dormitory) Gant Ghaw</t>
  </si>
  <si>
    <t>P.A.E</t>
  </si>
  <si>
    <t xml:space="preserve">Rebar Size </t>
  </si>
  <si>
    <t>SI</t>
  </si>
  <si>
    <t>US</t>
  </si>
  <si>
    <t>Linear Weight</t>
  </si>
  <si>
    <t>lb/ft</t>
  </si>
  <si>
    <t>Kg/m</t>
  </si>
  <si>
    <t>Diameter</t>
  </si>
  <si>
    <t>in</t>
  </si>
  <si>
    <t>mm</t>
  </si>
  <si>
    <t>Lateral Area</t>
  </si>
  <si>
    <t>in2</t>
  </si>
  <si>
    <t>mm2</t>
  </si>
  <si>
    <r>
      <t>1</t>
    </r>
    <r>
      <rPr>
        <b/>
        <u/>
        <vertAlign val="superscript"/>
        <sz val="11"/>
        <rFont val="Times New Roman"/>
        <family val="1"/>
      </rPr>
      <t>st</t>
    </r>
    <r>
      <rPr>
        <b/>
        <u/>
        <sz val="11"/>
        <rFont val="Times New Roman"/>
        <family val="1"/>
      </rPr>
      <t xml:space="preserve"> to 5</t>
    </r>
    <r>
      <rPr>
        <b/>
        <u/>
        <vertAlign val="superscript"/>
        <sz val="11"/>
        <rFont val="Times New Roman"/>
        <family val="1"/>
      </rPr>
      <t>th</t>
    </r>
    <r>
      <rPr>
        <b/>
        <u/>
        <sz val="11"/>
        <rFont val="Times New Roman"/>
        <family val="1"/>
      </rPr>
      <t xml:space="preserve"> Floor</t>
    </r>
  </si>
  <si>
    <r>
      <t>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to 5</t>
    </r>
    <r>
      <rPr>
        <vertAlign val="superscript"/>
        <sz val="11"/>
        <rFont val="Times New Roman"/>
        <family val="1"/>
      </rPr>
      <t>th</t>
    </r>
    <r>
      <rPr>
        <sz val="11"/>
        <rFont val="Times New Roman"/>
        <family val="1"/>
      </rPr>
      <t xml:space="preserve"> Floor</t>
    </r>
  </si>
  <si>
    <t>1.5" thk; ( 1:2:4) Concrete work              (Floor Topping)</t>
  </si>
  <si>
    <t>Smith</t>
  </si>
  <si>
    <t xml:space="preserve">Builder's Estimate  </t>
  </si>
  <si>
    <t>(5% Wastage)</t>
  </si>
  <si>
    <t>Kyats</t>
  </si>
  <si>
    <t xml:space="preserve">8"x12" Glazes Wall Tiles </t>
  </si>
  <si>
    <t>12"x12" Glazes Floor Tiles</t>
  </si>
  <si>
    <t>2,968 Rft   x 250 Ks</t>
  </si>
  <si>
    <t>14,606 Sht   x 400 Ks</t>
  </si>
  <si>
    <t>6,230 Sht   x 600 Ks</t>
  </si>
  <si>
    <t>2 Inches Casement
with 4mm Glass</t>
  </si>
  <si>
    <t>3 Inches Slide Door
with 4mm Glass</t>
  </si>
  <si>
    <t>Royal AAA</t>
  </si>
  <si>
    <t>Amount(Kyats)</t>
  </si>
  <si>
    <t>R.I.E.C Group of Co.,Ltd.</t>
  </si>
  <si>
    <t>Aluminium Frame Sliding Window
 With Glazing</t>
  </si>
  <si>
    <t>Aluminium Frame Fixed Fanlight
 Window With Glazing</t>
  </si>
  <si>
    <t>(30% Off)</t>
  </si>
  <si>
    <t>Aluminium Window (Gant Gaw)</t>
  </si>
  <si>
    <t>Kitchen Counter Door</t>
  </si>
  <si>
    <t xml:space="preserve">Minbu </t>
  </si>
  <si>
    <t>-</t>
  </si>
  <si>
    <t>Auxiliary Work</t>
  </si>
  <si>
    <t>M&amp;E Work</t>
  </si>
  <si>
    <t>Topping Work</t>
  </si>
  <si>
    <t>Total</t>
  </si>
  <si>
    <t>Grand Total</t>
  </si>
  <si>
    <t>F.A</t>
  </si>
  <si>
    <t>Tender Amount</t>
  </si>
  <si>
    <t>Remark:</t>
  </si>
  <si>
    <t>Bath&amp;WC,Kitchen - Beam 6 ထပ္စာက်န္</t>
  </si>
  <si>
    <t>Min့hla</t>
  </si>
  <si>
    <t>Bath&amp;WC,Kitchen - Beam 5 ထပ္စာ</t>
  </si>
  <si>
    <t>Extra Beam</t>
  </si>
  <si>
    <t>Kitchen Counter 1 ခုပို</t>
  </si>
  <si>
    <t>Window sunshade</t>
  </si>
  <si>
    <t>Cantilever Slab (Green area, Roof,Verandah)</t>
  </si>
  <si>
    <t>Topping - 9,300,000</t>
  </si>
  <si>
    <t>Ceiling - 1,989,000</t>
  </si>
  <si>
    <t>Kitchen Counter Door - 3,267,810</t>
  </si>
  <si>
    <t>Glazed Tile(8"x12")Wall - 8,823,000 (91 Sud)</t>
  </si>
  <si>
    <t>Gant Gaw</t>
  </si>
  <si>
    <t>Miscellaneous</t>
  </si>
  <si>
    <t>ကြာဟေငြ</t>
  </si>
  <si>
    <t>All Total</t>
  </si>
  <si>
    <t>မင္းဘူးႏွင့္မင္းလွ</t>
  </si>
  <si>
    <t>(+6%) Contingency</t>
  </si>
  <si>
    <t>ကြာဟေငြ(All)</t>
  </si>
  <si>
    <t>Earth Cutting</t>
  </si>
  <si>
    <t>M&amp;E</t>
  </si>
  <si>
    <t>B.W</t>
  </si>
  <si>
    <t xml:space="preserve">M.S Rod </t>
  </si>
  <si>
    <t>Aluminium</t>
  </si>
  <si>
    <t>I.G</t>
  </si>
  <si>
    <t>Handrail</t>
  </si>
  <si>
    <t>Bamboo</t>
  </si>
  <si>
    <t>X- met</t>
  </si>
  <si>
    <t>Commercial Tax</t>
  </si>
  <si>
    <t>Ground Tank</t>
  </si>
  <si>
    <t>Ø25mm (3.85 Kg/m)</t>
  </si>
  <si>
    <t>Cft</t>
  </si>
  <si>
    <t>Bags</t>
  </si>
  <si>
    <t>River Shingle</t>
  </si>
  <si>
    <t>Nos.</t>
  </si>
  <si>
    <t>Line A</t>
  </si>
  <si>
    <t>Steel Structure Painting Work</t>
  </si>
  <si>
    <t>Bill  Of  Quantities</t>
  </si>
  <si>
    <t>Remark</t>
  </si>
  <si>
    <t>Material Cost</t>
  </si>
  <si>
    <t>Suds</t>
  </si>
  <si>
    <t xml:space="preserve">Total Material Cost </t>
  </si>
  <si>
    <t>Summary</t>
  </si>
  <si>
    <t>ItemNo.</t>
  </si>
  <si>
    <t>D/H</t>
  </si>
  <si>
    <t>%Sft</t>
  </si>
  <si>
    <t>%Cft</t>
  </si>
  <si>
    <t>Sr.
No.</t>
  </si>
  <si>
    <t>Material Transporting Cost</t>
  </si>
  <si>
    <t>Total Transporting Cost</t>
  </si>
  <si>
    <t>Total Cost</t>
  </si>
  <si>
    <t>Material Transporting Work</t>
  </si>
  <si>
    <t>Cement Transporting Work</t>
  </si>
  <si>
    <t>(For 1 Bag)</t>
  </si>
  <si>
    <t>Loading</t>
  </si>
  <si>
    <t>Unloading</t>
  </si>
  <si>
    <t>For 1 Ton</t>
  </si>
  <si>
    <t>For 1 Bag</t>
  </si>
  <si>
    <t>For 1 Sud</t>
  </si>
  <si>
    <t>Timber Transporting Work</t>
  </si>
  <si>
    <t>(For 1 Ton)</t>
  </si>
  <si>
    <t>Carrying to Work Site</t>
  </si>
  <si>
    <t>MS Rod Transporting Work</t>
  </si>
  <si>
    <t>MS Rod</t>
  </si>
  <si>
    <t>Abstract of Labour &amp; Material List</t>
  </si>
  <si>
    <t>(Nos.)</t>
  </si>
  <si>
    <t>Materials</t>
  </si>
  <si>
    <t>(Ton)</t>
  </si>
  <si>
    <t>(Viss)</t>
  </si>
  <si>
    <t>Sand Filling Work</t>
  </si>
  <si>
    <t>(1:2:4) RC Concrete</t>
  </si>
  <si>
    <t>(1:2:4) RC Concrete Work</t>
  </si>
  <si>
    <t>Ø16mm (1.58 Kg/m)(5/8")</t>
  </si>
  <si>
    <t>Ø12mm (0.888 Kg/m)(½")</t>
  </si>
  <si>
    <t>Ø6.5mm (0.261 Kg/m)(¼")</t>
  </si>
  <si>
    <t>Say (For 1 No.)</t>
  </si>
  <si>
    <t>Total of each</t>
  </si>
  <si>
    <t>Surveying &amp; Levelling Work</t>
  </si>
  <si>
    <t>Earth Work Excavating for Foundation</t>
  </si>
  <si>
    <t>Retaining Wall</t>
  </si>
  <si>
    <t>Front Stair</t>
  </si>
  <si>
    <t>Timber Shuttering Formwork</t>
  </si>
  <si>
    <t>(1:3:6) Lean Concrete</t>
  </si>
  <si>
    <t>Footing</t>
  </si>
  <si>
    <t>(1:2:4) RCC Work</t>
  </si>
  <si>
    <t>Column</t>
  </si>
  <si>
    <t>Providing and laying of (1:3:6) Lean Concrete Work</t>
  </si>
  <si>
    <t>Brick Work in (1:3) Cement Mortar</t>
  </si>
  <si>
    <t>Retaining Wall (9" thk;)</t>
  </si>
  <si>
    <t>½" thk; Plastering Work in (1:3) Cement Mortar</t>
  </si>
  <si>
    <t>Tread</t>
  </si>
  <si>
    <t>Riser</t>
  </si>
  <si>
    <t>4"x2" Hollow</t>
  </si>
  <si>
    <t>2"x2" Hollow</t>
  </si>
  <si>
    <t>1"x1" Hollow</t>
  </si>
  <si>
    <t>Roofing Work</t>
  </si>
  <si>
    <t>Exhaust Fan</t>
  </si>
  <si>
    <t>Door &amp; Window Work</t>
  </si>
  <si>
    <t>viss</t>
  </si>
  <si>
    <t>Earthwork Excavation for foundation in medium soil</t>
  </si>
  <si>
    <t>9" thk; Hardcore Stone Work with Sand Filling</t>
  </si>
  <si>
    <t>( 1:3:6 ) Cement Concrete Work with River Shingle</t>
  </si>
  <si>
    <t>Sand Filling Work, watering &amp; Ramming</t>
  </si>
  <si>
    <t>Surface Preparation Before Painting with Putty</t>
  </si>
  <si>
    <t xml:space="preserve">Putty </t>
  </si>
  <si>
    <t>Brick Wall Painting</t>
  </si>
  <si>
    <t>Steel Structure Fabrication &amp; Erection Work</t>
  </si>
  <si>
    <t>Labour Cost for Steel Structure Fabrication and Erection Work</t>
  </si>
  <si>
    <t>Enamel Paint</t>
  </si>
  <si>
    <t>4-Angle Sheet</t>
  </si>
  <si>
    <t>Roofing Nail</t>
  </si>
  <si>
    <t>Eave &amp; Verge Board Work</t>
  </si>
  <si>
    <t>6"x1" Shera Board</t>
  </si>
  <si>
    <t>Exhaust Fan Work</t>
  </si>
  <si>
    <t>Other Construction Materials</t>
  </si>
  <si>
    <t>Trip</t>
  </si>
  <si>
    <t>Grand Total Cost</t>
  </si>
  <si>
    <t>Brick Transporting Work</t>
  </si>
  <si>
    <t>(For 1 No.)</t>
  </si>
  <si>
    <t>For 1000 Nos.</t>
  </si>
  <si>
    <t>For 1 No.</t>
  </si>
  <si>
    <t>Total (Material+Labour) Cost</t>
  </si>
  <si>
    <t>(Bags)</t>
  </si>
  <si>
    <t>(Suds)</t>
  </si>
  <si>
    <t>(Sheet)</t>
  </si>
  <si>
    <t>(Gal)</t>
  </si>
  <si>
    <t>(Doz)</t>
  </si>
  <si>
    <t>(Rft)</t>
  </si>
  <si>
    <t>(Sft)</t>
  </si>
  <si>
    <t>1.5" thk; ( 1:2:4) Concrete work (Floor Topping)</t>
  </si>
  <si>
    <t>ANALYSIS OF LABOUR &amp; MATERIAL ISSUE RATE</t>
  </si>
  <si>
    <t>Rebar Work</t>
  </si>
  <si>
    <t>Total M.S Rod</t>
  </si>
  <si>
    <t>5%Wastage</t>
  </si>
  <si>
    <t>Total M.S Rod (5% Wastage)</t>
  </si>
  <si>
    <t>Plinth Beam</t>
  </si>
  <si>
    <t>Roof Beam</t>
  </si>
  <si>
    <t>4½"thk; Brick Walling Work</t>
  </si>
  <si>
    <t>4½"thk; Brick Wall</t>
  </si>
  <si>
    <t>Reinforcement X-met</t>
  </si>
  <si>
    <t>M.S reinforCement work including cutting, binding and fixing ( Assorted Size )</t>
  </si>
  <si>
    <t>Ridging Work</t>
  </si>
  <si>
    <t>Galvd. Iron ridge with GI Screws</t>
  </si>
  <si>
    <t>Window (UPVC) (M+L)</t>
  </si>
  <si>
    <t>Door (UPVC) (M+L)</t>
  </si>
  <si>
    <t>P-1, No.1</t>
  </si>
  <si>
    <t>P-8, No.51</t>
  </si>
  <si>
    <t>Mile</t>
  </si>
  <si>
    <t>(For 1 Sud)</t>
  </si>
  <si>
    <t>6"x1" Shera Board (M+L)</t>
  </si>
  <si>
    <r>
      <t>Smooth Road (1</t>
    </r>
    <r>
      <rPr>
        <vertAlign val="superscript"/>
        <sz val="12"/>
        <rFont val="Pyidaungsu"/>
        <family val="2"/>
      </rPr>
      <t>st</t>
    </r>
    <r>
      <rPr>
        <sz val="12"/>
        <rFont val="Pyidaungsu"/>
        <family val="2"/>
      </rPr>
      <t xml:space="preserve"> Mile)</t>
    </r>
  </si>
  <si>
    <r>
      <t>Rough Road (1</t>
    </r>
    <r>
      <rPr>
        <vertAlign val="superscript"/>
        <sz val="12"/>
        <rFont val="Pyidaungsu"/>
        <family val="2"/>
      </rPr>
      <t>st</t>
    </r>
    <r>
      <rPr>
        <sz val="12"/>
        <rFont val="Pyidaungsu"/>
        <family val="2"/>
      </rPr>
      <t xml:space="preserve"> Mile)</t>
    </r>
  </si>
  <si>
    <t>Broken Brick</t>
  </si>
  <si>
    <t>Broken Brick Transporting Work</t>
  </si>
  <si>
    <t>P-18, No.18</t>
  </si>
  <si>
    <t>P-12, No.4a</t>
  </si>
  <si>
    <t>P-12, No.4b</t>
  </si>
  <si>
    <t>P-13, No.4e</t>
  </si>
  <si>
    <t>P-13, No.4f</t>
  </si>
  <si>
    <t>P-11, No.36</t>
  </si>
  <si>
    <t>P-11, No.23</t>
  </si>
  <si>
    <t>P-11, No.24</t>
  </si>
  <si>
    <t>P-12, No.1a</t>
  </si>
  <si>
    <t>P-12, No.1b</t>
  </si>
  <si>
    <t>P-12, No.3a</t>
  </si>
  <si>
    <t>P-12, No.3b</t>
  </si>
  <si>
    <t>Sand Transporting Work</t>
  </si>
  <si>
    <t>River Shingle Transporting Work</t>
  </si>
  <si>
    <t>P-12, No.3d</t>
  </si>
  <si>
    <t>P-12, No.3e</t>
  </si>
  <si>
    <t>P-11, No.29</t>
  </si>
  <si>
    <t>P-11, No.35</t>
  </si>
  <si>
    <t>P-12, No.2a</t>
  </si>
  <si>
    <t>P-12, No.2b</t>
  </si>
  <si>
    <t>P-11, No.25</t>
  </si>
  <si>
    <t>P-11, No.26</t>
  </si>
  <si>
    <t>P-11, No.27</t>
  </si>
  <si>
    <t>P-11, No.28</t>
  </si>
  <si>
    <t>Mark&amp;Type Skirt</t>
  </si>
  <si>
    <t>Bar Diameter</t>
  </si>
  <si>
    <t>Spacing</t>
  </si>
  <si>
    <t>No of Bars</t>
  </si>
  <si>
    <t>Length of Bars</t>
  </si>
  <si>
    <t>Total Length</t>
  </si>
  <si>
    <t>Total Quantity ( Tensile)</t>
  </si>
  <si>
    <t>Qty</t>
  </si>
  <si>
    <t>Cover</t>
  </si>
  <si>
    <t>Bottom Bar</t>
  </si>
  <si>
    <t>F1</t>
  </si>
  <si>
    <t>Main Bar</t>
  </si>
  <si>
    <t>F2</t>
  </si>
  <si>
    <t>F3</t>
  </si>
  <si>
    <t>C1</t>
  </si>
  <si>
    <t>Stirrup</t>
  </si>
  <si>
    <t>Dowel</t>
  </si>
  <si>
    <t>Beam</t>
  </si>
  <si>
    <t>Total Length(m)</t>
  </si>
  <si>
    <t>total of Each(kg)</t>
  </si>
  <si>
    <t>Total Kg</t>
  </si>
  <si>
    <t>Total Ton</t>
  </si>
  <si>
    <t xml:space="preserve">Total 5% wastage </t>
  </si>
  <si>
    <t>Line B</t>
  </si>
  <si>
    <t>Line 2</t>
  </si>
  <si>
    <t>Line 3</t>
  </si>
  <si>
    <t>Line C</t>
  </si>
  <si>
    <t>Hardwood Door Work</t>
  </si>
  <si>
    <t>Wood Chowket Work</t>
  </si>
  <si>
    <t>Back Stair</t>
  </si>
  <si>
    <t>PB1</t>
  </si>
  <si>
    <t>RB1</t>
  </si>
  <si>
    <t>Roof Slab</t>
  </si>
  <si>
    <t>RS1</t>
  </si>
  <si>
    <t>5% of Each(kg)</t>
  </si>
  <si>
    <t>16mm</t>
  </si>
  <si>
    <t>10mm</t>
  </si>
  <si>
    <t>Ø 10mm (0.62 Kg/m)</t>
  </si>
  <si>
    <t>Ø16mm (1.58 Kg/m)</t>
  </si>
  <si>
    <t>Lb</t>
  </si>
  <si>
    <t>2"x2" Angle</t>
  </si>
  <si>
    <t>Gypsum Board</t>
  </si>
  <si>
    <t>5"x2" Chowket</t>
  </si>
  <si>
    <t>Material</t>
  </si>
  <si>
    <t>2'x1' Granite</t>
  </si>
  <si>
    <t>M.S Reinforcement work including cutting, binding and fixing ( Assorted Size )</t>
  </si>
  <si>
    <t>Ø10mm (0.62 Kg/m)(⅜")</t>
  </si>
  <si>
    <t>Ø16mm (1.58 Kg/m)(⅝")</t>
  </si>
  <si>
    <t>Wood Oil (Two Coat)</t>
  </si>
  <si>
    <t>Labour Cost for Gypsum Board Walling Work</t>
  </si>
  <si>
    <t>Back Filling Work</t>
  </si>
  <si>
    <t>Excavated Volume</t>
  </si>
  <si>
    <t>Hardcore</t>
  </si>
  <si>
    <t>Lean</t>
  </si>
  <si>
    <t>Door (Aluminium)</t>
  </si>
  <si>
    <t>Labour Cost for Door (Aluminium)</t>
  </si>
  <si>
    <t>Window (Aluminium)</t>
  </si>
  <si>
    <t>Labour Cost for Window (Aluminium)</t>
  </si>
  <si>
    <t>Fixed Glass</t>
  </si>
  <si>
    <t>Labour Cost for Fixed Glass</t>
  </si>
  <si>
    <t>Red Oxide</t>
  </si>
  <si>
    <t>Tinder</t>
  </si>
  <si>
    <t>Paint Brush</t>
  </si>
  <si>
    <r>
      <t>Smooth Road (2</t>
    </r>
    <r>
      <rPr>
        <vertAlign val="superscript"/>
        <sz val="12"/>
        <rFont val="Pyidaungsu"/>
        <family val="2"/>
      </rPr>
      <t>nd</t>
    </r>
    <r>
      <rPr>
        <sz val="12"/>
        <rFont val="Pyidaungsu"/>
        <family val="2"/>
      </rPr>
      <t xml:space="preserve"> (3)Mile)</t>
    </r>
  </si>
  <si>
    <r>
      <t>Rough Road (2</t>
    </r>
    <r>
      <rPr>
        <vertAlign val="superscript"/>
        <sz val="12"/>
        <rFont val="Pyidaungsu"/>
        <family val="2"/>
      </rPr>
      <t>nd</t>
    </r>
    <r>
      <rPr>
        <sz val="12"/>
        <rFont val="Pyidaungsu"/>
        <family val="2"/>
      </rPr>
      <t xml:space="preserve"> (1)Mile)</t>
    </r>
  </si>
  <si>
    <t>Smooth Road (4 Mile)</t>
  </si>
  <si>
    <t>Rough Road (2 Mile)</t>
  </si>
  <si>
    <t>Area</t>
  </si>
  <si>
    <t>PAE Rate</t>
  </si>
  <si>
    <t>Sq-ft</t>
  </si>
  <si>
    <t>per Sq-ft</t>
  </si>
  <si>
    <t>Bo Bo</t>
  </si>
  <si>
    <t>10% Add</t>
  </si>
  <si>
    <t>Old</t>
  </si>
  <si>
    <t>L/B</t>
  </si>
  <si>
    <t>Q'ty</t>
  </si>
  <si>
    <t>Nos./ton</t>
  </si>
  <si>
    <t>10mm @ 4"~6"c/c Tie</t>
  </si>
  <si>
    <t>8mm</t>
  </si>
  <si>
    <t>Ø6.5mm (0.26 Kg/m)(¼")</t>
  </si>
  <si>
    <t>Date :</t>
  </si>
  <si>
    <t>Transportation Charges</t>
  </si>
  <si>
    <t>Supervision Charges</t>
  </si>
  <si>
    <t>5"x2½" Hollow (1.4mm thk;)</t>
  </si>
  <si>
    <t>5"x5" Hollow (1.4mm thk;)</t>
  </si>
  <si>
    <t>4"x2" Hollow (1.4mm thk;)</t>
  </si>
  <si>
    <t>3"x1½" Hollow (1.2mm thk;)</t>
  </si>
  <si>
    <t>Fuel</t>
  </si>
  <si>
    <t>Machine Driver</t>
  </si>
  <si>
    <t>6"x9" Stone Boulder</t>
  </si>
  <si>
    <t>Short Column</t>
  </si>
  <si>
    <t>Line 1</t>
  </si>
  <si>
    <t>Line 4</t>
  </si>
  <si>
    <t>Top Bar</t>
  </si>
  <si>
    <t>10mm @ 4"~6"c/c Stirrup</t>
  </si>
  <si>
    <t>3-16mm Top &amp; 3-16mm Bottom</t>
  </si>
  <si>
    <t>20mm</t>
  </si>
  <si>
    <t>12mm</t>
  </si>
  <si>
    <t>Ø12mm (0.89 Kg/m)</t>
  </si>
  <si>
    <t>Ø20mm (2.47 Kg/m)</t>
  </si>
  <si>
    <t>မြေပြန်ဖြည့်ခ</t>
  </si>
  <si>
    <t>Backhoe 1 duty</t>
  </si>
  <si>
    <t>Foundation Work with Bored Pile</t>
  </si>
  <si>
    <t xml:space="preserve">19'-5"~26'-3"x42'-7"x44'-0" Ht; (Foundation Work) </t>
  </si>
  <si>
    <t>Foundation Work without Bored Pile</t>
  </si>
  <si>
    <t>Difference</t>
  </si>
  <si>
    <t>Total Extra Charges for Bored Pile</t>
  </si>
  <si>
    <t>Line 1'</t>
  </si>
  <si>
    <t>Retaining Wall (13½" thk;)</t>
  </si>
  <si>
    <t>Mobilization</t>
  </si>
  <si>
    <t>Pile Design Fee</t>
  </si>
  <si>
    <t>Line 1"</t>
  </si>
  <si>
    <t>Roof Floor Beam</t>
  </si>
  <si>
    <t>Ground Floor Column</t>
  </si>
  <si>
    <t>4-16mm Top &amp; 4-16mm Bottom</t>
  </si>
  <si>
    <t>(1:2:4) Cement Concrete Topping at Floor</t>
  </si>
  <si>
    <t>Ground Floor Slab</t>
  </si>
  <si>
    <t>Plastic Sheet</t>
  </si>
  <si>
    <t>¾" thk; Plastering Work in (1:3) Cement Mortar</t>
  </si>
  <si>
    <t>Line A'</t>
  </si>
  <si>
    <t>Parameter</t>
  </si>
  <si>
    <t>Bamboo Scaffolding Work</t>
  </si>
  <si>
    <t>Bamboo Scaffolding Work (Double Layer)</t>
  </si>
  <si>
    <t>Sikament-9</t>
  </si>
  <si>
    <t>Lit</t>
  </si>
  <si>
    <t>Bonding Agent</t>
  </si>
  <si>
    <t>Impermo</t>
  </si>
  <si>
    <t>PU Fluid</t>
  </si>
  <si>
    <t>Water Stop</t>
  </si>
  <si>
    <t>Ground Floor Wall</t>
  </si>
  <si>
    <t>Ground Floor Wall Plaster</t>
  </si>
  <si>
    <t>Structure Wall</t>
  </si>
  <si>
    <t>Extra Charges</t>
  </si>
  <si>
    <t>Reduced Charges</t>
  </si>
  <si>
    <t>P-18, No.19</t>
  </si>
  <si>
    <t>P-18, No.20</t>
  </si>
  <si>
    <t>P-18, No.21</t>
  </si>
  <si>
    <t>P-18, No.22</t>
  </si>
  <si>
    <t>P-18, No.23</t>
  </si>
  <si>
    <t>P-18, No.24</t>
  </si>
  <si>
    <t>P-18, No.25</t>
  </si>
  <si>
    <t>P-18, No.27</t>
  </si>
  <si>
    <t>P-18, No.28</t>
  </si>
  <si>
    <t>P-18, No.29</t>
  </si>
  <si>
    <t>P-18, No.31</t>
  </si>
  <si>
    <t>P-18, No.33</t>
  </si>
  <si>
    <t>P-18, No.34</t>
  </si>
  <si>
    <t>P-18, No.35</t>
  </si>
  <si>
    <t>P-18, No.36</t>
  </si>
  <si>
    <t>P-18, No.37</t>
  </si>
  <si>
    <t>P-18, No.38</t>
  </si>
  <si>
    <t>P-18, No.39</t>
  </si>
  <si>
    <t>P-18, No.43</t>
  </si>
  <si>
    <t>6.5mm</t>
  </si>
  <si>
    <t>Ø 6.5mm (0.26 Kg/m)</t>
  </si>
  <si>
    <t>Lintel</t>
  </si>
  <si>
    <t>Main</t>
  </si>
  <si>
    <t>Coil</t>
  </si>
  <si>
    <t>Plaster Fibre Mesh</t>
  </si>
  <si>
    <t>C1 (12"x12") on F3</t>
  </si>
  <si>
    <t>Line 2'</t>
  </si>
  <si>
    <t>Line 3'</t>
  </si>
  <si>
    <t>Line 4'</t>
  </si>
  <si>
    <t>PC1 (10"x10")</t>
  </si>
  <si>
    <t>Stiffener</t>
  </si>
  <si>
    <t>6" thk; Hardcore Stonework with sand filling</t>
  </si>
  <si>
    <t>1:2:4 RC Concrete</t>
  </si>
  <si>
    <t>10mm @ 6"c/c Bothway Top &amp; Bottom</t>
  </si>
  <si>
    <t>Top Bar(L)</t>
  </si>
  <si>
    <t>Top Bar(S)</t>
  </si>
  <si>
    <t>Bottom Bar(L)</t>
  </si>
  <si>
    <t>Bottom Bar(S)</t>
  </si>
  <si>
    <t>2-10mm with 6.5mm @6" c/c</t>
  </si>
  <si>
    <t>4-10mm with 6.5mm @6" c/c</t>
  </si>
  <si>
    <t>Brick Wall</t>
  </si>
  <si>
    <t>Corner</t>
  </si>
  <si>
    <t>Footing Formwork</t>
  </si>
  <si>
    <t>Retaining Wall Formwork</t>
  </si>
  <si>
    <t>Short Column Formwork</t>
  </si>
  <si>
    <t>Ground Floor Column Formwork</t>
  </si>
  <si>
    <t>Roof Beam Formwork</t>
  </si>
  <si>
    <t>Lintel &amp; Stiffener Formwork</t>
  </si>
  <si>
    <t>Ground Beam Formwork</t>
  </si>
  <si>
    <t>Footing Concrete</t>
  </si>
  <si>
    <t>Short Column Concrete</t>
  </si>
  <si>
    <t>Ground Floor Column Concrete</t>
  </si>
  <si>
    <t>Ground Beam Concrete</t>
  </si>
  <si>
    <t>Roof Beam Concrete</t>
  </si>
  <si>
    <t>Lintel &amp; Stiffener Concrete</t>
  </si>
  <si>
    <t>Ø20mm (2.47 Kg/m)(¾")</t>
  </si>
  <si>
    <t>Ø12mm (0.89Kg/m)(½")</t>
  </si>
  <si>
    <t>Footing Rebar</t>
  </si>
  <si>
    <t>Short Column Rebar</t>
  </si>
  <si>
    <t>Ground Floor Column Rebar</t>
  </si>
  <si>
    <t>Roof Beam Rebar</t>
  </si>
  <si>
    <t>Lintel &amp; Stiffener Rebar</t>
  </si>
  <si>
    <t>Corner Plaster</t>
  </si>
  <si>
    <t>Chowket Bracket</t>
  </si>
  <si>
    <t>Bracket</t>
  </si>
  <si>
    <t>Coal Tar</t>
  </si>
  <si>
    <t>Curing Work for 14 Days</t>
  </si>
  <si>
    <t>Preliminary Charges</t>
  </si>
  <si>
    <t>Sunshade</t>
  </si>
  <si>
    <t>Total T-Post</t>
  </si>
  <si>
    <t>T Rental Charges</t>
  </si>
  <si>
    <t>Sunshade Formwork</t>
  </si>
  <si>
    <t>Sunshade Concrete</t>
  </si>
  <si>
    <t>Sunshade Rebar</t>
  </si>
  <si>
    <t>Concrete Nail</t>
  </si>
  <si>
    <t>Box</t>
  </si>
  <si>
    <t>Grand Total Charges</t>
  </si>
  <si>
    <t>Septic Tank</t>
  </si>
  <si>
    <t xml:space="preserve">Main Builing </t>
  </si>
  <si>
    <t>5"x3" Chowket</t>
  </si>
  <si>
    <t>Total Summary</t>
  </si>
  <si>
    <t>Bill  Of  Quantities (Main Building)</t>
  </si>
  <si>
    <t>Abstract of Cost (Main Building)</t>
  </si>
  <si>
    <t>(For 1 Storeyed)</t>
  </si>
  <si>
    <t>ပတ်တန်းရိုက်</t>
  </si>
  <si>
    <t>ဆေးဖြူမှုန့်/တာပင်တိုင်(ရာဇမတ်ကွက်သုတ်ရန်)</t>
  </si>
  <si>
    <t>3"x1" (12')</t>
  </si>
  <si>
    <t>2.5" Nail</t>
  </si>
  <si>
    <t>1.5" Nail</t>
  </si>
  <si>
    <t>ကိုဘရိတ်ကီ</t>
  </si>
  <si>
    <t>အောင်စေတနာ</t>
  </si>
  <si>
    <t>ဂိုထောင်ဆောက်</t>
  </si>
  <si>
    <t>ဝါး</t>
  </si>
  <si>
    <t>မျော</t>
  </si>
  <si>
    <t>သံဖိနပ်</t>
  </si>
  <si>
    <t>ထရံလိပ်</t>
  </si>
  <si>
    <t>ဝါးကဒ်</t>
  </si>
  <si>
    <t>မြောက်မြီးမြောက်လက်</t>
  </si>
  <si>
    <t>ပတ္တာ</t>
  </si>
  <si>
    <t>သဲ</t>
  </si>
  <si>
    <t>3"X1" (5')</t>
  </si>
  <si>
    <t>3"X1" (12')</t>
  </si>
  <si>
    <t>3"X1" (8')</t>
  </si>
  <si>
    <t>4"</t>
  </si>
  <si>
    <t>3"</t>
  </si>
  <si>
    <t>2.5"</t>
  </si>
  <si>
    <t>1.5"</t>
  </si>
  <si>
    <t>18G</t>
  </si>
  <si>
    <t>Labour 18000x2</t>
  </si>
  <si>
    <t>သန့်ရှင်းရေး</t>
  </si>
  <si>
    <t>Roof Floor Beam(+16'-0")</t>
  </si>
  <si>
    <t>Line A,B,C</t>
  </si>
  <si>
    <t>Portico</t>
  </si>
  <si>
    <t>Steel Structure Roofing Work</t>
  </si>
  <si>
    <t>5% Wastage</t>
  </si>
  <si>
    <t>(i)</t>
  </si>
  <si>
    <t>(ii)</t>
  </si>
  <si>
    <t>2"x2" Hollow (1.2mm thk;)</t>
  </si>
  <si>
    <t>Purlin</t>
  </si>
  <si>
    <t>4-Angle Roofing Work</t>
  </si>
  <si>
    <t>(iii)</t>
  </si>
  <si>
    <t>(iv)</t>
  </si>
  <si>
    <t>Welding Rod</t>
  </si>
  <si>
    <t>Steel Structure Painting Work (Red Oxide)</t>
  </si>
  <si>
    <t>Steel Structure Painting Work (Colour)</t>
  </si>
  <si>
    <t>Eave &amp; Verge Board</t>
  </si>
  <si>
    <t>(v)</t>
  </si>
  <si>
    <t>Pkt</t>
  </si>
  <si>
    <t>Cutting Wheel</t>
  </si>
  <si>
    <t>As per Item-19</t>
  </si>
  <si>
    <t>Slab Formwork</t>
  </si>
  <si>
    <t>Slab Concrete</t>
  </si>
  <si>
    <t>Slab Rebar</t>
  </si>
  <si>
    <t>i</t>
  </si>
  <si>
    <t>ii</t>
  </si>
  <si>
    <t>iii</t>
  </si>
  <si>
    <t>iv</t>
  </si>
  <si>
    <t>v</t>
  </si>
  <si>
    <t>No.12 Welding Rod</t>
  </si>
  <si>
    <t>4" Cutting Wheel</t>
  </si>
  <si>
    <t>Pkt.</t>
  </si>
  <si>
    <t>7% Wastage</t>
  </si>
  <si>
    <t>False Work</t>
  </si>
  <si>
    <t>One Storeyed RCC Building, Myat Lay Street</t>
  </si>
  <si>
    <t>35'-0"x45'-0"x13'-0" Ht;</t>
  </si>
  <si>
    <r>
      <t xml:space="preserve">6-16mm </t>
    </r>
    <r>
      <rPr>
        <sz val="12"/>
        <color indexed="10"/>
        <rFont val="Pyidaungsu"/>
        <family val="2"/>
      </rPr>
      <t>Main</t>
    </r>
  </si>
  <si>
    <t>F4 (5'-6"x5'-6"x1'-0")</t>
  </si>
  <si>
    <t>F3 (5'-0"x5'-0"x0'-10")</t>
  </si>
  <si>
    <t>F2 (4'-0"x4'-0"x0'-9")</t>
  </si>
  <si>
    <t>F1 (3'-0"x3'-0"x0'-9")</t>
  </si>
  <si>
    <t>Line B',C'</t>
  </si>
  <si>
    <t>Line D</t>
  </si>
  <si>
    <t>Line D'</t>
  </si>
  <si>
    <t>U Tin Aye Naing</t>
  </si>
  <si>
    <t>C1 (12"x12") on F4</t>
  </si>
  <si>
    <t>C2 (10"x10") on F3</t>
  </si>
  <si>
    <t>C2 (10"x10") on F1</t>
  </si>
  <si>
    <t>C2 (10"x10") on F2</t>
  </si>
  <si>
    <t>C2 (10"x10") on F4</t>
  </si>
  <si>
    <t>C2 (10"x10")</t>
  </si>
  <si>
    <t>PB1(10"x10")</t>
  </si>
  <si>
    <t>Line A',B</t>
  </si>
  <si>
    <t>PB2-1(10"x12")</t>
  </si>
  <si>
    <t>Line 2&amp;3</t>
  </si>
  <si>
    <t>PB2-2(10"x12")</t>
  </si>
  <si>
    <t>Line B,B',C'</t>
  </si>
  <si>
    <t>PB3(10"x14")</t>
  </si>
  <si>
    <t>Line 1&amp;2</t>
  </si>
  <si>
    <t>PB4(10"x18")</t>
  </si>
  <si>
    <t>PB5(12"x16")</t>
  </si>
  <si>
    <t>PB6(12"x14")</t>
  </si>
  <si>
    <t>Roof Floor Beam(+11'-6")</t>
  </si>
  <si>
    <t>RB1'(10"x10")</t>
  </si>
  <si>
    <t>Line D,D'</t>
  </si>
  <si>
    <t>Line 1",3</t>
  </si>
  <si>
    <t>RB1(10"x10")</t>
  </si>
  <si>
    <t>PC2 (10"x10")</t>
  </si>
  <si>
    <t>Line A,A',B,B',B",C,C'</t>
  </si>
  <si>
    <t>Line beyond A</t>
  </si>
  <si>
    <t>RB2(10"x12")</t>
  </si>
  <si>
    <t>Line A,A',B,C,C'</t>
  </si>
  <si>
    <t>Line 1,4</t>
  </si>
  <si>
    <t>Line 2,3</t>
  </si>
  <si>
    <t>Line 1',3'</t>
  </si>
  <si>
    <t>Line 4/A~A'</t>
  </si>
  <si>
    <t>Line 4/B~D</t>
  </si>
  <si>
    <t>Roof Slab(+14'-0")</t>
  </si>
  <si>
    <t>Line 2~3/D~D'</t>
  </si>
  <si>
    <t>S2</t>
  </si>
  <si>
    <t>Perimeter</t>
  </si>
  <si>
    <t>Line 1",2',3'</t>
  </si>
  <si>
    <t>Line B,C,D</t>
  </si>
  <si>
    <t>View-1</t>
  </si>
  <si>
    <t>View-2</t>
  </si>
  <si>
    <t>View-3</t>
  </si>
  <si>
    <t>View-4</t>
  </si>
  <si>
    <t>Side Stair</t>
  </si>
  <si>
    <t>MD (5'-0"x8'-11")</t>
  </si>
  <si>
    <t>D01 (3'-4"x7'-2")</t>
  </si>
  <si>
    <t>D03 (2'-6"x6'-6")</t>
  </si>
  <si>
    <t>16mm @6" c/c bothway one-layer</t>
  </si>
  <si>
    <r>
      <t xml:space="preserve">4-16mm </t>
    </r>
    <r>
      <rPr>
        <sz val="12"/>
        <color indexed="10"/>
        <rFont val="Pyidaungsu"/>
        <family val="2"/>
      </rPr>
      <t>Main</t>
    </r>
  </si>
  <si>
    <t>2-16mm Top &amp; 2-16mm Bottom with 1-16mm Top Extra</t>
  </si>
  <si>
    <t>2-16mm Top &amp; 3-16mm Bottom with 3-16mm Top Extra</t>
  </si>
  <si>
    <t>Top Extra</t>
  </si>
  <si>
    <t>3-16mm Top &amp; 4-16mm Bottom with 2-16mm Top Extra</t>
  </si>
  <si>
    <t>4-16mm Top &amp; 4-16mm Bottom with 2-12mm Torsion</t>
  </si>
  <si>
    <t>Torsion Bar</t>
  </si>
  <si>
    <t>12mm @ 6"c/c Bothway Top &amp; Bottom</t>
  </si>
  <si>
    <t>10mm @ 6"c/c Bothway Main with 10mm@6"c/c Distribution Bar</t>
  </si>
  <si>
    <t>3-10mm with 6.5mm @6" c/c</t>
  </si>
  <si>
    <t>W01 (2'-0"x6'-2")</t>
  </si>
  <si>
    <t>W02 (4'-0"x6'-2")</t>
  </si>
  <si>
    <t>F01 (2'-3"x2'-0")</t>
  </si>
  <si>
    <t>Rafter</t>
  </si>
  <si>
    <t>SB</t>
  </si>
  <si>
    <t>Outside Parameter</t>
  </si>
  <si>
    <t>Inside Parameter</t>
  </si>
  <si>
    <t>Top</t>
  </si>
  <si>
    <t>Hip Rafter</t>
  </si>
  <si>
    <t>3"x1½" Lip Channel (1.2mm thk;)</t>
  </si>
  <si>
    <t>For Rafter</t>
  </si>
  <si>
    <t>Aluminium Window Work</t>
  </si>
  <si>
    <t>Bath &amp; WC (Common)</t>
  </si>
  <si>
    <t>1'x1' Floor Tile</t>
  </si>
  <si>
    <t>2'x2' Floor Tile</t>
  </si>
  <si>
    <t>Tiling Work</t>
  </si>
  <si>
    <t>2'x1' Wall Tile</t>
  </si>
  <si>
    <t>2'x4' Granite</t>
  </si>
  <si>
    <t>Kitchen Counter</t>
  </si>
  <si>
    <t>2'x1' Wall Tile (Oil Cover)</t>
  </si>
  <si>
    <t>Stair Tiling</t>
  </si>
  <si>
    <t>Pair</t>
  </si>
  <si>
    <t xml:space="preserve">Corner </t>
  </si>
  <si>
    <t>Parquet Flooring Work</t>
  </si>
  <si>
    <t>Golden-Silver Flag Stone Work</t>
  </si>
  <si>
    <t>Front &amp; Side Column</t>
  </si>
  <si>
    <t>As per item No.15</t>
  </si>
  <si>
    <t>Painting Work (Wall)</t>
  </si>
  <si>
    <t>Interior</t>
  </si>
  <si>
    <t>Exterior</t>
  </si>
  <si>
    <t>Normal</t>
  </si>
  <si>
    <t>Moisture</t>
  </si>
  <si>
    <t>Ceiling Work ( Gypsum Board )</t>
  </si>
  <si>
    <t>Ceiling Work ( Eco Wood )</t>
  </si>
  <si>
    <t>Skirting Work</t>
  </si>
  <si>
    <t>Outer Wall</t>
  </si>
  <si>
    <t>Inner Wall</t>
  </si>
  <si>
    <t>Wood Oiling Work</t>
  </si>
  <si>
    <t>Architrave Work</t>
  </si>
  <si>
    <t>Plinth Beam Rebar</t>
  </si>
  <si>
    <t>Painting Work (Ceiling)</t>
  </si>
  <si>
    <t>As per item No.23</t>
  </si>
  <si>
    <t>Putty Work (Wall)</t>
  </si>
  <si>
    <t>As per item No.16</t>
  </si>
  <si>
    <t>Putty Work (Ceiling)</t>
  </si>
  <si>
    <t>As per item No.26</t>
  </si>
  <si>
    <t>Surface Preparation Before Painting with Putty (Wall)</t>
  </si>
  <si>
    <t>Moisture Resistance Gypsum Board</t>
  </si>
  <si>
    <t>Labour Cost for Ceiling Work</t>
  </si>
  <si>
    <t>L Bar</t>
  </si>
  <si>
    <t>C Channel</t>
  </si>
  <si>
    <t>No.7 Wall Plug</t>
  </si>
  <si>
    <t>1" Black Screw</t>
  </si>
  <si>
    <t>⅝" Button Screw</t>
  </si>
  <si>
    <t>1 1/4" Black Screw</t>
  </si>
  <si>
    <t>5/8" Button Screw</t>
  </si>
  <si>
    <t>No.7 Wall plug</t>
  </si>
  <si>
    <t>Packet</t>
  </si>
  <si>
    <t>C-Channel</t>
  </si>
  <si>
    <t>Horizontal</t>
  </si>
  <si>
    <t>Living Room</t>
  </si>
  <si>
    <t>Living Room  Walkway</t>
  </si>
  <si>
    <t>Dining Room</t>
  </si>
  <si>
    <t>Mr.Bedroom</t>
  </si>
  <si>
    <t>S.Bedroom</t>
  </si>
  <si>
    <t>Common Toilet</t>
  </si>
  <si>
    <t>Vertical</t>
  </si>
  <si>
    <t>L-Bar</t>
  </si>
  <si>
    <t>Light Box</t>
  </si>
  <si>
    <t>Ceiling Work (Gypsum Board)</t>
  </si>
  <si>
    <t>Ceiling Work (Eco Wood)</t>
  </si>
  <si>
    <t>Eco Wood</t>
  </si>
  <si>
    <t>Eco Wood L Bar</t>
  </si>
  <si>
    <t>Labour Cost for Eco Wood Work</t>
  </si>
  <si>
    <t>1½" Steel Screw</t>
  </si>
  <si>
    <t>EC Putty</t>
  </si>
  <si>
    <t>Sealer</t>
  </si>
  <si>
    <t>Tape</t>
  </si>
  <si>
    <t>Ceiling Painting</t>
  </si>
  <si>
    <t>Ceiling White</t>
  </si>
  <si>
    <t>Surface Preparation Before Painting with Putty (Ceiling)</t>
  </si>
  <si>
    <t>Hardwood Door</t>
  </si>
  <si>
    <t>5" Hinge</t>
  </si>
  <si>
    <t>Handle Lock</t>
  </si>
  <si>
    <t>Set</t>
  </si>
  <si>
    <t>Door Setting Work</t>
  </si>
  <si>
    <t>Door Lock Setting Work (Normal)</t>
  </si>
  <si>
    <t>Door Lock Setting Work (Main Door)</t>
  </si>
  <si>
    <t>Turpentine</t>
  </si>
  <si>
    <t>506 Sealer</t>
  </si>
  <si>
    <t>Aluminium Window Work (M+L)</t>
  </si>
  <si>
    <t>Material + Labour Cost</t>
  </si>
  <si>
    <t>M.Bedroom</t>
  </si>
  <si>
    <t>D.Bedroom</t>
  </si>
  <si>
    <t>White Cement (1kg)</t>
  </si>
  <si>
    <t>Stair Tiling (Front)</t>
  </si>
  <si>
    <t>Stair Tiling (Side)</t>
  </si>
  <si>
    <t>Golden-Silver Flag Stone</t>
  </si>
  <si>
    <t>Stone Lighter</t>
  </si>
  <si>
    <t>Stair</t>
  </si>
  <si>
    <t>Bot</t>
  </si>
  <si>
    <t>Parquet</t>
  </si>
  <si>
    <t>Skirting</t>
  </si>
  <si>
    <t>Labour Cost for Parquet Flooring Work</t>
  </si>
  <si>
    <t>BHI Wood Filler</t>
  </si>
  <si>
    <t>BHI Sealer</t>
  </si>
  <si>
    <t>BHI Thinner</t>
  </si>
  <si>
    <t>BHI Hardener</t>
  </si>
  <si>
    <t>T4000 Lacquer</t>
  </si>
  <si>
    <t>ATM Glue</t>
  </si>
  <si>
    <t>502 Glue</t>
  </si>
  <si>
    <t>Sand Paper ( for parquet )</t>
  </si>
  <si>
    <t>Soft Brush</t>
  </si>
  <si>
    <t>ATM ကော် A-9000 (20Kg)</t>
  </si>
  <si>
    <t>ပုံး</t>
  </si>
  <si>
    <t>ATM ကော် A-9000 (32 oz)</t>
  </si>
  <si>
    <t>BHI 131 wood filler 1 Lit</t>
  </si>
  <si>
    <t>BHI 111 Rill Thinner Gl</t>
  </si>
  <si>
    <t>BHI 506 AC Sealer 5 lit Gl</t>
  </si>
  <si>
    <t xml:space="preserve">BHI 230 AC Hardener 500 CC </t>
  </si>
  <si>
    <t>905 Thinner Gl AAA Bhi</t>
  </si>
  <si>
    <t>BHI 223 Wood Putty 700g</t>
  </si>
  <si>
    <t>502 ကော်</t>
  </si>
  <si>
    <t>TOA-T4000 Lacquer Gl</t>
  </si>
  <si>
    <t>စွပ်ကျယ်စအကြီး</t>
  </si>
  <si>
    <t>pack</t>
  </si>
  <si>
    <t>4" ယုန်မွေးစုတ်တံ</t>
  </si>
  <si>
    <t>Inchem ကော်ပတ် 220,360</t>
  </si>
  <si>
    <t>ST 38 (Steel Nail)</t>
  </si>
  <si>
    <t>ကျွန်းဇကာတင် (3'x1') 1'</t>
  </si>
  <si>
    <t>ft</t>
  </si>
  <si>
    <t>Thinner</t>
  </si>
  <si>
    <t>506 Sealer wood Coating</t>
  </si>
  <si>
    <t>02 Easy Blench ချွတ်ဆေး</t>
  </si>
  <si>
    <t>ဗူး</t>
  </si>
  <si>
    <t>Buck</t>
  </si>
  <si>
    <t>LIt</t>
  </si>
  <si>
    <t>Ecowood Clip</t>
  </si>
  <si>
    <t>Ecowood Screw</t>
  </si>
  <si>
    <t>Main Door Lock Set</t>
  </si>
  <si>
    <t>Architrave Work (M+L)</t>
  </si>
  <si>
    <t>yrd</t>
  </si>
  <si>
    <t>Sikadur-31CF</t>
  </si>
  <si>
    <t>15% Wastage</t>
  </si>
  <si>
    <t>117nos.</t>
  </si>
  <si>
    <t>(vi)</t>
  </si>
  <si>
    <t>Grinder Wheel</t>
  </si>
  <si>
    <t>14nos.</t>
  </si>
  <si>
    <t>vi</t>
  </si>
  <si>
    <t>4" Grinder Wheel</t>
  </si>
  <si>
    <t>10% Wastage</t>
  </si>
  <si>
    <t>M.S reinforcement work including cutting, binding and fixing ( Assorted Size )</t>
  </si>
  <si>
    <t>Timber shuttering Formwork (3 Times)</t>
  </si>
  <si>
    <t>TC</t>
  </si>
  <si>
    <t>SPC</t>
  </si>
  <si>
    <t>SPC Flooring Work</t>
  </si>
  <si>
    <t>Labour Cost for SPC Flooring Work</t>
  </si>
  <si>
    <t>5Lit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</si>
</sst>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72" formatCode="0.000"/>
    <numFmt numFmtId="173" formatCode="0_);\(0\)"/>
    <numFmt numFmtId="174" formatCode="_(* #,##0.000_);_(* \(#,##0.000\);_(* &quot;-&quot;??_);_(@_)"/>
    <numFmt numFmtId="177" formatCode="#,##0.0"/>
    <numFmt numFmtId="179" formatCode="0.0"/>
    <numFmt numFmtId="183" formatCode="_(* #,##0_);_(* \(#,##0\);_(* &quot;-&quot;??_);_(@_)"/>
    <numFmt numFmtId="186" formatCode="0.00_);\(0.00\)"/>
    <numFmt numFmtId="188" formatCode="#,##0.00000"/>
    <numFmt numFmtId="204" formatCode="0.00\'\ \-"/>
    <numFmt numFmtId="206" formatCode="[$-F800]dddd\,\ mmmm\ dd\,\ yyyy"/>
  </numFmts>
  <fonts count="8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1"/>
      <color indexed="8"/>
      <name val="Calibri"/>
      <family val="2"/>
    </font>
    <font>
      <u/>
      <sz val="12"/>
      <name val="Times New Roman"/>
      <family val="1"/>
    </font>
    <font>
      <b/>
      <sz val="16"/>
      <name val="-Win---Innwa"/>
    </font>
    <font>
      <vertAlign val="superscript"/>
      <sz val="12"/>
      <name val="Times New Roman"/>
      <family val="1"/>
    </font>
    <font>
      <sz val="12"/>
      <name val="Calibri"/>
      <family val="2"/>
    </font>
    <font>
      <sz val="12"/>
      <name val="Zawgyi-One"/>
      <family val="2"/>
    </font>
    <font>
      <b/>
      <u val="singleAccounting"/>
      <sz val="12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u/>
      <vertAlign val="superscript"/>
      <sz val="11"/>
      <name val="Times New Roman"/>
      <family val="1"/>
    </font>
    <font>
      <u/>
      <sz val="11"/>
      <name val="Zawgyi-One"/>
      <family val="2"/>
    </font>
    <font>
      <vertAlign val="superscript"/>
      <sz val="11"/>
      <name val="Times New Roman"/>
      <family val="1"/>
    </font>
    <font>
      <b/>
      <u val="double"/>
      <sz val="11"/>
      <name val="Times New Roman"/>
      <family val="1"/>
    </font>
    <font>
      <b/>
      <sz val="11"/>
      <name val="-Win---Innwa"/>
    </font>
    <font>
      <b/>
      <u val="doubleAccounting"/>
      <sz val="11"/>
      <name val="Times New Roman"/>
      <family val="1"/>
    </font>
    <font>
      <b/>
      <i/>
      <sz val="11"/>
      <name val="Times New Roman"/>
      <family val="1"/>
    </font>
    <font>
      <sz val="13"/>
      <name val="Times New Roman"/>
      <family val="1"/>
    </font>
    <font>
      <b/>
      <sz val="14"/>
      <name val="Pyidaungsu"/>
      <family val="2"/>
    </font>
    <font>
      <sz val="14"/>
      <name val="Pyidaungsu"/>
      <family val="2"/>
    </font>
    <font>
      <b/>
      <u val="doubleAccounting"/>
      <sz val="14"/>
      <name val="Pyidaungsu"/>
      <family val="2"/>
    </font>
    <font>
      <sz val="14"/>
      <name val="Times New Roman"/>
      <family val="1"/>
    </font>
    <font>
      <b/>
      <sz val="12"/>
      <name val="Pyidaungsu"/>
      <family val="2"/>
    </font>
    <font>
      <b/>
      <sz val="11"/>
      <name val="Pyidaungsu"/>
      <family val="2"/>
    </font>
    <font>
      <sz val="11"/>
      <name val="Pyidaungsu"/>
      <family val="2"/>
    </font>
    <font>
      <sz val="12"/>
      <name val="Pyidaungsu"/>
      <family val="2"/>
    </font>
    <font>
      <b/>
      <u/>
      <sz val="12"/>
      <name val="Pyidaungsu"/>
      <family val="2"/>
    </font>
    <font>
      <sz val="8"/>
      <name val="Calibri"/>
      <family val="2"/>
    </font>
    <font>
      <b/>
      <u val="singleAccounting"/>
      <sz val="12"/>
      <name val="Pyidaungsu"/>
      <family val="2"/>
    </font>
    <font>
      <sz val="8"/>
      <name val="Calibri"/>
      <family val="2"/>
    </font>
    <font>
      <b/>
      <sz val="9"/>
      <name val="Pyidaungsu"/>
      <family val="2"/>
    </font>
    <font>
      <b/>
      <sz val="10"/>
      <name val="Pyidaungsu"/>
      <family val="2"/>
    </font>
    <font>
      <b/>
      <sz val="16"/>
      <name val="Pyidaungsu"/>
      <family val="2"/>
    </font>
    <font>
      <u/>
      <sz val="12"/>
      <name val="Pyidaungsu"/>
      <family val="2"/>
    </font>
    <font>
      <vertAlign val="superscript"/>
      <sz val="12"/>
      <name val="Pyidaungsu"/>
      <family val="2"/>
    </font>
    <font>
      <b/>
      <sz val="18"/>
      <name val="Pyidaungsu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sz val="12"/>
      <color indexed="10"/>
      <name val="Pyidaungsu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7" tint="-0.49998474074526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Zawgyi-One"/>
      <family val="2"/>
    </font>
    <font>
      <b/>
      <sz val="9"/>
      <color theme="1"/>
      <name val="Zawgyi-One"/>
      <family val="2"/>
    </font>
    <font>
      <b/>
      <u val="doubleAccounting"/>
      <sz val="9"/>
      <color theme="1"/>
      <name val="Zawgyi-One"/>
      <family val="2"/>
    </font>
    <font>
      <u val="doubleAccounting"/>
      <sz val="9"/>
      <color theme="1"/>
      <name val="Zawgyi-One"/>
      <family val="2"/>
    </font>
    <font>
      <b/>
      <u val="double"/>
      <sz val="9"/>
      <color theme="1"/>
      <name val="Zawgyi-One"/>
      <family val="2"/>
    </font>
    <font>
      <sz val="12"/>
      <color theme="4"/>
      <name val="Pyidaungsu"/>
      <family val="2"/>
    </font>
    <font>
      <b/>
      <sz val="12"/>
      <color theme="4"/>
      <name val="Pyidaungsu"/>
      <family val="2"/>
    </font>
    <font>
      <b/>
      <u val="singleAccounting"/>
      <sz val="12"/>
      <color theme="4"/>
      <name val="Pyidaungsu"/>
      <family val="2"/>
    </font>
    <font>
      <sz val="12"/>
      <color rgb="FFFF0000"/>
      <name val="Pyidaungsu"/>
      <family val="2"/>
    </font>
    <font>
      <b/>
      <sz val="12"/>
      <color rgb="FFFF0000"/>
      <name val="Pyidaungsu"/>
      <family val="2"/>
    </font>
    <font>
      <sz val="12"/>
      <color rgb="FF0070C0"/>
      <name val="Pyidaungsu"/>
      <family val="2"/>
    </font>
    <font>
      <b/>
      <sz val="12"/>
      <color rgb="FF0070C0"/>
      <name val="Pyidaungsu"/>
      <family val="2"/>
    </font>
    <font>
      <u/>
      <sz val="12"/>
      <color rgb="FF0070C0"/>
      <name val="Pyidaungsu"/>
      <family val="2"/>
    </font>
    <font>
      <b/>
      <u/>
      <sz val="12"/>
      <color rgb="FF0070C0"/>
      <name val="Pyidaungsu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Pyidaungsu"/>
      <family val="2"/>
    </font>
    <font>
      <b/>
      <u val="singleAccounting"/>
      <sz val="12"/>
      <color theme="0"/>
      <name val="Pyidaungsu"/>
      <family val="2"/>
    </font>
    <font>
      <u/>
      <sz val="12"/>
      <color rgb="FFFF0000"/>
      <name val="Pyidaungsu"/>
      <family val="2"/>
    </font>
    <font>
      <sz val="12"/>
      <color rgb="FF00B050"/>
      <name val="Pyidaungsu"/>
      <family val="2"/>
    </font>
    <font>
      <sz val="12"/>
      <color theme="1"/>
      <name val="Pyidaungsu"/>
      <family val="2"/>
    </font>
    <font>
      <b/>
      <u/>
      <sz val="12"/>
      <color rgb="FFFF0000"/>
      <name val="Pyidaungsu"/>
      <family val="2"/>
    </font>
    <font>
      <sz val="12"/>
      <color rgb="FF92D050"/>
      <name val="Pyidaungsu"/>
      <family val="2"/>
    </font>
    <font>
      <b/>
      <u val="singleAccounting"/>
      <sz val="12"/>
      <color rgb="FFFF0000"/>
      <name val="Pyidaungsu"/>
      <family val="2"/>
    </font>
    <font>
      <b/>
      <u/>
      <sz val="11"/>
      <color theme="1"/>
      <name val="Times New Roman"/>
      <family val="1"/>
    </font>
    <font>
      <b/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23" fillId="0" borderId="0">
      <alignment vertical="center"/>
    </xf>
    <xf numFmtId="9" fontId="5" fillId="0" borderId="0" applyFont="0" applyFill="0" applyBorder="0" applyAlignment="0" applyProtection="0"/>
  </cellStyleXfs>
  <cellXfs count="1205">
    <xf numFmtId="0" fontId="0" fillId="0" borderId="0" xfId="0"/>
    <xf numFmtId="2" fontId="3" fillId="0" borderId="0" xfId="0" applyNumberFormat="1" applyFont="1" applyFill="1" applyBorder="1" applyAlignment="1">
      <alignment vertical="center"/>
    </xf>
    <xf numFmtId="1" fontId="3" fillId="0" borderId="0" xfId="11" applyNumberFormat="1" applyFont="1" applyFill="1" applyBorder="1" applyAlignment="1">
      <alignment vertical="center"/>
    </xf>
    <xf numFmtId="0" fontId="49" fillId="0" borderId="0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43" fontId="50" fillId="0" borderId="1" xfId="1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left" vertical="center" indent="1"/>
    </xf>
    <xf numFmtId="43" fontId="49" fillId="0" borderId="1" xfId="1" applyFont="1" applyFill="1" applyBorder="1" applyAlignment="1">
      <alignment vertical="center"/>
    </xf>
    <xf numFmtId="43" fontId="49" fillId="0" borderId="0" xfId="0" applyNumberFormat="1" applyFont="1" applyFill="1" applyBorder="1" applyAlignment="1">
      <alignment vertical="center"/>
    </xf>
    <xf numFmtId="43" fontId="50" fillId="0" borderId="1" xfId="1" applyFont="1" applyFill="1" applyBorder="1" applyAlignment="1">
      <alignment vertical="center"/>
    </xf>
    <xf numFmtId="43" fontId="49" fillId="0" borderId="0" xfId="1" applyFont="1" applyFill="1" applyBorder="1" applyAlignment="1">
      <alignment vertical="center"/>
    </xf>
    <xf numFmtId="0" fontId="49" fillId="0" borderId="0" xfId="0" applyFont="1" applyFill="1" applyAlignment="1">
      <alignment vertical="center"/>
    </xf>
    <xf numFmtId="43" fontId="49" fillId="0" borderId="0" xfId="0" applyNumberFormat="1" applyFont="1" applyFill="1" applyAlignment="1">
      <alignment vertical="center"/>
    </xf>
    <xf numFmtId="0" fontId="50" fillId="0" borderId="1" xfId="0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horizontal="center" vertical="center"/>
    </xf>
    <xf numFmtId="1" fontId="3" fillId="2" borderId="0" xfId="11" applyNumberFormat="1" applyFont="1" applyFill="1" applyBorder="1" applyAlignment="1">
      <alignment vertical="center"/>
    </xf>
    <xf numFmtId="0" fontId="49" fillId="0" borderId="0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right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2" fontId="3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vertical="center"/>
    </xf>
    <xf numFmtId="172" fontId="3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vertical="center"/>
    </xf>
    <xf numFmtId="0" fontId="3" fillId="0" borderId="2" xfId="5" applyFont="1" applyFill="1" applyBorder="1" applyAlignment="1">
      <alignment vertical="center"/>
    </xf>
    <xf numFmtId="0" fontId="3" fillId="0" borderId="2" xfId="5" applyFont="1" applyFill="1" applyBorder="1" applyAlignment="1">
      <alignment horizontal="center" vertical="center"/>
    </xf>
    <xf numFmtId="2" fontId="3" fillId="0" borderId="2" xfId="5" applyNumberFormat="1" applyFont="1" applyFill="1" applyBorder="1" applyAlignment="1">
      <alignment horizontal="center" vertical="center"/>
    </xf>
    <xf numFmtId="172" fontId="3" fillId="0" borderId="2" xfId="5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3" fontId="2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2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right" vertical="center"/>
    </xf>
    <xf numFmtId="1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1" fontId="3" fillId="0" borderId="3" xfId="11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5" applyFont="1" applyBorder="1" applyAlignment="1">
      <alignment vertical="center"/>
    </xf>
    <xf numFmtId="173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43" fontId="3" fillId="0" borderId="3" xfId="1" applyFont="1" applyBorder="1" applyAlignment="1">
      <alignment vertical="center"/>
    </xf>
    <xf numFmtId="173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173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" fontId="3" fillId="0" borderId="5" xfId="11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4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3" fontId="3" fillId="0" borderId="0" xfId="0" applyNumberFormat="1" applyFont="1" applyBorder="1" applyAlignment="1">
      <alignment vertical="center"/>
    </xf>
    <xf numFmtId="4" fontId="2" fillId="0" borderId="6" xfId="0" applyNumberFormat="1" applyFont="1" applyFill="1" applyBorder="1" applyAlignment="1">
      <alignment vertical="center"/>
    </xf>
    <xf numFmtId="173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43" fontId="3" fillId="0" borderId="9" xfId="1" applyFont="1" applyBorder="1" applyAlignment="1">
      <alignment horizontal="center" vertical="center"/>
    </xf>
    <xf numFmtId="43" fontId="3" fillId="0" borderId="9" xfId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" fontId="3" fillId="0" borderId="0" xfId="0" applyNumberFormat="1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 indent="1"/>
    </xf>
    <xf numFmtId="2" fontId="3" fillId="0" borderId="2" xfId="0" applyNumberFormat="1" applyFont="1" applyFill="1" applyBorder="1" applyAlignment="1">
      <alignment horizontal="left" vertical="center"/>
    </xf>
    <xf numFmtId="43" fontId="2" fillId="0" borderId="0" xfId="0" applyNumberFormat="1" applyFont="1" applyBorder="1" applyAlignment="1">
      <alignment vertical="center"/>
    </xf>
    <xf numFmtId="2" fontId="3" fillId="0" borderId="0" xfId="0" applyNumberFormat="1" applyFont="1" applyFill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2" fontId="3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Fill="1" applyBorder="1" applyAlignment="1">
      <alignment vertical="center"/>
    </xf>
    <xf numFmtId="2" fontId="2" fillId="0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left" vertical="center"/>
    </xf>
    <xf numFmtId="0" fontId="3" fillId="0" borderId="7" xfId="5" applyFont="1" applyFill="1" applyBorder="1" applyAlignment="1">
      <alignment vertical="center"/>
    </xf>
    <xf numFmtId="0" fontId="10" fillId="0" borderId="2" xfId="0" applyFont="1" applyFill="1" applyBorder="1" applyAlignment="1">
      <alignment horizontal="left" vertical="center"/>
    </xf>
    <xf numFmtId="43" fontId="49" fillId="0" borderId="0" xfId="1" applyFont="1" applyFill="1" applyAlignment="1">
      <alignment vertical="center"/>
    </xf>
    <xf numFmtId="43" fontId="50" fillId="0" borderId="0" xfId="1" applyFont="1" applyFill="1" applyBorder="1" applyAlignment="1">
      <alignment vertical="center"/>
    </xf>
    <xf numFmtId="0" fontId="50" fillId="0" borderId="0" xfId="0" applyFont="1" applyFill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3" fontId="3" fillId="0" borderId="4" xfId="1" applyFont="1" applyBorder="1" applyAlignment="1">
      <alignment vertical="center"/>
    </xf>
    <xf numFmtId="43" fontId="3" fillId="0" borderId="2" xfId="1" applyFont="1" applyBorder="1" applyAlignment="1">
      <alignment horizontal="center" vertical="center"/>
    </xf>
    <xf numFmtId="43" fontId="3" fillId="0" borderId="2" xfId="1" applyFont="1" applyBorder="1" applyAlignment="1">
      <alignment vertical="center"/>
    </xf>
    <xf numFmtId="43" fontId="3" fillId="0" borderId="2" xfId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43" fontId="3" fillId="0" borderId="7" xfId="1" applyFont="1" applyFill="1" applyBorder="1" applyAlignment="1">
      <alignment horizontal="right" vertical="center"/>
    </xf>
    <xf numFmtId="43" fontId="3" fillId="0" borderId="7" xfId="1" applyFont="1" applyBorder="1" applyAlignment="1">
      <alignment vertical="center"/>
    </xf>
    <xf numFmtId="43" fontId="3" fillId="0" borderId="2" xfId="1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3" fontId="11" fillId="0" borderId="7" xfId="1" applyFont="1" applyBorder="1" applyAlignment="1">
      <alignment vertical="center"/>
    </xf>
    <xf numFmtId="43" fontId="11" fillId="0" borderId="2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47" fillId="0" borderId="0" xfId="1" applyFont="1"/>
    <xf numFmtId="43" fontId="46" fillId="0" borderId="0" xfId="1" applyFont="1"/>
    <xf numFmtId="43" fontId="46" fillId="0" borderId="0" xfId="1" applyFont="1"/>
    <xf numFmtId="0" fontId="3" fillId="3" borderId="6" xfId="0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43" fontId="51" fillId="0" borderId="0" xfId="0" applyNumberFormat="1" applyFont="1" applyFill="1" applyBorder="1" applyAlignment="1">
      <alignment vertical="center"/>
    </xf>
    <xf numFmtId="43" fontId="51" fillId="0" borderId="0" xfId="1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38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172" fontId="3" fillId="0" borderId="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left" vertical="center" indent="1"/>
    </xf>
    <xf numFmtId="1" fontId="3" fillId="4" borderId="2" xfId="0" applyNumberFormat="1" applyFont="1" applyFill="1" applyBorder="1" applyAlignment="1">
      <alignment horizontal="left" vertical="center"/>
    </xf>
    <xf numFmtId="1" fontId="2" fillId="5" borderId="2" xfId="0" applyNumberFormat="1" applyFont="1" applyFill="1" applyBorder="1" applyAlignment="1">
      <alignment horizontal="left" vertical="center"/>
    </xf>
    <xf numFmtId="0" fontId="52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vertical="center" wrapText="1"/>
    </xf>
    <xf numFmtId="43" fontId="49" fillId="0" borderId="2" xfId="1" applyFont="1" applyFill="1" applyBorder="1" applyAlignment="1">
      <alignment horizontal="right" vertical="center"/>
    </xf>
    <xf numFmtId="0" fontId="52" fillId="0" borderId="2" xfId="0" applyFont="1" applyFill="1" applyBorder="1" applyAlignment="1">
      <alignment horizontal="left" vertical="center"/>
    </xf>
    <xf numFmtId="0" fontId="49" fillId="0" borderId="2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49" fillId="0" borderId="2" xfId="0" applyFont="1" applyFill="1" applyBorder="1" applyAlignment="1">
      <alignment horizontal="center" vertical="center"/>
    </xf>
    <xf numFmtId="173" fontId="2" fillId="0" borderId="10" xfId="0" applyNumberFormat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/>
    </xf>
    <xf numFmtId="2" fontId="4" fillId="0" borderId="10" xfId="0" applyNumberFormat="1" applyFont="1" applyBorder="1" applyAlignment="1">
      <alignment vertical="center"/>
    </xf>
    <xf numFmtId="2" fontId="2" fillId="3" borderId="2" xfId="0" applyNumberFormat="1" applyFont="1" applyFill="1" applyBorder="1" applyAlignment="1">
      <alignment horizontal="right" vertical="center"/>
    </xf>
    <xf numFmtId="0" fontId="49" fillId="0" borderId="0" xfId="0" applyFont="1" applyFill="1" applyAlignment="1">
      <alignment horizontal="center" vertical="center"/>
    </xf>
    <xf numFmtId="0" fontId="49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2" fontId="49" fillId="0" borderId="10" xfId="0" applyNumberFormat="1" applyFont="1" applyFill="1" applyBorder="1" applyAlignment="1">
      <alignment horizontal="right" vertical="center"/>
    </xf>
    <xf numFmtId="2" fontId="49" fillId="0" borderId="2" xfId="0" applyNumberFormat="1" applyFont="1" applyFill="1" applyBorder="1" applyAlignment="1">
      <alignment horizontal="right" vertical="center"/>
    </xf>
    <xf numFmtId="43" fontId="49" fillId="0" borderId="0" xfId="0" applyNumberFormat="1" applyFont="1" applyFill="1" applyAlignment="1">
      <alignment horizontal="center" vertical="center"/>
    </xf>
    <xf numFmtId="0" fontId="49" fillId="0" borderId="0" xfId="0" applyFont="1" applyFill="1" applyAlignment="1">
      <alignment horizontal="right" vertical="center"/>
    </xf>
    <xf numFmtId="0" fontId="49" fillId="0" borderId="2" xfId="0" applyFont="1" applyBorder="1"/>
    <xf numFmtId="0" fontId="49" fillId="0" borderId="0" xfId="0" applyFont="1"/>
    <xf numFmtId="0" fontId="49" fillId="0" borderId="0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50" fillId="3" borderId="0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3" borderId="11" xfId="0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3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2" fontId="49" fillId="0" borderId="0" xfId="0" applyNumberFormat="1" applyFont="1"/>
    <xf numFmtId="0" fontId="13" fillId="0" borderId="2" xfId="0" applyFont="1" applyFill="1" applyBorder="1" applyAlignment="1">
      <alignment vertical="center"/>
    </xf>
    <xf numFmtId="2" fontId="13" fillId="0" borderId="2" xfId="0" applyNumberFormat="1" applyFont="1" applyFill="1" applyBorder="1" applyAlignment="1">
      <alignment horizontal="left" vertical="center" indent="1"/>
    </xf>
    <xf numFmtId="2" fontId="14" fillId="0" borderId="2" xfId="0" applyNumberFormat="1" applyFont="1" applyFill="1" applyBorder="1" applyAlignment="1">
      <alignment horizontal="left" vertical="center" indent="1"/>
    </xf>
    <xf numFmtId="0" fontId="15" fillId="0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left" vertical="center" indent="1"/>
    </xf>
    <xf numFmtId="2" fontId="17" fillId="0" borderId="2" xfId="0" applyNumberFormat="1" applyFont="1" applyFill="1" applyBorder="1" applyAlignment="1">
      <alignment horizontal="left" vertical="center" indent="1"/>
    </xf>
    <xf numFmtId="0" fontId="14" fillId="0" borderId="2" xfId="5" applyFont="1" applyFill="1" applyBorder="1" applyAlignment="1">
      <alignment vertical="center"/>
    </xf>
    <xf numFmtId="0" fontId="14" fillId="0" borderId="2" xfId="5" applyFont="1" applyFill="1" applyBorder="1" applyAlignment="1">
      <alignment horizontal="left" vertical="center" indent="1"/>
    </xf>
    <xf numFmtId="0" fontId="14" fillId="0" borderId="2" xfId="0" applyFont="1" applyFill="1" applyBorder="1" applyAlignment="1">
      <alignment horizontal="left" vertical="center" indent="1"/>
    </xf>
    <xf numFmtId="0" fontId="14" fillId="0" borderId="2" xfId="0" applyFont="1" applyFill="1" applyBorder="1" applyAlignment="1">
      <alignment horizontal="center" vertical="center"/>
    </xf>
    <xf numFmtId="1" fontId="14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horizontal="right" vertical="center"/>
    </xf>
    <xf numFmtId="173" fontId="12" fillId="0" borderId="2" xfId="0" applyNumberFormat="1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2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43" fontId="46" fillId="0" borderId="0" xfId="1" applyFont="1"/>
    <xf numFmtId="2" fontId="12" fillId="0" borderId="0" xfId="0" applyNumberFormat="1" applyFont="1" applyFill="1" applyBorder="1" applyAlignment="1">
      <alignment horizontal="center" vertical="center"/>
    </xf>
    <xf numFmtId="2" fontId="12" fillId="3" borderId="0" xfId="0" applyNumberFormat="1" applyFont="1" applyFill="1" applyBorder="1" applyAlignment="1">
      <alignment horizontal="center" vertical="center"/>
    </xf>
    <xf numFmtId="2" fontId="12" fillId="6" borderId="0" xfId="0" applyNumberFormat="1" applyFont="1" applyFill="1" applyBorder="1" applyAlignment="1">
      <alignment horizontal="center" vertical="center"/>
    </xf>
    <xf numFmtId="2" fontId="12" fillId="4" borderId="0" xfId="0" applyNumberFormat="1" applyFont="1" applyFill="1" applyBorder="1" applyAlignment="1">
      <alignment horizontal="center" vertical="center"/>
    </xf>
    <xf numFmtId="2" fontId="12" fillId="7" borderId="0" xfId="0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 applyAlignment="1">
      <alignment horizontal="center" vertical="center"/>
    </xf>
    <xf numFmtId="1" fontId="14" fillId="0" borderId="0" xfId="11" applyNumberFormat="1" applyFont="1" applyFill="1" applyBorder="1" applyAlignment="1">
      <alignment vertical="center"/>
    </xf>
    <xf numFmtId="2" fontId="14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vertical="center"/>
    </xf>
    <xf numFmtId="2" fontId="12" fillId="3" borderId="0" xfId="0" applyNumberFormat="1" applyFont="1" applyFill="1" applyBorder="1" applyAlignment="1">
      <alignment horizontal="center" vertical="center" wrapText="1"/>
    </xf>
    <xf numFmtId="172" fontId="12" fillId="6" borderId="0" xfId="0" applyNumberFormat="1" applyFont="1" applyFill="1" applyBorder="1" applyAlignment="1">
      <alignment horizontal="center" vertical="center" wrapText="1"/>
    </xf>
    <xf numFmtId="172" fontId="12" fillId="4" borderId="0" xfId="0" applyNumberFormat="1" applyFont="1" applyFill="1" applyBorder="1" applyAlignment="1">
      <alignment horizontal="center" vertical="center" wrapText="1"/>
    </xf>
    <xf numFmtId="172" fontId="12" fillId="7" borderId="0" xfId="0" applyNumberFormat="1" applyFont="1" applyFill="1" applyBorder="1" applyAlignment="1">
      <alignment horizontal="center" vertical="center" wrapText="1"/>
    </xf>
    <xf numFmtId="172" fontId="12" fillId="0" borderId="0" xfId="0" applyNumberFormat="1" applyFont="1" applyFill="1" applyBorder="1" applyAlignment="1">
      <alignment horizontal="center" vertical="center" wrapText="1"/>
    </xf>
    <xf numFmtId="172" fontId="14" fillId="0" borderId="0" xfId="0" applyNumberFormat="1" applyFont="1" applyFill="1" applyBorder="1" applyAlignment="1">
      <alignment horizontal="center" vertical="center" wrapText="1"/>
    </xf>
    <xf numFmtId="43" fontId="12" fillId="0" borderId="1" xfId="1" applyFont="1" applyFill="1" applyBorder="1" applyAlignment="1">
      <alignment horizontal="center" vertical="center"/>
    </xf>
    <xf numFmtId="172" fontId="14" fillId="0" borderId="0" xfId="0" applyNumberFormat="1" applyFont="1" applyFill="1" applyBorder="1" applyAlignment="1">
      <alignment horizontal="center" vertical="center"/>
    </xf>
    <xf numFmtId="43" fontId="14" fillId="0" borderId="2" xfId="1" applyFont="1" applyFill="1" applyBorder="1" applyAlignment="1">
      <alignment horizontal="center" vertical="center"/>
    </xf>
    <xf numFmtId="2" fontId="12" fillId="0" borderId="2" xfId="0" applyNumberFormat="1" applyFont="1" applyFill="1" applyBorder="1" applyAlignment="1">
      <alignment horizontal="center" vertical="center"/>
    </xf>
    <xf numFmtId="43" fontId="14" fillId="0" borderId="2" xfId="1" applyFont="1" applyFill="1" applyBorder="1" applyAlignment="1">
      <alignment horizontal="right" vertical="center"/>
    </xf>
    <xf numFmtId="0" fontId="0" fillId="0" borderId="0" xfId="0" applyFont="1"/>
    <xf numFmtId="1" fontId="14" fillId="0" borderId="2" xfId="5" applyNumberFormat="1" applyFont="1" applyFill="1" applyBorder="1" applyAlignment="1">
      <alignment horizontal="center" vertical="center"/>
    </xf>
    <xf numFmtId="173" fontId="12" fillId="0" borderId="2" xfId="5" applyNumberFormat="1" applyFont="1" applyFill="1" applyBorder="1" applyAlignment="1">
      <alignment horizontal="center" vertical="center"/>
    </xf>
    <xf numFmtId="2" fontId="14" fillId="0" borderId="2" xfId="5" applyNumberFormat="1" applyFont="1" applyFill="1" applyBorder="1" applyAlignment="1">
      <alignment horizontal="center" vertical="center"/>
    </xf>
    <xf numFmtId="0" fontId="14" fillId="0" borderId="2" xfId="5" applyFont="1" applyFill="1" applyBorder="1" applyAlignment="1">
      <alignment horizontal="right" vertical="center"/>
    </xf>
    <xf numFmtId="2" fontId="14" fillId="0" borderId="2" xfId="5" applyNumberFormat="1" applyFont="1" applyFill="1" applyBorder="1" applyAlignment="1">
      <alignment horizontal="right" vertical="center"/>
    </xf>
    <xf numFmtId="172" fontId="14" fillId="0" borderId="2" xfId="5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right" vertical="center"/>
    </xf>
    <xf numFmtId="43" fontId="12" fillId="0" borderId="2" xfId="1" applyFont="1" applyFill="1" applyBorder="1" applyAlignment="1">
      <alignment horizontal="right" vertical="center"/>
    </xf>
    <xf numFmtId="43" fontId="19" fillId="0" borderId="2" xfId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center" vertical="center"/>
    </xf>
    <xf numFmtId="1" fontId="12" fillId="6" borderId="2" xfId="0" applyNumberFormat="1" applyFont="1" applyFill="1" applyBorder="1" applyAlignment="1">
      <alignment horizontal="center" vertical="center"/>
    </xf>
    <xf numFmtId="43" fontId="12" fillId="6" borderId="2" xfId="1" applyFont="1" applyFill="1" applyBorder="1" applyAlignment="1">
      <alignment horizontal="center" vertical="center"/>
    </xf>
    <xf numFmtId="2" fontId="12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right" vertical="center"/>
    </xf>
    <xf numFmtId="43" fontId="12" fillId="6" borderId="2" xfId="1" applyFont="1" applyFill="1" applyBorder="1" applyAlignment="1">
      <alignment horizontal="right" vertical="center"/>
    </xf>
    <xf numFmtId="1" fontId="14" fillId="6" borderId="2" xfId="0" applyNumberFormat="1" applyFont="1" applyFill="1" applyBorder="1" applyAlignment="1">
      <alignment horizontal="center" vertical="center"/>
    </xf>
    <xf numFmtId="2" fontId="14" fillId="6" borderId="2" xfId="0" applyNumberFormat="1" applyFont="1" applyFill="1" applyBorder="1" applyAlignment="1">
      <alignment horizontal="center" vertical="center"/>
    </xf>
    <xf numFmtId="43" fontId="21" fillId="6" borderId="2" xfId="1" applyFont="1" applyFill="1" applyBorder="1" applyAlignment="1">
      <alignment horizontal="right" vertical="center"/>
    </xf>
    <xf numFmtId="2" fontId="12" fillId="0" borderId="2" xfId="0" applyNumberFormat="1" applyFont="1" applyFill="1" applyBorder="1" applyAlignment="1">
      <alignment horizontal="right" vertical="center"/>
    </xf>
    <xf numFmtId="43" fontId="22" fillId="0" borderId="2" xfId="1" applyFont="1" applyFill="1" applyBorder="1" applyAlignment="1">
      <alignment horizontal="right" vertical="center"/>
    </xf>
    <xf numFmtId="0" fontId="53" fillId="0" borderId="0" xfId="0" applyFont="1" applyAlignment="1">
      <alignment horizontal="center" vertical="center"/>
    </xf>
    <xf numFmtId="43" fontId="53" fillId="0" borderId="0" xfId="1" applyFont="1" applyAlignment="1">
      <alignment horizontal="center" vertical="center"/>
    </xf>
    <xf numFmtId="43" fontId="53" fillId="0" borderId="0" xfId="0" applyNumberFormat="1" applyFont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43" fontId="54" fillId="0" borderId="1" xfId="1" applyFont="1" applyBorder="1" applyAlignment="1">
      <alignment horizontal="center" vertical="center"/>
    </xf>
    <xf numFmtId="43" fontId="54" fillId="0" borderId="1" xfId="0" applyNumberFormat="1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0" xfId="0" applyFont="1" applyBorder="1" applyAlignment="1">
      <alignment horizontal="left" vertical="center" wrapText="1" indent="1"/>
    </xf>
    <xf numFmtId="43" fontId="53" fillId="0" borderId="10" xfId="1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3" fillId="0" borderId="8" xfId="0" applyFont="1" applyBorder="1" applyAlignment="1">
      <alignment horizontal="left" vertical="center" wrapText="1" indent="1"/>
    </xf>
    <xf numFmtId="43" fontId="53" fillId="0" borderId="8" xfId="1" applyFont="1" applyBorder="1" applyAlignment="1">
      <alignment horizontal="center" vertical="center"/>
    </xf>
    <xf numFmtId="0" fontId="53" fillId="0" borderId="10" xfId="0" applyFont="1" applyBorder="1" applyAlignment="1">
      <alignment horizontal="left" vertical="center" wrapText="1"/>
    </xf>
    <xf numFmtId="0" fontId="53" fillId="0" borderId="2" xfId="0" applyFont="1" applyBorder="1" applyAlignment="1">
      <alignment horizontal="center" vertical="center"/>
    </xf>
    <xf numFmtId="0" fontId="53" fillId="0" borderId="2" xfId="0" applyFont="1" applyBorder="1" applyAlignment="1">
      <alignment horizontal="left" vertical="center" wrapText="1"/>
    </xf>
    <xf numFmtId="43" fontId="53" fillId="0" borderId="2" xfId="1" applyFont="1" applyBorder="1" applyAlignment="1">
      <alignment horizontal="center" vertical="center"/>
    </xf>
    <xf numFmtId="0" fontId="53" fillId="0" borderId="8" xfId="0" applyFont="1" applyBorder="1" applyAlignment="1">
      <alignment horizontal="left" vertical="center" wrapText="1"/>
    </xf>
    <xf numFmtId="0" fontId="55" fillId="0" borderId="0" xfId="0" applyFont="1"/>
    <xf numFmtId="43" fontId="55" fillId="0" borderId="0" xfId="1" applyFont="1"/>
    <xf numFmtId="43" fontId="55" fillId="0" borderId="0" xfId="0" applyNumberFormat="1" applyFont="1"/>
    <xf numFmtId="43" fontId="55" fillId="8" borderId="0" xfId="1" applyFont="1" applyFill="1"/>
    <xf numFmtId="43" fontId="55" fillId="8" borderId="0" xfId="0" applyNumberFormat="1" applyFont="1" applyFill="1"/>
    <xf numFmtId="0" fontId="55" fillId="3" borderId="0" xfId="0" applyFont="1" applyFill="1"/>
    <xf numFmtId="0" fontId="56" fillId="0" borderId="0" xfId="0" applyFont="1" applyAlignment="1">
      <alignment horizontal="left" vertical="center"/>
    </xf>
    <xf numFmtId="43" fontId="56" fillId="0" borderId="0" xfId="1" applyFont="1" applyAlignment="1">
      <alignment horizontal="left" vertical="center"/>
    </xf>
    <xf numFmtId="0" fontId="56" fillId="3" borderId="0" xfId="0" applyFont="1" applyFill="1" applyAlignment="1">
      <alignment horizontal="left" vertical="center"/>
    </xf>
    <xf numFmtId="43" fontId="57" fillId="0" borderId="0" xfId="1" applyFont="1" applyAlignment="1">
      <alignment horizontal="left" vertical="center"/>
    </xf>
    <xf numFmtId="43" fontId="58" fillId="9" borderId="0" xfId="1" applyFont="1" applyFill="1" applyAlignment="1">
      <alignment horizontal="left" vertical="center"/>
    </xf>
    <xf numFmtId="43" fontId="58" fillId="0" borderId="0" xfId="1" applyFont="1" applyAlignment="1">
      <alignment horizontal="left" vertical="center"/>
    </xf>
    <xf numFmtId="43" fontId="59" fillId="0" borderId="0" xfId="1" applyFont="1" applyAlignment="1">
      <alignment horizontal="left" vertical="center"/>
    </xf>
    <xf numFmtId="43" fontId="58" fillId="0" borderId="0" xfId="0" applyNumberFormat="1" applyFont="1" applyAlignment="1">
      <alignment horizontal="left" vertical="center"/>
    </xf>
    <xf numFmtId="43" fontId="58" fillId="6" borderId="0" xfId="1" applyFont="1" applyFill="1" applyAlignment="1">
      <alignment horizontal="left" vertical="center"/>
    </xf>
    <xf numFmtId="43" fontId="59" fillId="6" borderId="0" xfId="1" applyFont="1" applyFill="1" applyAlignment="1">
      <alignment horizontal="left" vertical="center"/>
    </xf>
    <xf numFmtId="43" fontId="59" fillId="6" borderId="0" xfId="0" applyNumberFormat="1" applyFont="1" applyFill="1" applyAlignment="1">
      <alignment horizontal="left" vertical="center"/>
    </xf>
    <xf numFmtId="0" fontId="56" fillId="0" borderId="0" xfId="0" applyFont="1" applyAlignment="1">
      <alignment horizontal="left" vertical="center" indent="1"/>
    </xf>
    <xf numFmtId="43" fontId="56" fillId="0" borderId="0" xfId="1" applyFont="1" applyAlignment="1">
      <alignment horizontal="left" vertical="center" indent="1"/>
    </xf>
    <xf numFmtId="9" fontId="56" fillId="0" borderId="0" xfId="0" applyNumberFormat="1" applyFont="1" applyAlignment="1">
      <alignment horizontal="left" vertical="center" indent="1"/>
    </xf>
    <xf numFmtId="0" fontId="60" fillId="0" borderId="0" xfId="0" applyFont="1" applyAlignment="1">
      <alignment vertical="center"/>
    </xf>
    <xf numFmtId="43" fontId="53" fillId="0" borderId="0" xfId="1" applyFont="1" applyAlignment="1">
      <alignment horizontal="right" vertical="center"/>
    </xf>
    <xf numFmtId="43" fontId="49" fillId="0" borderId="0" xfId="1" applyFont="1" applyAlignment="1">
      <alignment horizontal="right" vertical="center"/>
    </xf>
    <xf numFmtId="43" fontId="54" fillId="0" borderId="0" xfId="1" applyFont="1" applyAlignment="1">
      <alignment horizontal="right" vertical="center"/>
    </xf>
    <xf numFmtId="43" fontId="53" fillId="10" borderId="0" xfId="1" applyFont="1" applyFill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indent="1"/>
    </xf>
    <xf numFmtId="43" fontId="25" fillId="0" borderId="2" xfId="1" applyFont="1" applyBorder="1" applyAlignment="1">
      <alignment horizontal="right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vertical="center"/>
    </xf>
    <xf numFmtId="2" fontId="25" fillId="0" borderId="2" xfId="0" applyNumberFormat="1" applyFont="1" applyFill="1" applyBorder="1" applyAlignment="1">
      <alignment horizontal="center" vertical="center"/>
    </xf>
    <xf numFmtId="43" fontId="25" fillId="0" borderId="2" xfId="1" applyFont="1" applyFill="1" applyBorder="1" applyAlignment="1">
      <alignment horizontal="center" vertical="center"/>
    </xf>
    <xf numFmtId="4" fontId="25" fillId="0" borderId="2" xfId="0" applyNumberFormat="1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2" fontId="25" fillId="0" borderId="7" xfId="0" applyNumberFormat="1" applyFont="1" applyFill="1" applyBorder="1" applyAlignment="1">
      <alignment horizontal="center" vertical="center"/>
    </xf>
    <xf numFmtId="43" fontId="25" fillId="0" borderId="7" xfId="1" applyFont="1" applyFill="1" applyBorder="1" applyAlignment="1">
      <alignment horizontal="center" vertical="center"/>
    </xf>
    <xf numFmtId="4" fontId="25" fillId="0" borderId="7" xfId="0" applyNumberFormat="1" applyFont="1" applyFill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1" fontId="27" fillId="0" borderId="0" xfId="11" applyNumberFormat="1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 indent="1"/>
    </xf>
    <xf numFmtId="0" fontId="25" fillId="0" borderId="0" xfId="0" applyFont="1" applyFill="1" applyAlignment="1">
      <alignment vertical="center"/>
    </xf>
    <xf numFmtId="43" fontId="25" fillId="0" borderId="0" xfId="1" applyFont="1" applyFill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2" xfId="7" applyFont="1" applyBorder="1" applyAlignment="1">
      <alignment horizontal="center" vertical="center"/>
    </xf>
    <xf numFmtId="43" fontId="31" fillId="0" borderId="2" xfId="1" applyFont="1" applyFill="1" applyBorder="1" applyAlignment="1">
      <alignment horizontal="right" vertical="center"/>
    </xf>
    <xf numFmtId="0" fontId="31" fillId="0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0" fontId="31" fillId="0" borderId="2" xfId="0" applyFont="1" applyFill="1" applyBorder="1" applyAlignment="1">
      <alignment horizontal="left" vertical="center"/>
    </xf>
    <xf numFmtId="0" fontId="28" fillId="11" borderId="2" xfId="7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left" vertical="center"/>
    </xf>
    <xf numFmtId="43" fontId="28" fillId="11" borderId="2" xfId="1" applyFont="1" applyFill="1" applyBorder="1" applyAlignment="1">
      <alignment horizontal="right" vertical="center"/>
    </xf>
    <xf numFmtId="0" fontId="28" fillId="11" borderId="2" xfId="0" applyFont="1" applyFill="1" applyBorder="1" applyAlignment="1">
      <alignment horizontal="center" vertical="center"/>
    </xf>
    <xf numFmtId="0" fontId="28" fillId="0" borderId="2" xfId="7" applyFont="1" applyBorder="1" applyAlignment="1">
      <alignment horizontal="center" vertical="center"/>
    </xf>
    <xf numFmtId="0" fontId="32" fillId="0" borderId="2" xfId="0" applyFont="1" applyFill="1" applyBorder="1" applyAlignment="1">
      <alignment horizontal="left" vertical="center"/>
    </xf>
    <xf numFmtId="43" fontId="28" fillId="0" borderId="2" xfId="1" applyFont="1" applyFill="1" applyBorder="1" applyAlignment="1">
      <alignment horizontal="right" vertical="center"/>
    </xf>
    <xf numFmtId="0" fontId="28" fillId="0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2" xfId="1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2" fillId="12" borderId="2" xfId="0" applyFont="1" applyFill="1" applyBorder="1" applyAlignment="1">
      <alignment horizontal="left" vertical="center"/>
    </xf>
    <xf numFmtId="43" fontId="31" fillId="12" borderId="2" xfId="1" applyFont="1" applyFill="1" applyBorder="1" applyAlignment="1">
      <alignment horizontal="right" vertical="center"/>
    </xf>
    <xf numFmtId="0" fontId="31" fillId="0" borderId="4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left" vertical="center"/>
    </xf>
    <xf numFmtId="43" fontId="31" fillId="0" borderId="4" xfId="1" applyFont="1" applyFill="1" applyBorder="1" applyAlignment="1">
      <alignment horizontal="right" vertical="center"/>
    </xf>
    <xf numFmtId="0" fontId="31" fillId="0" borderId="4" xfId="7" applyFont="1" applyBorder="1" applyAlignment="1">
      <alignment horizontal="center" vertical="center"/>
    </xf>
    <xf numFmtId="0" fontId="31" fillId="0" borderId="2" xfId="6" applyFont="1" applyFill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28" fillId="0" borderId="7" xfId="0" applyFont="1" applyFill="1" applyBorder="1" applyAlignment="1">
      <alignment horizontal="left" vertical="center"/>
    </xf>
    <xf numFmtId="43" fontId="31" fillId="0" borderId="7" xfId="1" applyFont="1" applyFill="1" applyBorder="1" applyAlignment="1">
      <alignment horizontal="right" vertical="center"/>
    </xf>
    <xf numFmtId="0" fontId="31" fillId="0" borderId="7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2" fontId="31" fillId="0" borderId="10" xfId="0" applyNumberFormat="1" applyFont="1" applyFill="1" applyBorder="1" applyAlignment="1">
      <alignment horizontal="center" vertical="center"/>
    </xf>
    <xf numFmtId="2" fontId="31" fillId="0" borderId="2" xfId="0" applyNumberFormat="1" applyFont="1" applyFill="1" applyBorder="1" applyAlignment="1">
      <alignment horizontal="center" vertical="center"/>
    </xf>
    <xf numFmtId="2" fontId="31" fillId="0" borderId="7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43" fontId="31" fillId="3" borderId="4" xfId="1" applyFont="1" applyFill="1" applyBorder="1" applyAlignment="1">
      <alignment horizontal="right" vertical="center"/>
    </xf>
    <xf numFmtId="0" fontId="32" fillId="3" borderId="2" xfId="0" applyFont="1" applyFill="1" applyBorder="1" applyAlignment="1">
      <alignment horizontal="left" vertical="center"/>
    </xf>
    <xf numFmtId="0" fontId="25" fillId="0" borderId="4" xfId="0" applyFont="1" applyFill="1" applyBorder="1" applyAlignment="1">
      <alignment horizontal="center" vertical="center"/>
    </xf>
    <xf numFmtId="4" fontId="25" fillId="0" borderId="4" xfId="0" applyNumberFormat="1" applyFont="1" applyFill="1" applyBorder="1" applyAlignment="1">
      <alignment vertical="center"/>
    </xf>
    <xf numFmtId="43" fontId="25" fillId="0" borderId="4" xfId="1" applyFont="1" applyFill="1" applyBorder="1" applyAlignment="1">
      <alignment horizontal="center" vertical="center"/>
    </xf>
    <xf numFmtId="174" fontId="25" fillId="0" borderId="2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2" fontId="25" fillId="0" borderId="2" xfId="0" applyNumberFormat="1" applyFont="1" applyFill="1" applyBorder="1" applyAlignment="1">
      <alignment horizontal="left" vertical="center"/>
    </xf>
    <xf numFmtId="43" fontId="27" fillId="0" borderId="0" xfId="1" applyFont="1" applyFill="1" applyAlignment="1">
      <alignment vertical="center"/>
    </xf>
    <xf numFmtId="0" fontId="27" fillId="0" borderId="0" xfId="0" applyFont="1" applyFill="1" applyAlignment="1">
      <alignment horizontal="left" vertical="center" indent="1"/>
    </xf>
    <xf numFmtId="43" fontId="27" fillId="0" borderId="0" xfId="1" applyFont="1" applyFill="1" applyAlignment="1">
      <alignment horizontal="center" vertical="center"/>
    </xf>
    <xf numFmtId="43" fontId="27" fillId="0" borderId="0" xfId="0" applyNumberFormat="1" applyFont="1" applyFill="1" applyAlignment="1">
      <alignment vertical="center"/>
    </xf>
    <xf numFmtId="173" fontId="28" fillId="12" borderId="1" xfId="0" applyNumberFormat="1" applyFont="1" applyFill="1" applyBorder="1" applyAlignment="1">
      <alignment horizontal="center" vertical="center" wrapText="1"/>
    </xf>
    <xf numFmtId="2" fontId="28" fillId="12" borderId="1" xfId="0" applyNumberFormat="1" applyFont="1" applyFill="1" applyBorder="1" applyAlignment="1">
      <alignment horizontal="center" vertical="center"/>
    </xf>
    <xf numFmtId="1" fontId="28" fillId="12" borderId="1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43" fontId="28" fillId="12" borderId="1" xfId="1" applyFont="1" applyFill="1" applyBorder="1" applyAlignment="1">
      <alignment horizontal="center" vertical="center"/>
    </xf>
    <xf numFmtId="4" fontId="28" fillId="12" borderId="1" xfId="0" applyNumberFormat="1" applyFont="1" applyFill="1" applyBorder="1" applyAlignment="1">
      <alignment horizontal="center" vertical="center"/>
    </xf>
    <xf numFmtId="43" fontId="31" fillId="0" borderId="2" xfId="1" applyFont="1" applyBorder="1" applyAlignment="1">
      <alignment horizontal="right" vertical="center"/>
    </xf>
    <xf numFmtId="43" fontId="31" fillId="0" borderId="7" xfId="1" applyFont="1" applyBorder="1" applyAlignment="1">
      <alignment horizontal="right" vertical="center"/>
    </xf>
    <xf numFmtId="43" fontId="34" fillId="0" borderId="2" xfId="1" applyFont="1" applyFill="1" applyBorder="1" applyAlignment="1">
      <alignment horizontal="right" vertical="center"/>
    </xf>
    <xf numFmtId="43" fontId="34" fillId="0" borderId="4" xfId="1" applyFont="1" applyFill="1" applyBorder="1" applyAlignment="1">
      <alignment horizontal="right" vertical="center"/>
    </xf>
    <xf numFmtId="43" fontId="31" fillId="0" borderId="4" xfId="1" applyFont="1" applyBorder="1" applyAlignment="1">
      <alignment horizontal="right" vertical="center"/>
    </xf>
    <xf numFmtId="43" fontId="31" fillId="0" borderId="3" xfId="1" applyFont="1" applyBorder="1" applyAlignment="1">
      <alignment horizontal="right" vertical="center"/>
    </xf>
    <xf numFmtId="43" fontId="34" fillId="0" borderId="3" xfId="1" applyFont="1" applyBorder="1" applyAlignment="1">
      <alignment horizontal="right" vertical="center"/>
    </xf>
    <xf numFmtId="43" fontId="34" fillId="0" borderId="12" xfId="1" applyFont="1" applyBorder="1" applyAlignment="1">
      <alignment horizontal="right" vertical="center"/>
    </xf>
    <xf numFmtId="43" fontId="31" fillId="0" borderId="10" xfId="1" applyFont="1" applyFill="1" applyBorder="1" applyAlignment="1">
      <alignment horizontal="center" vertical="center"/>
    </xf>
    <xf numFmtId="43" fontId="31" fillId="0" borderId="2" xfId="1" applyFont="1" applyFill="1" applyBorder="1" applyAlignment="1">
      <alignment horizontal="center" vertical="center"/>
    </xf>
    <xf numFmtId="4" fontId="31" fillId="0" borderId="2" xfId="0" applyNumberFormat="1" applyFont="1" applyFill="1" applyBorder="1" applyAlignment="1">
      <alignment vertical="center"/>
    </xf>
    <xf numFmtId="4" fontId="31" fillId="0" borderId="7" xfId="0" applyNumberFormat="1" applyFont="1" applyFill="1" applyBorder="1" applyAlignment="1">
      <alignment vertical="center"/>
    </xf>
    <xf numFmtId="43" fontId="31" fillId="0" borderId="7" xfId="1" applyFont="1" applyFill="1" applyBorder="1" applyAlignment="1">
      <alignment horizontal="center" vertical="center"/>
    </xf>
    <xf numFmtId="43" fontId="34" fillId="12" borderId="13" xfId="1" applyFont="1" applyFill="1" applyBorder="1" applyAlignment="1">
      <alignment horizontal="right" vertical="center"/>
    </xf>
    <xf numFmtId="43" fontId="34" fillId="3" borderId="14" xfId="1" applyFont="1" applyFill="1" applyBorder="1" applyAlignment="1">
      <alignment horizontal="right" vertical="center"/>
    </xf>
    <xf numFmtId="43" fontId="28" fillId="13" borderId="13" xfId="1" applyFont="1" applyFill="1" applyBorder="1" applyAlignment="1">
      <alignment horizontal="right" vertical="center"/>
    </xf>
    <xf numFmtId="43" fontId="61" fillId="0" borderId="2" xfId="1" applyFont="1" applyBorder="1" applyAlignment="1">
      <alignment horizontal="center" vertical="center"/>
    </xf>
    <xf numFmtId="43" fontId="62" fillId="13" borderId="13" xfId="1" applyFont="1" applyFill="1" applyBorder="1" applyAlignment="1">
      <alignment horizontal="right" vertical="center"/>
    </xf>
    <xf numFmtId="43" fontId="63" fillId="0" borderId="2" xfId="1" applyFont="1" applyFill="1" applyBorder="1" applyAlignment="1">
      <alignment horizontal="center" vertical="center"/>
    </xf>
    <xf numFmtId="43" fontId="63" fillId="12" borderId="13" xfId="1" applyFont="1" applyFill="1" applyBorder="1" applyAlignment="1">
      <alignment horizontal="right" vertical="center"/>
    </xf>
    <xf numFmtId="43" fontId="63" fillId="3" borderId="14" xfId="1" applyFont="1" applyFill="1" applyBorder="1" applyAlignment="1">
      <alignment horizontal="right" vertical="center"/>
    </xf>
    <xf numFmtId="43" fontId="63" fillId="0" borderId="2" xfId="1" applyFont="1" applyBorder="1" applyAlignment="1">
      <alignment horizontal="center" vertical="center"/>
    </xf>
    <xf numFmtId="43" fontId="63" fillId="0" borderId="12" xfId="1" applyFont="1" applyBorder="1" applyAlignment="1">
      <alignment horizontal="right" vertical="center"/>
    </xf>
    <xf numFmtId="0" fontId="30" fillId="0" borderId="0" xfId="9" applyFont="1" applyFill="1" applyAlignment="1">
      <alignment horizontal="center" vertical="center"/>
    </xf>
    <xf numFmtId="14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center" indent="1"/>
    </xf>
    <xf numFmtId="43" fontId="30" fillId="0" borderId="0" xfId="1" applyFont="1" applyBorder="1" applyAlignment="1">
      <alignment horizontal="right" vertical="center"/>
    </xf>
    <xf numFmtId="0" fontId="36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center" indent="1"/>
    </xf>
    <xf numFmtId="0" fontId="37" fillId="0" borderId="0" xfId="7" applyFont="1" applyAlignment="1">
      <alignment horizontal="left" vertical="center"/>
    </xf>
    <xf numFmtId="43" fontId="30" fillId="0" borderId="0" xfId="1" applyFont="1" applyAlignment="1">
      <alignment horizontal="right" vertical="center"/>
    </xf>
    <xf numFmtId="0" fontId="37" fillId="0" borderId="0" xfId="0" applyFont="1" applyAlignment="1">
      <alignment horizontal="left" vertical="center"/>
    </xf>
    <xf numFmtId="0" fontId="25" fillId="0" borderId="7" xfId="0" applyFont="1" applyFill="1" applyBorder="1" applyAlignment="1">
      <alignment horizontal="left" vertical="center" indent="1"/>
    </xf>
    <xf numFmtId="43" fontId="25" fillId="0" borderId="7" xfId="1" applyFont="1" applyBorder="1" applyAlignment="1">
      <alignment horizontal="right" vertical="center"/>
    </xf>
    <xf numFmtId="4" fontId="31" fillId="0" borderId="0" xfId="0" applyNumberFormat="1" applyFont="1" applyFill="1" applyBorder="1" applyAlignment="1">
      <alignment horizontal="center" vertical="center"/>
    </xf>
    <xf numFmtId="2" fontId="31" fillId="0" borderId="0" xfId="0" applyNumberFormat="1" applyFont="1" applyFill="1" applyBorder="1" applyAlignment="1">
      <alignment vertical="center"/>
    </xf>
    <xf numFmtId="0" fontId="31" fillId="0" borderId="0" xfId="0" applyFont="1" applyFill="1" applyAlignment="1">
      <alignment vertical="center"/>
    </xf>
    <xf numFmtId="4" fontId="31" fillId="0" borderId="0" xfId="0" applyNumberFormat="1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2" fontId="31" fillId="0" borderId="2" xfId="0" applyNumberFormat="1" applyFont="1" applyFill="1" applyBorder="1" applyAlignment="1">
      <alignment horizontal="left" vertical="center" wrapText="1"/>
    </xf>
    <xf numFmtId="4" fontId="39" fillId="0" borderId="0" xfId="0" applyNumberFormat="1" applyFont="1" applyFill="1" applyBorder="1" applyAlignment="1">
      <alignment vertical="center"/>
    </xf>
    <xf numFmtId="4" fontId="31" fillId="0" borderId="0" xfId="0" applyNumberFormat="1" applyFont="1" applyFill="1" applyAlignment="1">
      <alignment vertical="center"/>
    </xf>
    <xf numFmtId="43" fontId="31" fillId="0" borderId="0" xfId="0" applyNumberFormat="1" applyFont="1" applyFill="1" applyAlignment="1">
      <alignment vertical="center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 indent="1"/>
    </xf>
    <xf numFmtId="43" fontId="31" fillId="0" borderId="0" xfId="1" applyFont="1" applyFill="1" applyAlignment="1">
      <alignment horizontal="center" vertical="center"/>
    </xf>
    <xf numFmtId="2" fontId="31" fillId="0" borderId="0" xfId="0" applyNumberFormat="1" applyFont="1" applyFill="1" applyBorder="1" applyAlignment="1">
      <alignment horizontal="center" vertical="center"/>
    </xf>
    <xf numFmtId="1" fontId="31" fillId="0" borderId="0" xfId="11" applyNumberFormat="1" applyFont="1" applyFill="1" applyBorder="1" applyAlignment="1">
      <alignment vertical="center"/>
    </xf>
    <xf numFmtId="0" fontId="31" fillId="0" borderId="10" xfId="0" applyFont="1" applyFill="1" applyBorder="1" applyAlignment="1">
      <alignment vertical="center"/>
    </xf>
    <xf numFmtId="0" fontId="31" fillId="0" borderId="2" xfId="0" applyFont="1" applyFill="1" applyBorder="1" applyAlignment="1">
      <alignment vertical="center" wrapText="1"/>
    </xf>
    <xf numFmtId="2" fontId="31" fillId="0" borderId="2" xfId="0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64" fillId="0" borderId="0" xfId="7" applyFont="1" applyAlignment="1">
      <alignment horizontal="center" vertical="center"/>
    </xf>
    <xf numFmtId="0" fontId="31" fillId="0" borderId="0" xfId="7" applyFont="1" applyAlignment="1">
      <alignment horizontal="center" vertical="center"/>
    </xf>
    <xf numFmtId="0" fontId="28" fillId="0" borderId="0" xfId="7" applyFont="1" applyAlignment="1">
      <alignment horizontal="center" vertical="center"/>
    </xf>
    <xf numFmtId="43" fontId="31" fillId="0" borderId="0" xfId="7" applyNumberFormat="1" applyFont="1" applyAlignment="1">
      <alignment horizontal="center" vertical="center"/>
    </xf>
    <xf numFmtId="43" fontId="3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43" fontId="31" fillId="0" borderId="0" xfId="1" applyFont="1" applyFill="1" applyAlignment="1">
      <alignment horizontal="right" vertical="center"/>
    </xf>
    <xf numFmtId="43" fontId="31" fillId="0" borderId="0" xfId="1" applyFont="1" applyAlignment="1">
      <alignment horizontal="right" vertical="center"/>
    </xf>
    <xf numFmtId="43" fontId="61" fillId="0" borderId="0" xfId="1" applyFont="1" applyAlignment="1">
      <alignment horizontal="center" vertical="center"/>
    </xf>
    <xf numFmtId="0" fontId="28" fillId="0" borderId="0" xfId="7" applyFont="1" applyAlignment="1">
      <alignment horizontal="left" vertical="center"/>
    </xf>
    <xf numFmtId="0" fontId="31" fillId="0" borderId="0" xfId="9" applyFont="1" applyFill="1" applyAlignment="1">
      <alignment horizontal="center" vertical="center"/>
    </xf>
    <xf numFmtId="2" fontId="31" fillId="0" borderId="2" xfId="0" applyNumberFormat="1" applyFont="1" applyFill="1" applyBorder="1" applyAlignment="1">
      <alignment vertical="center"/>
    </xf>
    <xf numFmtId="4" fontId="28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vertical="center"/>
    </xf>
    <xf numFmtId="2" fontId="28" fillId="0" borderId="2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center" vertical="center"/>
    </xf>
    <xf numFmtId="43" fontId="31" fillId="0" borderId="0" xfId="1" applyFont="1" applyFill="1" applyBorder="1" applyAlignment="1">
      <alignment horizontal="right" vertical="center"/>
    </xf>
    <xf numFmtId="2" fontId="28" fillId="0" borderId="0" xfId="0" applyNumberFormat="1" applyFont="1" applyFill="1" applyBorder="1" applyAlignment="1">
      <alignment horizontal="center" vertical="center"/>
    </xf>
    <xf numFmtId="2" fontId="28" fillId="0" borderId="2" xfId="0" applyNumberFormat="1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left" vertical="center" indent="1"/>
    </xf>
    <xf numFmtId="2" fontId="31" fillId="3" borderId="2" xfId="0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left" vertical="center" indent="1"/>
    </xf>
    <xf numFmtId="172" fontId="31" fillId="0" borderId="2" xfId="0" applyNumberFormat="1" applyFont="1" applyFill="1" applyBorder="1" applyAlignment="1">
      <alignment horizontal="center" vertical="center"/>
    </xf>
    <xf numFmtId="43" fontId="31" fillId="0" borderId="13" xfId="1" applyFont="1" applyFill="1" applyBorder="1" applyAlignment="1">
      <alignment horizontal="right" vertical="center"/>
    </xf>
    <xf numFmtId="172" fontId="31" fillId="0" borderId="13" xfId="0" applyNumberFormat="1" applyFont="1" applyFill="1" applyBorder="1" applyAlignment="1">
      <alignment horizontal="center" vertical="center"/>
    </xf>
    <xf numFmtId="4" fontId="28" fillId="0" borderId="13" xfId="0" applyNumberFormat="1" applyFont="1" applyFill="1" applyBorder="1" applyAlignment="1">
      <alignment vertical="center"/>
    </xf>
    <xf numFmtId="172" fontId="31" fillId="0" borderId="4" xfId="0" applyNumberFormat="1" applyFont="1" applyFill="1" applyBorder="1" applyAlignment="1">
      <alignment horizontal="center" vertical="center"/>
    </xf>
    <xf numFmtId="4" fontId="39" fillId="0" borderId="4" xfId="0" applyNumberFormat="1" applyFont="1" applyFill="1" applyBorder="1" applyAlignment="1">
      <alignment vertical="center"/>
    </xf>
    <xf numFmtId="0" fontId="28" fillId="0" borderId="2" xfId="0" applyFont="1" applyFill="1" applyBorder="1" applyAlignment="1">
      <alignment vertical="center"/>
    </xf>
    <xf numFmtId="2" fontId="28" fillId="3" borderId="2" xfId="0" applyNumberFormat="1" applyFont="1" applyFill="1" applyBorder="1" applyAlignment="1">
      <alignment horizontal="center" vertical="center"/>
    </xf>
    <xf numFmtId="43" fontId="64" fillId="0" borderId="2" xfId="1" applyFont="1" applyFill="1" applyBorder="1" applyAlignment="1">
      <alignment horizontal="right" vertical="center"/>
    </xf>
    <xf numFmtId="0" fontId="64" fillId="0" borderId="2" xfId="0" applyFont="1" applyFill="1" applyBorder="1" applyAlignment="1">
      <alignment horizontal="center" vertical="center"/>
    </xf>
    <xf numFmtId="4" fontId="64" fillId="0" borderId="2" xfId="0" applyNumberFormat="1" applyFont="1" applyFill="1" applyBorder="1" applyAlignment="1">
      <alignment vertical="center"/>
    </xf>
    <xf numFmtId="0" fontId="39" fillId="0" borderId="2" xfId="0" applyFont="1" applyBorder="1" applyAlignment="1">
      <alignment horizontal="left" vertical="center" indent="1"/>
    </xf>
    <xf numFmtId="172" fontId="31" fillId="3" borderId="2" xfId="0" applyNumberFormat="1" applyFont="1" applyFill="1" applyBorder="1" applyAlignment="1">
      <alignment horizontal="center" vertical="center"/>
    </xf>
    <xf numFmtId="2" fontId="3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 indent="1"/>
    </xf>
    <xf numFmtId="0" fontId="31" fillId="0" borderId="3" xfId="0" applyFont="1" applyFill="1" applyBorder="1" applyAlignment="1">
      <alignment horizontal="center" vertical="center"/>
    </xf>
    <xf numFmtId="4" fontId="31" fillId="0" borderId="3" xfId="0" applyNumberFormat="1" applyFont="1" applyFill="1" applyBorder="1" applyAlignment="1">
      <alignment vertical="center"/>
    </xf>
    <xf numFmtId="43" fontId="31" fillId="0" borderId="3" xfId="1" applyFont="1" applyFill="1" applyBorder="1" applyAlignment="1">
      <alignment horizontal="right" vertical="center"/>
    </xf>
    <xf numFmtId="172" fontId="31" fillId="0" borderId="3" xfId="0" applyNumberFormat="1" applyFont="1" applyFill="1" applyBorder="1" applyAlignment="1">
      <alignment horizontal="center" vertical="center"/>
    </xf>
    <xf numFmtId="4" fontId="28" fillId="0" borderId="3" xfId="0" applyNumberFormat="1" applyFont="1" applyFill="1" applyBorder="1" applyAlignment="1">
      <alignment vertical="center"/>
    </xf>
    <xf numFmtId="0" fontId="28" fillId="0" borderId="2" xfId="0" applyFont="1" applyFill="1" applyBorder="1" applyAlignment="1">
      <alignment vertical="center" wrapText="1"/>
    </xf>
    <xf numFmtId="4" fontId="39" fillId="0" borderId="2" xfId="0" applyNumberFormat="1" applyFont="1" applyFill="1" applyBorder="1" applyAlignment="1">
      <alignment vertical="center"/>
    </xf>
    <xf numFmtId="173" fontId="28" fillId="0" borderId="2" xfId="0" applyNumberFormat="1" applyFont="1" applyFill="1" applyBorder="1" applyAlignment="1">
      <alignment horizontal="center" vertical="center"/>
    </xf>
    <xf numFmtId="2" fontId="28" fillId="0" borderId="2" xfId="0" applyNumberFormat="1" applyFont="1" applyFill="1" applyBorder="1" applyAlignment="1">
      <alignment vertical="center"/>
    </xf>
    <xf numFmtId="4" fontId="32" fillId="0" borderId="2" xfId="0" applyNumberFormat="1" applyFont="1" applyFill="1" applyBorder="1" applyAlignment="1">
      <alignment vertical="center"/>
    </xf>
    <xf numFmtId="172" fontId="28" fillId="0" borderId="2" xfId="0" applyNumberFormat="1" applyFont="1" applyFill="1" applyBorder="1" applyAlignment="1">
      <alignment horizontal="center" vertical="center"/>
    </xf>
    <xf numFmtId="2" fontId="28" fillId="0" borderId="2" xfId="0" applyNumberFormat="1" applyFont="1" applyFill="1" applyBorder="1" applyAlignment="1">
      <alignment horizontal="left" vertical="center"/>
    </xf>
    <xf numFmtId="4" fontId="31" fillId="0" borderId="15" xfId="0" applyNumberFormat="1" applyFont="1" applyFill="1" applyBorder="1" applyAlignment="1">
      <alignment vertical="center"/>
    </xf>
    <xf numFmtId="0" fontId="31" fillId="0" borderId="15" xfId="0" applyFont="1" applyFill="1" applyBorder="1" applyAlignment="1">
      <alignment vertical="center"/>
    </xf>
    <xf numFmtId="0" fontId="39" fillId="0" borderId="2" xfId="0" applyFont="1" applyFill="1" applyBorder="1" applyAlignment="1">
      <alignment vertical="center"/>
    </xf>
    <xf numFmtId="4" fontId="39" fillId="0" borderId="15" xfId="0" applyNumberFormat="1" applyFont="1" applyFill="1" applyBorder="1" applyAlignment="1">
      <alignment vertical="center"/>
    </xf>
    <xf numFmtId="0" fontId="28" fillId="0" borderId="2" xfId="0" applyFont="1" applyFill="1" applyBorder="1" applyAlignment="1">
      <alignment horizontal="center" vertical="top"/>
    </xf>
    <xf numFmtId="2" fontId="28" fillId="0" borderId="2" xfId="0" applyNumberFormat="1" applyFont="1" applyFill="1" applyBorder="1" applyAlignment="1">
      <alignment vertical="center" wrapText="1"/>
    </xf>
    <xf numFmtId="4" fontId="28" fillId="0" borderId="2" xfId="0" applyNumberFormat="1" applyFont="1" applyFill="1" applyBorder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8" fillId="0" borderId="0" xfId="0" applyFont="1" applyFill="1" applyBorder="1" applyAlignment="1">
      <alignment vertical="center"/>
    </xf>
    <xf numFmtId="188" fontId="31" fillId="0" borderId="0" xfId="0" applyNumberFormat="1" applyFont="1" applyFill="1" applyBorder="1" applyAlignment="1">
      <alignment vertical="center"/>
    </xf>
    <xf numFmtId="172" fontId="28" fillId="0" borderId="0" xfId="0" applyNumberFormat="1" applyFont="1" applyFill="1" applyBorder="1" applyAlignment="1">
      <alignment horizontal="center" vertical="center" wrapText="1"/>
    </xf>
    <xf numFmtId="172" fontId="31" fillId="0" borderId="0" xfId="0" applyNumberFormat="1" applyFont="1" applyFill="1" applyBorder="1" applyAlignment="1">
      <alignment horizontal="center" vertical="center" wrapText="1"/>
    </xf>
    <xf numFmtId="172" fontId="31" fillId="0" borderId="0" xfId="0" applyNumberFormat="1" applyFont="1" applyFill="1" applyBorder="1" applyAlignment="1">
      <alignment horizontal="center" vertical="center"/>
    </xf>
    <xf numFmtId="172" fontId="28" fillId="0" borderId="0" xfId="0" applyNumberFormat="1" applyFont="1" applyFill="1" applyBorder="1" applyAlignment="1">
      <alignment horizontal="center" vertical="center"/>
    </xf>
    <xf numFmtId="172" fontId="31" fillId="0" borderId="0" xfId="0" applyNumberFormat="1" applyFont="1" applyFill="1" applyBorder="1" applyAlignment="1">
      <alignment horizontal="right" vertical="center"/>
    </xf>
    <xf numFmtId="172" fontId="65" fillId="0" borderId="0" xfId="0" applyNumberFormat="1" applyFont="1" applyFill="1" applyBorder="1" applyAlignment="1">
      <alignment horizontal="center" vertical="center"/>
    </xf>
    <xf numFmtId="172" fontId="64" fillId="0" borderId="0" xfId="0" applyNumberFormat="1" applyFont="1" applyFill="1" applyBorder="1" applyAlignment="1">
      <alignment horizontal="center" vertical="center"/>
    </xf>
    <xf numFmtId="2" fontId="64" fillId="0" borderId="0" xfId="0" applyNumberFormat="1" applyFont="1" applyFill="1" applyBorder="1" applyAlignment="1">
      <alignment vertical="center"/>
    </xf>
    <xf numFmtId="2" fontId="64" fillId="0" borderId="0" xfId="0" applyNumberFormat="1" applyFont="1" applyFill="1" applyBorder="1" applyAlignment="1">
      <alignment horizontal="center" vertical="center"/>
    </xf>
    <xf numFmtId="173" fontId="65" fillId="0" borderId="2" xfId="0" applyNumberFormat="1" applyFont="1" applyFill="1" applyBorder="1" applyAlignment="1">
      <alignment horizontal="center" vertical="center"/>
    </xf>
    <xf numFmtId="2" fontId="65" fillId="0" borderId="2" xfId="0" applyNumberFormat="1" applyFont="1" applyFill="1" applyBorder="1" applyAlignment="1">
      <alignment vertical="center"/>
    </xf>
    <xf numFmtId="2" fontId="65" fillId="0" borderId="2" xfId="0" applyNumberFormat="1" applyFont="1" applyFill="1" applyBorder="1" applyAlignment="1">
      <alignment horizontal="right" vertical="center"/>
    </xf>
    <xf numFmtId="2" fontId="64" fillId="0" borderId="2" xfId="0" applyNumberFormat="1" applyFont="1" applyFill="1" applyBorder="1" applyAlignment="1">
      <alignment vertical="center"/>
    </xf>
    <xf numFmtId="172" fontId="64" fillId="0" borderId="2" xfId="0" applyNumberFormat="1" applyFont="1" applyFill="1" applyBorder="1" applyAlignment="1">
      <alignment horizontal="center" vertical="center"/>
    </xf>
    <xf numFmtId="0" fontId="65" fillId="0" borderId="2" xfId="0" applyFont="1" applyFill="1" applyBorder="1" applyAlignment="1">
      <alignment horizontal="center" vertical="center"/>
    </xf>
    <xf numFmtId="2" fontId="64" fillId="0" borderId="15" xfId="0" applyNumberFormat="1" applyFont="1" applyFill="1" applyBorder="1" applyAlignment="1">
      <alignment horizontal="right" vertical="center"/>
    </xf>
    <xf numFmtId="2" fontId="64" fillId="0" borderId="2" xfId="0" applyNumberFormat="1" applyFont="1" applyFill="1" applyBorder="1" applyAlignment="1">
      <alignment horizontal="right"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65" fillId="0" borderId="7" xfId="0" applyFont="1" applyFill="1" applyBorder="1" applyAlignment="1">
      <alignment horizontal="center" vertical="center"/>
    </xf>
    <xf numFmtId="2" fontId="64" fillId="0" borderId="16" xfId="0" applyNumberFormat="1" applyFont="1" applyFill="1" applyBorder="1" applyAlignment="1">
      <alignment horizontal="right" vertical="center"/>
    </xf>
    <xf numFmtId="1" fontId="64" fillId="0" borderId="7" xfId="0" applyNumberFormat="1" applyFont="1" applyFill="1" applyBorder="1" applyAlignment="1">
      <alignment horizontal="left" vertical="center" indent="1"/>
    </xf>
    <xf numFmtId="2" fontId="64" fillId="0" borderId="7" xfId="0" applyNumberFormat="1" applyFont="1" applyFill="1" applyBorder="1" applyAlignment="1">
      <alignment horizontal="right" vertical="center"/>
    </xf>
    <xf numFmtId="2" fontId="64" fillId="0" borderId="7" xfId="0" applyNumberFormat="1" applyFont="1" applyFill="1" applyBorder="1" applyAlignment="1">
      <alignment vertical="center"/>
    </xf>
    <xf numFmtId="0" fontId="64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vertical="center"/>
    </xf>
    <xf numFmtId="2" fontId="64" fillId="0" borderId="0" xfId="0" applyNumberFormat="1" applyFont="1" applyFill="1" applyBorder="1" applyAlignment="1">
      <alignment horizontal="right"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vertical="center"/>
    </xf>
    <xf numFmtId="2" fontId="31" fillId="0" borderId="17" xfId="0" applyNumberFormat="1" applyFont="1" applyFill="1" applyBorder="1" applyAlignment="1">
      <alignment horizontal="right" vertical="center"/>
    </xf>
    <xf numFmtId="2" fontId="31" fillId="0" borderId="4" xfId="0" applyNumberFormat="1" applyFont="1" applyFill="1" applyBorder="1" applyAlignment="1">
      <alignment horizontal="right" vertical="center"/>
    </xf>
    <xf numFmtId="2" fontId="28" fillId="0" borderId="3" xfId="0" applyNumberFormat="1" applyFont="1" applyFill="1" applyBorder="1" applyAlignment="1">
      <alignment vertical="center"/>
    </xf>
    <xf numFmtId="2" fontId="31" fillId="0" borderId="2" xfId="0" applyNumberFormat="1" applyFont="1" applyFill="1" applyBorder="1" applyAlignment="1">
      <alignment horizontal="right" vertical="center"/>
    </xf>
    <xf numFmtId="2" fontId="28" fillId="0" borderId="13" xfId="0" applyNumberFormat="1" applyFont="1" applyFill="1" applyBorder="1" applyAlignment="1">
      <alignment vertical="center"/>
    </xf>
    <xf numFmtId="172" fontId="28" fillId="0" borderId="13" xfId="0" applyNumberFormat="1" applyFont="1" applyFill="1" applyBorder="1" applyAlignment="1">
      <alignment horizontal="center" vertical="center"/>
    </xf>
    <xf numFmtId="2" fontId="31" fillId="0" borderId="15" xfId="0" applyNumberFormat="1" applyFont="1" applyFill="1" applyBorder="1" applyAlignment="1">
      <alignment horizontal="right" vertical="center"/>
    </xf>
    <xf numFmtId="2" fontId="31" fillId="0" borderId="4" xfId="0" applyNumberFormat="1" applyFont="1" applyFill="1" applyBorder="1" applyAlignment="1">
      <alignment vertical="center"/>
    </xf>
    <xf numFmtId="172" fontId="28" fillId="0" borderId="4" xfId="0" applyNumberFormat="1" applyFont="1" applyFill="1" applyBorder="1" applyAlignment="1">
      <alignment horizontal="center" vertical="center"/>
    </xf>
    <xf numFmtId="2" fontId="31" fillId="0" borderId="7" xfId="0" applyNumberFormat="1" applyFont="1" applyFill="1" applyBorder="1" applyAlignment="1">
      <alignment vertical="center"/>
    </xf>
    <xf numFmtId="2" fontId="28" fillId="0" borderId="18" xfId="0" applyNumberFormat="1" applyFont="1" applyFill="1" applyBorder="1" applyAlignment="1">
      <alignment vertical="center"/>
    </xf>
    <xf numFmtId="2" fontId="28" fillId="0" borderId="12" xfId="0" applyNumberFormat="1" applyFont="1" applyFill="1" applyBorder="1" applyAlignment="1">
      <alignment vertical="center"/>
    </xf>
    <xf numFmtId="2" fontId="28" fillId="0" borderId="4" xfId="0" applyNumberFormat="1" applyFont="1" applyFill="1" applyBorder="1" applyAlignment="1">
      <alignment vertical="center"/>
    </xf>
    <xf numFmtId="2" fontId="28" fillId="0" borderId="7" xfId="0" applyNumberFormat="1" applyFont="1" applyFill="1" applyBorder="1" applyAlignment="1">
      <alignment vertical="center"/>
    </xf>
    <xf numFmtId="2" fontId="28" fillId="0" borderId="15" xfId="0" applyNumberFormat="1" applyFont="1" applyFill="1" applyBorder="1" applyAlignment="1">
      <alignment horizontal="right" vertical="center"/>
    </xf>
    <xf numFmtId="2" fontId="28" fillId="0" borderId="2" xfId="0" applyNumberFormat="1" applyFont="1" applyFill="1" applyBorder="1" applyAlignment="1">
      <alignment horizontal="right" vertical="center"/>
    </xf>
    <xf numFmtId="2" fontId="31" fillId="0" borderId="7" xfId="0" applyNumberFormat="1" applyFont="1" applyFill="1" applyBorder="1" applyAlignment="1">
      <alignment horizontal="right" vertical="center"/>
    </xf>
    <xf numFmtId="0" fontId="28" fillId="0" borderId="19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vertical="center"/>
    </xf>
    <xf numFmtId="0" fontId="66" fillId="0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horizontal="center" vertical="center"/>
    </xf>
    <xf numFmtId="4" fontId="66" fillId="0" borderId="0" xfId="0" applyNumberFormat="1" applyFont="1" applyFill="1" applyBorder="1" applyAlignment="1">
      <alignment vertical="center"/>
    </xf>
    <xf numFmtId="4" fontId="66" fillId="0" borderId="4" xfId="0" applyNumberFormat="1" applyFont="1" applyFill="1" applyBorder="1" applyAlignment="1">
      <alignment vertical="center"/>
    </xf>
    <xf numFmtId="4" fontId="66" fillId="0" borderId="2" xfId="0" applyNumberFormat="1" applyFont="1" applyFill="1" applyBorder="1" applyAlignment="1">
      <alignment vertical="center"/>
    </xf>
    <xf numFmtId="4" fontId="67" fillId="0" borderId="2" xfId="0" applyNumberFormat="1" applyFont="1" applyFill="1" applyBorder="1" applyAlignment="1">
      <alignment vertical="center"/>
    </xf>
    <xf numFmtId="4" fontId="68" fillId="0" borderId="2" xfId="0" applyNumberFormat="1" applyFont="1" applyFill="1" applyBorder="1" applyAlignment="1">
      <alignment vertical="center"/>
    </xf>
    <xf numFmtId="4" fontId="69" fillId="0" borderId="2" xfId="0" applyNumberFormat="1" applyFont="1" applyFill="1" applyBorder="1" applyAlignment="1">
      <alignment vertical="center"/>
    </xf>
    <xf numFmtId="0" fontId="31" fillId="0" borderId="7" xfId="0" applyFont="1" applyFill="1" applyBorder="1" applyAlignment="1">
      <alignment vertical="center"/>
    </xf>
    <xf numFmtId="2" fontId="31" fillId="3" borderId="7" xfId="0" applyNumberFormat="1" applyFont="1" applyFill="1" applyBorder="1" applyAlignment="1">
      <alignment horizontal="center" vertical="center"/>
    </xf>
    <xf numFmtId="4" fontId="67" fillId="0" borderId="7" xfId="0" applyNumberFormat="1" applyFont="1" applyFill="1" applyBorder="1" applyAlignment="1">
      <alignment vertical="center"/>
    </xf>
    <xf numFmtId="0" fontId="28" fillId="3" borderId="19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vertical="center"/>
    </xf>
    <xf numFmtId="4" fontId="32" fillId="0" borderId="19" xfId="0" applyNumberFormat="1" applyFont="1" applyFill="1" applyBorder="1" applyAlignment="1">
      <alignment vertical="center"/>
    </xf>
    <xf numFmtId="4" fontId="69" fillId="0" borderId="19" xfId="0" applyNumberFormat="1" applyFont="1" applyFill="1" applyBorder="1" applyAlignment="1">
      <alignment vertical="center"/>
    </xf>
    <xf numFmtId="2" fontId="31" fillId="0" borderId="2" xfId="0" applyNumberFormat="1" applyFont="1" applyFill="1" applyBorder="1" applyAlignment="1">
      <alignment horizontal="right" vertical="center" indent="1"/>
    </xf>
    <xf numFmtId="43" fontId="66" fillId="0" borderId="2" xfId="1" applyFont="1" applyFill="1" applyBorder="1" applyAlignment="1">
      <alignment horizontal="center" vertical="center"/>
    </xf>
    <xf numFmtId="2" fontId="31" fillId="0" borderId="7" xfId="0" applyNumberFormat="1" applyFont="1" applyFill="1" applyBorder="1" applyAlignment="1">
      <alignment horizontal="right" vertical="center" indent="1"/>
    </xf>
    <xf numFmtId="2" fontId="31" fillId="0" borderId="13" xfId="0" applyNumberFormat="1" applyFont="1" applyFill="1" applyBorder="1" applyAlignment="1">
      <alignment horizontal="right" vertical="center" indent="1"/>
    </xf>
    <xf numFmtId="2" fontId="31" fillId="0" borderId="20" xfId="0" applyNumberFormat="1" applyFont="1" applyFill="1" applyBorder="1" applyAlignment="1">
      <alignment horizontal="right" vertical="center" indent="1"/>
    </xf>
    <xf numFmtId="4" fontId="28" fillId="0" borderId="4" xfId="0" applyNumberFormat="1" applyFont="1" applyFill="1" applyBorder="1" applyAlignment="1">
      <alignment vertical="center"/>
    </xf>
    <xf numFmtId="2" fontId="66" fillId="0" borderId="2" xfId="0" applyNumberFormat="1" applyFont="1" applyFill="1" applyBorder="1" applyAlignment="1">
      <alignment horizontal="right" vertical="center" indent="1"/>
    </xf>
    <xf numFmtId="2" fontId="31" fillId="3" borderId="15" xfId="0" applyNumberFormat="1" applyFont="1" applyFill="1" applyBorder="1" applyAlignment="1">
      <alignment horizontal="center" vertical="center"/>
    </xf>
    <xf numFmtId="0" fontId="31" fillId="0" borderId="21" xfId="0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2" fontId="31" fillId="0" borderId="8" xfId="0" applyNumberFormat="1" applyFont="1" applyFill="1" applyBorder="1" applyAlignment="1">
      <alignment horizontal="center" vertical="center"/>
    </xf>
    <xf numFmtId="2" fontId="31" fillId="3" borderId="8" xfId="0" applyNumberFormat="1" applyFont="1" applyFill="1" applyBorder="1" applyAlignment="1">
      <alignment horizontal="center" vertical="center"/>
    </xf>
    <xf numFmtId="43" fontId="66" fillId="0" borderId="0" xfId="1" applyFont="1" applyFill="1" applyBorder="1" applyAlignment="1">
      <alignment horizontal="right" vertical="center"/>
    </xf>
    <xf numFmtId="4" fontId="68" fillId="0" borderId="0" xfId="0" applyNumberFormat="1" applyFont="1" applyFill="1" applyBorder="1" applyAlignment="1">
      <alignment vertical="center"/>
    </xf>
    <xf numFmtId="0" fontId="25" fillId="0" borderId="4" xfId="0" applyFont="1" applyFill="1" applyBorder="1" applyAlignment="1">
      <alignment vertical="center"/>
    </xf>
    <xf numFmtId="43" fontId="25" fillId="0" borderId="2" xfId="0" applyNumberFormat="1" applyFont="1" applyFill="1" applyBorder="1" applyAlignment="1">
      <alignment horizontal="center" vertical="center"/>
    </xf>
    <xf numFmtId="4" fontId="25" fillId="0" borderId="2" xfId="0" applyNumberFormat="1" applyFont="1" applyBorder="1" applyAlignment="1">
      <alignment horizontal="center" vertical="center"/>
    </xf>
    <xf numFmtId="4" fontId="25" fillId="0" borderId="2" xfId="0" applyNumberFormat="1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2" fontId="28" fillId="0" borderId="13" xfId="0" applyNumberFormat="1" applyFont="1" applyFill="1" applyBorder="1" applyAlignment="1">
      <alignment horizontal="right" vertical="center" indent="1"/>
    </xf>
    <xf numFmtId="172" fontId="28" fillId="0" borderId="20" xfId="0" applyNumberFormat="1" applyFont="1" applyFill="1" applyBorder="1" applyAlignment="1">
      <alignment horizontal="center" vertical="center"/>
    </xf>
    <xf numFmtId="2" fontId="28" fillId="0" borderId="20" xfId="0" applyNumberFormat="1" applyFont="1" applyFill="1" applyBorder="1" applyAlignment="1">
      <alignment horizontal="right" vertical="center" indent="1"/>
    </xf>
    <xf numFmtId="43" fontId="28" fillId="0" borderId="14" xfId="1" applyFont="1" applyFill="1" applyBorder="1" applyAlignment="1">
      <alignment horizontal="right" vertical="center"/>
    </xf>
    <xf numFmtId="43" fontId="28" fillId="0" borderId="13" xfId="1" applyFont="1" applyFill="1" applyBorder="1" applyAlignment="1">
      <alignment horizontal="right" vertical="center"/>
    </xf>
    <xf numFmtId="0" fontId="31" fillId="0" borderId="4" xfId="0" applyFont="1" applyFill="1" applyBorder="1" applyAlignment="1">
      <alignment horizontal="left" vertical="center" indent="1"/>
    </xf>
    <xf numFmtId="2" fontId="31" fillId="0" borderId="4" xfId="0" applyNumberFormat="1" applyFont="1" applyFill="1" applyBorder="1" applyAlignment="1">
      <alignment horizontal="center" vertical="center"/>
    </xf>
    <xf numFmtId="2" fontId="31" fillId="3" borderId="4" xfId="0" applyNumberFormat="1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vertical="center"/>
    </xf>
    <xf numFmtId="4" fontId="32" fillId="0" borderId="12" xfId="0" applyNumberFormat="1" applyFont="1" applyFill="1" applyBorder="1" applyAlignment="1">
      <alignment vertical="center"/>
    </xf>
    <xf numFmtId="0" fontId="25" fillId="0" borderId="7" xfId="0" applyFont="1" applyFill="1" applyBorder="1" applyAlignment="1">
      <alignment vertical="center" wrapText="1"/>
    </xf>
    <xf numFmtId="0" fontId="25" fillId="0" borderId="7" xfId="0" applyFont="1" applyFill="1" applyBorder="1" applyAlignment="1">
      <alignment vertical="center"/>
    </xf>
    <xf numFmtId="0" fontId="25" fillId="0" borderId="12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vertical="center"/>
    </xf>
    <xf numFmtId="43" fontId="24" fillId="0" borderId="12" xfId="0" applyNumberFormat="1" applyFont="1" applyFill="1" applyBorder="1" applyAlignment="1">
      <alignment vertical="center"/>
    </xf>
    <xf numFmtId="43" fontId="25" fillId="0" borderId="12" xfId="1" applyFont="1" applyFill="1" applyBorder="1" applyAlignment="1">
      <alignment horizontal="center" vertical="center"/>
    </xf>
    <xf numFmtId="43" fontId="24" fillId="0" borderId="12" xfId="1" applyFont="1" applyFill="1" applyBorder="1" applyAlignment="1">
      <alignment vertical="center"/>
    </xf>
    <xf numFmtId="2" fontId="25" fillId="0" borderId="4" xfId="0" applyNumberFormat="1" applyFont="1" applyFill="1" applyBorder="1" applyAlignment="1">
      <alignment horizontal="center" vertical="center"/>
    </xf>
    <xf numFmtId="43" fontId="25" fillId="0" borderId="3" xfId="1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43" fontId="24" fillId="0" borderId="1" xfId="1" applyFont="1" applyFill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24" xfId="0" applyFont="1" applyFill="1" applyBorder="1" applyAlignment="1">
      <alignment horizontal="center" vertical="center" textRotation="90" wrapText="1"/>
    </xf>
    <xf numFmtId="2" fontId="28" fillId="0" borderId="4" xfId="0" applyNumberFormat="1" applyFont="1" applyFill="1" applyBorder="1" applyAlignment="1">
      <alignment horizontal="center" vertical="center"/>
    </xf>
    <xf numFmtId="2" fontId="28" fillId="3" borderId="4" xfId="0" applyNumberFormat="1" applyFont="1" applyFill="1" applyBorder="1" applyAlignment="1">
      <alignment horizontal="center" vertical="center"/>
    </xf>
    <xf numFmtId="4" fontId="31" fillId="0" borderId="4" xfId="0" applyNumberFormat="1" applyFont="1" applyFill="1" applyBorder="1" applyAlignment="1">
      <alignment vertical="center"/>
    </xf>
    <xf numFmtId="173" fontId="28" fillId="12" borderId="25" xfId="0" applyNumberFormat="1" applyFont="1" applyFill="1" applyBorder="1" applyAlignment="1">
      <alignment horizontal="center" vertical="center" wrapText="1"/>
    </xf>
    <xf numFmtId="2" fontId="28" fillId="12" borderId="12" xfId="0" applyNumberFormat="1" applyFont="1" applyFill="1" applyBorder="1" applyAlignment="1">
      <alignment horizontal="center" vertical="center"/>
    </xf>
    <xf numFmtId="1" fontId="28" fillId="12" borderId="12" xfId="0" applyNumberFormat="1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43" fontId="28" fillId="12" borderId="12" xfId="1" applyFont="1" applyFill="1" applyBorder="1" applyAlignment="1">
      <alignment horizontal="right" vertical="center"/>
    </xf>
    <xf numFmtId="4" fontId="28" fillId="12" borderId="12" xfId="0" applyNumberFormat="1" applyFont="1" applyFill="1" applyBorder="1" applyAlignment="1">
      <alignment horizontal="center" vertical="center"/>
    </xf>
    <xf numFmtId="4" fontId="28" fillId="12" borderId="26" xfId="0" applyNumberFormat="1" applyFont="1" applyFill="1" applyBorder="1" applyAlignment="1">
      <alignment horizontal="center" vertical="center"/>
    </xf>
    <xf numFmtId="2" fontId="28" fillId="0" borderId="27" xfId="0" applyNumberFormat="1" applyFont="1" applyFill="1" applyBorder="1" applyAlignment="1">
      <alignment vertical="center"/>
    </xf>
    <xf numFmtId="0" fontId="28" fillId="0" borderId="25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vertical="center"/>
    </xf>
    <xf numFmtId="43" fontId="61" fillId="0" borderId="4" xfId="1" applyFont="1" applyBorder="1" applyAlignment="1">
      <alignment horizontal="center" vertical="center"/>
    </xf>
    <xf numFmtId="0" fontId="28" fillId="12" borderId="25" xfId="0" applyFont="1" applyFill="1" applyBorder="1" applyAlignment="1">
      <alignment horizontal="center" vertical="center" wrapText="1"/>
    </xf>
    <xf numFmtId="43" fontId="28" fillId="12" borderId="12" xfId="1" applyFont="1" applyFill="1" applyBorder="1" applyAlignment="1">
      <alignment horizontal="center" vertical="center" wrapText="1"/>
    </xf>
    <xf numFmtId="43" fontId="28" fillId="12" borderId="22" xfId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Fill="1" applyBorder="1" applyAlignment="1">
      <alignment horizontal="left" vertical="center" indent="1"/>
    </xf>
    <xf numFmtId="43" fontId="25" fillId="0" borderId="4" xfId="1" applyFont="1" applyBorder="1" applyAlignment="1">
      <alignment horizontal="right" vertical="center"/>
    </xf>
    <xf numFmtId="0" fontId="31" fillId="0" borderId="0" xfId="0" applyFont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 indent="1"/>
    </xf>
    <xf numFmtId="43" fontId="31" fillId="0" borderId="0" xfId="1" applyFont="1" applyBorder="1" applyAlignment="1">
      <alignment horizontal="right" vertical="center"/>
    </xf>
    <xf numFmtId="0" fontId="25" fillId="14" borderId="25" xfId="0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/>
    </xf>
    <xf numFmtId="43" fontId="24" fillId="14" borderId="12" xfId="1" applyFont="1" applyFill="1" applyBorder="1" applyAlignment="1">
      <alignment horizontal="right" vertical="center"/>
    </xf>
    <xf numFmtId="0" fontId="24" fillId="14" borderId="26" xfId="0" applyFont="1" applyFill="1" applyBorder="1" applyAlignment="1">
      <alignment horizontal="center" vertical="center"/>
    </xf>
    <xf numFmtId="0" fontId="25" fillId="12" borderId="25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43" fontId="26" fillId="12" borderId="12" xfId="1" applyFont="1" applyFill="1" applyBorder="1" applyAlignment="1">
      <alignment horizontal="right" vertical="center"/>
    </xf>
    <xf numFmtId="0" fontId="25" fillId="12" borderId="26" xfId="0" applyFont="1" applyFill="1" applyBorder="1" applyAlignment="1">
      <alignment horizontal="center" vertical="center"/>
    </xf>
    <xf numFmtId="2" fontId="28" fillId="0" borderId="28" xfId="0" applyNumberFormat="1" applyFont="1" applyFill="1" applyBorder="1" applyAlignment="1">
      <alignment horizontal="center" vertical="center"/>
    </xf>
    <xf numFmtId="2" fontId="28" fillId="0" borderId="29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70" fillId="0" borderId="1" xfId="0" applyFont="1" applyBorder="1" applyAlignment="1">
      <alignment vertical="center"/>
    </xf>
    <xf numFmtId="43" fontId="70" fillId="0" borderId="1" xfId="1" applyFont="1" applyBorder="1" applyAlignment="1">
      <alignment vertical="center"/>
    </xf>
    <xf numFmtId="0" fontId="71" fillId="0" borderId="1" xfId="0" applyFont="1" applyBorder="1" applyAlignment="1">
      <alignment horizontal="center" vertical="center"/>
    </xf>
    <xf numFmtId="174" fontId="71" fillId="0" borderId="1" xfId="1" applyNumberFormat="1" applyFont="1" applyBorder="1" applyAlignment="1">
      <alignment horizontal="center" vertical="center"/>
    </xf>
    <xf numFmtId="0" fontId="71" fillId="0" borderId="1" xfId="0" applyFont="1" applyBorder="1" applyAlignment="1">
      <alignment vertical="center"/>
    </xf>
    <xf numFmtId="43" fontId="71" fillId="0" borderId="1" xfId="1" applyFont="1" applyBorder="1" applyAlignment="1">
      <alignment vertical="center"/>
    </xf>
    <xf numFmtId="0" fontId="71" fillId="0" borderId="0" xfId="0" applyFont="1" applyAlignment="1">
      <alignment vertical="center"/>
    </xf>
    <xf numFmtId="0" fontId="70" fillId="0" borderId="1" xfId="0" applyFont="1" applyBorder="1"/>
    <xf numFmtId="43" fontId="70" fillId="0" borderId="1" xfId="1" applyFont="1" applyFill="1" applyBorder="1"/>
    <xf numFmtId="0" fontId="70" fillId="0" borderId="0" xfId="0" applyFont="1"/>
    <xf numFmtId="43" fontId="72" fillId="0" borderId="1" xfId="1" applyFont="1" applyFill="1" applyBorder="1" applyAlignment="1">
      <alignment vertical="center"/>
    </xf>
    <xf numFmtId="174" fontId="72" fillId="0" borderId="1" xfId="1" applyNumberFormat="1" applyFont="1" applyFill="1" applyBorder="1" applyAlignment="1">
      <alignment vertical="center"/>
    </xf>
    <xf numFmtId="0" fontId="72" fillId="0" borderId="1" xfId="0" applyFont="1" applyBorder="1" applyAlignment="1">
      <alignment vertical="center"/>
    </xf>
    <xf numFmtId="43" fontId="70" fillId="0" borderId="1" xfId="1" applyFont="1" applyFill="1" applyBorder="1" applyAlignment="1">
      <alignment vertical="center"/>
    </xf>
    <xf numFmtId="183" fontId="70" fillId="0" borderId="1" xfId="0" applyNumberFormat="1" applyFont="1" applyBorder="1" applyAlignment="1">
      <alignment vertical="center"/>
    </xf>
    <xf numFmtId="43" fontId="70" fillId="0" borderId="1" xfId="0" applyNumberFormat="1" applyFont="1" applyBorder="1" applyAlignment="1">
      <alignment vertical="center"/>
    </xf>
    <xf numFmtId="174" fontId="70" fillId="0" borderId="1" xfId="1" applyNumberFormat="1" applyFont="1" applyFill="1" applyBorder="1" applyAlignment="1">
      <alignment vertical="center"/>
    </xf>
    <xf numFmtId="0" fontId="73" fillId="0" borderId="1" xfId="0" applyFont="1" applyBorder="1" applyAlignment="1">
      <alignment horizontal="center" vertical="center"/>
    </xf>
    <xf numFmtId="2" fontId="72" fillId="0" borderId="1" xfId="0" applyNumberFormat="1" applyFont="1" applyBorder="1" applyAlignment="1">
      <alignment vertical="center"/>
    </xf>
    <xf numFmtId="43" fontId="72" fillId="0" borderId="1" xfId="0" applyNumberFormat="1" applyFont="1" applyBorder="1" applyAlignment="1">
      <alignment vertical="center"/>
    </xf>
    <xf numFmtId="0" fontId="72" fillId="0" borderId="0" xfId="0" applyFont="1" applyAlignment="1">
      <alignment vertical="center"/>
    </xf>
    <xf numFmtId="2" fontId="42" fillId="0" borderId="1" xfId="0" applyNumberFormat="1" applyFont="1" applyBorder="1"/>
    <xf numFmtId="174" fontId="42" fillId="0" borderId="1" xfId="1" applyNumberFormat="1" applyFont="1" applyFill="1" applyBorder="1"/>
    <xf numFmtId="174" fontId="71" fillId="0" borderId="1" xfId="1" applyNumberFormat="1" applyFont="1" applyFill="1" applyBorder="1" applyAlignment="1">
      <alignment horizontal="center" vertical="center"/>
    </xf>
    <xf numFmtId="2" fontId="70" fillId="0" borderId="1" xfId="0" applyNumberFormat="1" applyFont="1" applyBorder="1" applyAlignment="1">
      <alignment vertical="center"/>
    </xf>
    <xf numFmtId="43" fontId="74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left"/>
    </xf>
    <xf numFmtId="43" fontId="70" fillId="0" borderId="1" xfId="1" applyFont="1" applyFill="1" applyBorder="1" applyAlignment="1">
      <alignment horizontal="right"/>
    </xf>
    <xf numFmtId="174" fontId="72" fillId="0" borderId="1" xfId="1" applyNumberFormat="1" applyFont="1" applyBorder="1" applyAlignment="1">
      <alignment vertical="center"/>
    </xf>
    <xf numFmtId="43" fontId="72" fillId="0" borderId="1" xfId="1" applyFont="1" applyBorder="1"/>
    <xf numFmtId="43" fontId="70" fillId="0" borderId="1" xfId="1" applyFont="1" applyBorder="1"/>
    <xf numFmtId="2" fontId="31" fillId="0" borderId="30" xfId="0" applyNumberFormat="1" applyFont="1" applyFill="1" applyBorder="1" applyAlignment="1">
      <alignment horizontal="right" vertical="center"/>
    </xf>
    <xf numFmtId="2" fontId="31" fillId="0" borderId="31" xfId="0" applyNumberFormat="1" applyFont="1" applyFill="1" applyBorder="1" applyAlignment="1">
      <alignment horizontal="right" vertical="center"/>
    </xf>
    <xf numFmtId="2" fontId="28" fillId="0" borderId="31" xfId="0" applyNumberFormat="1" applyFont="1" applyFill="1" applyBorder="1" applyAlignment="1">
      <alignment horizontal="right" vertical="center"/>
    </xf>
    <xf numFmtId="2" fontId="64" fillId="0" borderId="31" xfId="0" applyNumberFormat="1" applyFont="1" applyFill="1" applyBorder="1" applyAlignment="1">
      <alignment horizontal="right" vertical="center"/>
    </xf>
    <xf numFmtId="2" fontId="64" fillId="0" borderId="32" xfId="0" applyNumberFormat="1" applyFont="1" applyFill="1" applyBorder="1" applyAlignment="1">
      <alignment horizontal="right" vertical="center" indent="1"/>
    </xf>
    <xf numFmtId="2" fontId="31" fillId="0" borderId="30" xfId="0" applyNumberFormat="1" applyFont="1" applyFill="1" applyBorder="1" applyAlignment="1">
      <alignment horizontal="left" vertical="center"/>
    </xf>
    <xf numFmtId="2" fontId="31" fillId="0" borderId="31" xfId="0" applyNumberFormat="1" applyFont="1" applyFill="1" applyBorder="1" applyAlignment="1">
      <alignment horizontal="left" vertical="center"/>
    </xf>
    <xf numFmtId="2" fontId="28" fillId="0" borderId="31" xfId="0" applyNumberFormat="1" applyFont="1" applyFill="1" applyBorder="1" applyAlignment="1">
      <alignment horizontal="left" vertical="center"/>
    </xf>
    <xf numFmtId="2" fontId="31" fillId="0" borderId="32" xfId="0" applyNumberFormat="1" applyFont="1" applyFill="1" applyBorder="1" applyAlignment="1">
      <alignment horizontal="left" vertical="center"/>
    </xf>
    <xf numFmtId="2" fontId="64" fillId="0" borderId="31" xfId="0" applyNumberFormat="1" applyFont="1" applyFill="1" applyBorder="1" applyAlignment="1">
      <alignment horizontal="left" vertical="center"/>
    </xf>
    <xf numFmtId="2" fontId="64" fillId="0" borderId="32" xfId="0" applyNumberFormat="1" applyFont="1" applyFill="1" applyBorder="1" applyAlignment="1">
      <alignment horizontal="left" vertical="center" indent="1"/>
    </xf>
    <xf numFmtId="2" fontId="64" fillId="0" borderId="0" xfId="0" applyNumberFormat="1" applyFont="1" applyFill="1" applyBorder="1" applyAlignment="1">
      <alignment horizontal="left" vertical="center"/>
    </xf>
    <xf numFmtId="0" fontId="28" fillId="0" borderId="30" xfId="0" applyFont="1" applyFill="1" applyBorder="1" applyAlignment="1">
      <alignment vertical="center"/>
    </xf>
    <xf numFmtId="2" fontId="28" fillId="0" borderId="31" xfId="0" applyNumberFormat="1" applyFont="1" applyFill="1" applyBorder="1" applyAlignment="1">
      <alignment vertical="center"/>
    </xf>
    <xf numFmtId="0" fontId="28" fillId="0" borderId="31" xfId="0" applyFont="1" applyFill="1" applyBorder="1" applyAlignment="1">
      <alignment vertical="center"/>
    </xf>
    <xf numFmtId="0" fontId="31" fillId="0" borderId="30" xfId="0" applyFont="1" applyFill="1" applyBorder="1" applyAlignment="1">
      <alignment vertical="center"/>
    </xf>
    <xf numFmtId="2" fontId="39" fillId="0" borderId="30" xfId="0" applyNumberFormat="1" applyFont="1" applyFill="1" applyBorder="1" applyAlignment="1">
      <alignment horizontal="left" vertical="center"/>
    </xf>
    <xf numFmtId="0" fontId="39" fillId="0" borderId="30" xfId="0" applyFont="1" applyFill="1" applyBorder="1" applyAlignment="1">
      <alignment vertical="center"/>
    </xf>
    <xf numFmtId="0" fontId="31" fillId="0" borderId="30" xfId="0" applyFont="1" applyFill="1" applyBorder="1" applyAlignment="1">
      <alignment vertical="center" wrapText="1"/>
    </xf>
    <xf numFmtId="1" fontId="31" fillId="0" borderId="4" xfId="0" applyNumberFormat="1" applyFont="1" applyFill="1" applyBorder="1" applyAlignment="1">
      <alignment horizontal="center" vertical="center"/>
    </xf>
    <xf numFmtId="1" fontId="31" fillId="0" borderId="2" xfId="0" applyNumberFormat="1" applyFont="1" applyFill="1" applyBorder="1" applyAlignment="1">
      <alignment horizontal="center" vertical="center"/>
    </xf>
    <xf numFmtId="1" fontId="28" fillId="0" borderId="2" xfId="0" applyNumberFormat="1" applyFont="1" applyFill="1" applyBorder="1" applyAlignment="1">
      <alignment horizontal="center" vertical="center"/>
    </xf>
    <xf numFmtId="1" fontId="31" fillId="0" borderId="7" xfId="0" applyNumberFormat="1" applyFont="1" applyFill="1" applyBorder="1" applyAlignment="1">
      <alignment horizontal="center" vertical="center"/>
    </xf>
    <xf numFmtId="1" fontId="64" fillId="0" borderId="2" xfId="0" applyNumberFormat="1" applyFont="1" applyFill="1" applyBorder="1" applyAlignment="1">
      <alignment horizontal="center" vertical="center"/>
    </xf>
    <xf numFmtId="1" fontId="65" fillId="0" borderId="2" xfId="0" applyNumberFormat="1" applyFont="1" applyFill="1" applyBorder="1" applyAlignment="1">
      <alignment horizontal="center" vertical="center"/>
    </xf>
    <xf numFmtId="1" fontId="64" fillId="0" borderId="7" xfId="0" applyNumberFormat="1" applyFont="1" applyFill="1" applyBorder="1" applyAlignment="1">
      <alignment horizontal="center" vertical="center"/>
    </xf>
    <xf numFmtId="1" fontId="64" fillId="0" borderId="3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/>
    <xf numFmtId="174" fontId="70" fillId="0" borderId="1" xfId="1" applyNumberFormat="1" applyFont="1" applyBorder="1"/>
    <xf numFmtId="0" fontId="72" fillId="0" borderId="1" xfId="0" applyFont="1" applyBorder="1"/>
    <xf numFmtId="0" fontId="71" fillId="3" borderId="1" xfId="0" applyFont="1" applyFill="1" applyBorder="1" applyAlignment="1">
      <alignment horizontal="center" vertical="center"/>
    </xf>
    <xf numFmtId="0" fontId="71" fillId="3" borderId="33" xfId="0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43" fontId="76" fillId="0" borderId="2" xfId="1" applyFont="1" applyBorder="1" applyAlignment="1">
      <alignment horizontal="center" vertical="center"/>
    </xf>
    <xf numFmtId="43" fontId="77" fillId="0" borderId="2" xfId="1" applyFont="1" applyFill="1" applyBorder="1" applyAlignment="1">
      <alignment horizontal="center" vertical="center"/>
    </xf>
    <xf numFmtId="43" fontId="31" fillId="0" borderId="18" xfId="1" applyFont="1" applyFill="1" applyBorder="1" applyAlignment="1">
      <alignment horizontal="right" vertical="center"/>
    </xf>
    <xf numFmtId="0" fontId="31" fillId="0" borderId="4" xfId="0" applyFont="1" applyFill="1" applyBorder="1" applyAlignment="1">
      <alignment vertical="center"/>
    </xf>
    <xf numFmtId="0" fontId="31" fillId="0" borderId="7" xfId="0" applyFont="1" applyFill="1" applyBorder="1" applyAlignment="1">
      <alignment horizontal="left" vertical="center"/>
    </xf>
    <xf numFmtId="0" fontId="31" fillId="0" borderId="7" xfId="10" applyFont="1" applyFill="1" applyBorder="1" applyAlignment="1">
      <alignment horizontal="center" vertical="center"/>
    </xf>
    <xf numFmtId="43" fontId="76" fillId="0" borderId="7" xfId="1" applyFont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left" vertical="center"/>
    </xf>
    <xf numFmtId="43" fontId="31" fillId="12" borderId="1" xfId="1" applyFont="1" applyFill="1" applyBorder="1" applyAlignment="1">
      <alignment horizontal="right" vertical="center"/>
    </xf>
    <xf numFmtId="43" fontId="63" fillId="12" borderId="1" xfId="1" applyFont="1" applyFill="1" applyBorder="1" applyAlignment="1">
      <alignment horizontal="right" vertical="center"/>
    </xf>
    <xf numFmtId="43" fontId="34" fillId="12" borderId="23" xfId="1" applyFont="1" applyFill="1" applyBorder="1" applyAlignment="1">
      <alignment horizontal="right" vertical="center"/>
    </xf>
    <xf numFmtId="4" fontId="28" fillId="0" borderId="0" xfId="7" applyNumberFormat="1" applyFont="1" applyAlignment="1">
      <alignment horizontal="center" vertical="center"/>
    </xf>
    <xf numFmtId="43" fontId="28" fillId="0" borderId="0" xfId="7" applyNumberFormat="1" applyFont="1" applyAlignment="1">
      <alignment horizontal="center" vertical="center"/>
    </xf>
    <xf numFmtId="0" fontId="28" fillId="12" borderId="5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/>
    </xf>
    <xf numFmtId="43" fontId="28" fillId="12" borderId="3" xfId="1" applyFont="1" applyFill="1" applyBorder="1" applyAlignment="1">
      <alignment horizontal="right" vertical="center"/>
    </xf>
    <xf numFmtId="43" fontId="28" fillId="12" borderId="3" xfId="1" applyFont="1" applyFill="1" applyBorder="1" applyAlignment="1">
      <alignment horizontal="center" vertical="center" wrapText="1"/>
    </xf>
    <xf numFmtId="43" fontId="28" fillId="12" borderId="5" xfId="1" applyFont="1" applyFill="1" applyBorder="1" applyAlignment="1">
      <alignment horizontal="center" vertical="center" wrapText="1"/>
    </xf>
    <xf numFmtId="43" fontId="28" fillId="15" borderId="2" xfId="1" applyFont="1" applyFill="1" applyBorder="1" applyAlignment="1">
      <alignment horizontal="right" vertical="center"/>
    </xf>
    <xf numFmtId="4" fontId="28" fillId="12" borderId="34" xfId="0" applyNumberFormat="1" applyFont="1" applyFill="1" applyBorder="1" applyAlignment="1">
      <alignment horizontal="center" vertical="center"/>
    </xf>
    <xf numFmtId="4" fontId="31" fillId="0" borderId="31" xfId="0" applyNumberFormat="1" applyFont="1" applyFill="1" applyBorder="1" applyAlignment="1">
      <alignment vertical="center"/>
    </xf>
    <xf numFmtId="4" fontId="31" fillId="0" borderId="32" xfId="0" applyNumberFormat="1" applyFont="1" applyFill="1" applyBorder="1" applyAlignment="1">
      <alignment vertical="center"/>
    </xf>
    <xf numFmtId="4" fontId="28" fillId="0" borderId="35" xfId="0" applyNumberFormat="1" applyFont="1" applyFill="1" applyBorder="1" applyAlignment="1">
      <alignment vertical="center"/>
    </xf>
    <xf numFmtId="4" fontId="39" fillId="0" borderId="30" xfId="0" applyNumberFormat="1" applyFont="1" applyFill="1" applyBorder="1" applyAlignment="1">
      <alignment vertical="center"/>
    </xf>
    <xf numFmtId="4" fontId="64" fillId="0" borderId="31" xfId="0" applyNumberFormat="1" applyFont="1" applyFill="1" applyBorder="1" applyAlignment="1">
      <alignment vertical="center"/>
    </xf>
    <xf numFmtId="4" fontId="31" fillId="0" borderId="6" xfId="0" applyNumberFormat="1" applyFont="1" applyFill="1" applyBorder="1" applyAlignment="1">
      <alignment vertical="center"/>
    </xf>
    <xf numFmtId="4" fontId="28" fillId="0" borderId="6" xfId="0" applyNumberFormat="1" applyFont="1" applyFill="1" applyBorder="1" applyAlignment="1">
      <alignment vertical="center"/>
    </xf>
    <xf numFmtId="4" fontId="39" fillId="0" borderId="31" xfId="0" applyNumberFormat="1" applyFont="1" applyFill="1" applyBorder="1" applyAlignment="1">
      <alignment vertical="center"/>
    </xf>
    <xf numFmtId="4" fontId="32" fillId="0" borderId="31" xfId="0" applyNumberFormat="1" applyFont="1" applyFill="1" applyBorder="1" applyAlignment="1">
      <alignment vertical="center"/>
    </xf>
    <xf numFmtId="4" fontId="32" fillId="0" borderId="34" xfId="0" applyNumberFormat="1" applyFont="1" applyFill="1" applyBorder="1" applyAlignment="1">
      <alignment vertical="center"/>
    </xf>
    <xf numFmtId="4" fontId="28" fillId="0" borderId="36" xfId="0" applyNumberFormat="1" applyFont="1" applyFill="1" applyBorder="1" applyAlignment="1">
      <alignment horizontal="center" vertical="center"/>
    </xf>
    <xf numFmtId="4" fontId="28" fillId="0" borderId="37" xfId="0" applyNumberFormat="1" applyFont="1" applyFill="1" applyBorder="1" applyAlignment="1">
      <alignment horizontal="center" vertical="center"/>
    </xf>
    <xf numFmtId="4" fontId="31" fillId="0" borderId="1" xfId="0" applyNumberFormat="1" applyFont="1" applyFill="1" applyBorder="1" applyAlignment="1">
      <alignment vertical="center"/>
    </xf>
    <xf numFmtId="4" fontId="39" fillId="0" borderId="1" xfId="0" applyNumberFormat="1" applyFont="1" applyFill="1" applyBorder="1" applyAlignment="1">
      <alignment vertical="center"/>
    </xf>
    <xf numFmtId="43" fontId="30" fillId="0" borderId="0" xfId="0" applyNumberFormat="1" applyFont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43" fontId="71" fillId="0" borderId="0" xfId="1" applyFont="1" applyBorder="1" applyAlignment="1">
      <alignment vertical="center"/>
    </xf>
    <xf numFmtId="0" fontId="71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38" xfId="0" applyFont="1" applyBorder="1" applyAlignment="1">
      <alignment vertical="center"/>
    </xf>
    <xf numFmtId="43" fontId="70" fillId="0" borderId="38" xfId="1" applyFont="1" applyBorder="1" applyAlignment="1">
      <alignment vertical="center"/>
    </xf>
    <xf numFmtId="0" fontId="71" fillId="0" borderId="39" xfId="0" applyFont="1" applyBorder="1" applyAlignment="1">
      <alignment vertical="center"/>
    </xf>
    <xf numFmtId="0" fontId="75" fillId="0" borderId="1" xfId="0" applyFont="1" applyBorder="1" applyAlignment="1">
      <alignment vertical="center"/>
    </xf>
    <xf numFmtId="2" fontId="28" fillId="0" borderId="1" xfId="0" applyNumberFormat="1" applyFont="1" applyFill="1" applyBorder="1" applyAlignment="1">
      <alignment horizontal="center" vertical="center"/>
    </xf>
    <xf numFmtId="172" fontId="28" fillId="0" borderId="1" xfId="0" applyNumberFormat="1" applyFont="1" applyFill="1" applyBorder="1" applyAlignment="1">
      <alignment horizontal="center" vertical="center"/>
    </xf>
    <xf numFmtId="2" fontId="31" fillId="0" borderId="1" xfId="0" applyNumberFormat="1" applyFont="1" applyFill="1" applyBorder="1" applyAlignment="1">
      <alignment horizontal="center" vertical="center"/>
    </xf>
    <xf numFmtId="172" fontId="31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172" fontId="64" fillId="0" borderId="1" xfId="0" applyNumberFormat="1" applyFont="1" applyFill="1" applyBorder="1" applyAlignment="1">
      <alignment horizontal="center" vertical="center"/>
    </xf>
    <xf numFmtId="206" fontId="30" fillId="0" borderId="0" xfId="0" applyNumberFormat="1" applyFont="1" applyAlignment="1">
      <alignment horizontal="center" vertical="center"/>
    </xf>
    <xf numFmtId="0" fontId="32" fillId="14" borderId="11" xfId="0" applyFont="1" applyFill="1" applyBorder="1" applyAlignment="1">
      <alignment horizontal="left" vertical="center"/>
    </xf>
    <xf numFmtId="0" fontId="31" fillId="13" borderId="1" xfId="0" applyFont="1" applyFill="1" applyBorder="1" applyAlignment="1">
      <alignment horizontal="center" vertical="center"/>
    </xf>
    <xf numFmtId="0" fontId="32" fillId="13" borderId="11" xfId="0" applyFont="1" applyFill="1" applyBorder="1" applyAlignment="1">
      <alignment horizontal="left" vertical="center"/>
    </xf>
    <xf numFmtId="43" fontId="31" fillId="13" borderId="1" xfId="1" applyFont="1" applyFill="1" applyBorder="1" applyAlignment="1">
      <alignment horizontal="right" vertical="center"/>
    </xf>
    <xf numFmtId="43" fontId="34" fillId="13" borderId="1" xfId="1" applyFont="1" applyFill="1" applyBorder="1" applyAlignment="1">
      <alignment horizontal="right" vertical="center"/>
    </xf>
    <xf numFmtId="43" fontId="63" fillId="13" borderId="1" xfId="1" applyFont="1" applyFill="1" applyBorder="1" applyAlignment="1">
      <alignment horizontal="center" vertical="center"/>
    </xf>
    <xf numFmtId="0" fontId="31" fillId="14" borderId="11" xfId="0" applyFont="1" applyFill="1" applyBorder="1" applyAlignment="1">
      <alignment horizontal="center" vertical="center"/>
    </xf>
    <xf numFmtId="43" fontId="31" fillId="14" borderId="11" xfId="1" applyFont="1" applyFill="1" applyBorder="1" applyAlignment="1">
      <alignment horizontal="right" vertical="center"/>
    </xf>
    <xf numFmtId="43" fontId="34" fillId="14" borderId="40" xfId="1" applyFont="1" applyFill="1" applyBorder="1" applyAlignment="1">
      <alignment horizontal="right" vertical="center"/>
    </xf>
    <xf numFmtId="43" fontId="63" fillId="14" borderId="11" xfId="1" applyFont="1" applyFill="1" applyBorder="1" applyAlignment="1">
      <alignment horizontal="right" vertical="center"/>
    </xf>
    <xf numFmtId="0" fontId="32" fillId="16" borderId="11" xfId="0" applyFont="1" applyFill="1" applyBorder="1" applyAlignment="1">
      <alignment horizontal="left" vertical="center"/>
    </xf>
    <xf numFmtId="0" fontId="31" fillId="16" borderId="11" xfId="0" applyFont="1" applyFill="1" applyBorder="1" applyAlignment="1">
      <alignment horizontal="center" vertical="center"/>
    </xf>
    <xf numFmtId="43" fontId="31" fillId="16" borderId="11" xfId="1" applyFont="1" applyFill="1" applyBorder="1" applyAlignment="1">
      <alignment horizontal="right" vertical="center"/>
    </xf>
    <xf numFmtId="43" fontId="34" fillId="16" borderId="11" xfId="1" applyFont="1" applyFill="1" applyBorder="1" applyAlignment="1">
      <alignment horizontal="right" vertical="center"/>
    </xf>
    <xf numFmtId="43" fontId="63" fillId="16" borderId="11" xfId="1" applyFont="1" applyFill="1" applyBorder="1" applyAlignment="1">
      <alignment horizontal="center" vertical="center"/>
    </xf>
    <xf numFmtId="0" fontId="31" fillId="17" borderId="12" xfId="0" applyFont="1" applyFill="1" applyBorder="1" applyAlignment="1">
      <alignment horizontal="center" vertical="center"/>
    </xf>
    <xf numFmtId="43" fontId="34" fillId="17" borderId="12" xfId="1" applyFont="1" applyFill="1" applyBorder="1" applyAlignment="1">
      <alignment horizontal="right" vertical="center"/>
    </xf>
    <xf numFmtId="43" fontId="63" fillId="17" borderId="12" xfId="1" applyFont="1" applyFill="1" applyBorder="1" applyAlignment="1">
      <alignment horizontal="right" vertical="center"/>
    </xf>
    <xf numFmtId="9" fontId="31" fillId="13" borderId="1" xfId="0" applyNumberFormat="1" applyFont="1" applyFill="1" applyBorder="1" applyAlignment="1">
      <alignment horizontal="center" vertical="center"/>
    </xf>
    <xf numFmtId="9" fontId="31" fillId="16" borderId="11" xfId="0" applyNumberFormat="1" applyFont="1" applyFill="1" applyBorder="1" applyAlignment="1">
      <alignment horizontal="center" vertical="center"/>
    </xf>
    <xf numFmtId="9" fontId="31" fillId="0" borderId="12" xfId="0" applyNumberFormat="1" applyFont="1" applyFill="1" applyBorder="1" applyAlignment="1">
      <alignment vertical="center"/>
    </xf>
    <xf numFmtId="2" fontId="32" fillId="0" borderId="2" xfId="0" applyNumberFormat="1" applyFont="1" applyFill="1" applyBorder="1" applyAlignment="1">
      <alignment horizontal="left" vertical="center"/>
    </xf>
    <xf numFmtId="2" fontId="64" fillId="0" borderId="17" xfId="0" applyNumberFormat="1" applyFont="1" applyFill="1" applyBorder="1" applyAlignment="1">
      <alignment horizontal="right" vertical="center"/>
    </xf>
    <xf numFmtId="2" fontId="64" fillId="0" borderId="30" xfId="0" applyNumberFormat="1" applyFont="1" applyFill="1" applyBorder="1" applyAlignment="1">
      <alignment horizontal="right" vertical="center"/>
    </xf>
    <xf numFmtId="2" fontId="64" fillId="0" borderId="4" xfId="0" applyNumberFormat="1" applyFont="1" applyFill="1" applyBorder="1" applyAlignment="1">
      <alignment horizontal="right" vertical="center"/>
    </xf>
    <xf numFmtId="2" fontId="65" fillId="0" borderId="1" xfId="0" applyNumberFormat="1" applyFont="1" applyFill="1" applyBorder="1" applyAlignment="1">
      <alignment horizontal="center" vertical="center"/>
    </xf>
    <xf numFmtId="0" fontId="48" fillId="0" borderId="1" xfId="0" applyFont="1" applyBorder="1"/>
    <xf numFmtId="0" fontId="48" fillId="0" borderId="1" xfId="0" applyFont="1" applyBorder="1" applyAlignment="1">
      <alignment vertical="center"/>
    </xf>
    <xf numFmtId="43" fontId="48" fillId="0" borderId="1" xfId="1" applyFont="1" applyFill="1" applyBorder="1" applyAlignment="1">
      <alignment vertical="center"/>
    </xf>
    <xf numFmtId="183" fontId="48" fillId="0" borderId="1" xfId="0" applyNumberFormat="1" applyFont="1" applyBorder="1" applyAlignment="1">
      <alignment vertical="center"/>
    </xf>
    <xf numFmtId="43" fontId="48" fillId="0" borderId="1" xfId="0" applyNumberFormat="1" applyFont="1" applyBorder="1" applyAlignment="1">
      <alignment vertical="center"/>
    </xf>
    <xf numFmtId="2" fontId="64" fillId="0" borderId="1" xfId="0" applyNumberFormat="1" applyFont="1" applyFill="1" applyBorder="1" applyAlignment="1">
      <alignment horizontal="center" vertical="center"/>
    </xf>
    <xf numFmtId="0" fontId="64" fillId="0" borderId="30" xfId="0" applyFont="1" applyFill="1" applyBorder="1" applyAlignment="1">
      <alignment vertical="center"/>
    </xf>
    <xf numFmtId="172" fontId="64" fillId="0" borderId="0" xfId="0" applyNumberFormat="1" applyFont="1" applyFill="1" applyBorder="1" applyAlignment="1">
      <alignment horizontal="right" vertical="center"/>
    </xf>
    <xf numFmtId="0" fontId="78" fillId="0" borderId="30" xfId="0" applyFont="1" applyFill="1" applyBorder="1" applyAlignment="1">
      <alignment vertical="center"/>
    </xf>
    <xf numFmtId="0" fontId="65" fillId="0" borderId="1" xfId="0" applyFont="1" applyFill="1" applyBorder="1" applyAlignment="1">
      <alignment horizontal="center" vertical="center"/>
    </xf>
    <xf numFmtId="1" fontId="65" fillId="0" borderId="1" xfId="0" applyNumberFormat="1" applyFont="1" applyFill="1" applyBorder="1" applyAlignment="1">
      <alignment horizontal="center" vertical="center"/>
    </xf>
    <xf numFmtId="43" fontId="48" fillId="0" borderId="1" xfId="1" applyFont="1" applyBorder="1"/>
    <xf numFmtId="2" fontId="64" fillId="0" borderId="30" xfId="0" applyNumberFormat="1" applyFont="1" applyFill="1" applyBorder="1" applyAlignment="1">
      <alignment vertical="center" wrapText="1"/>
    </xf>
    <xf numFmtId="1" fontId="64" fillId="0" borderId="1" xfId="0" applyNumberFormat="1" applyFont="1" applyFill="1" applyBorder="1" applyAlignment="1">
      <alignment horizontal="center" vertical="center"/>
    </xf>
    <xf numFmtId="173" fontId="65" fillId="0" borderId="2" xfId="0" applyNumberFormat="1" applyFont="1" applyBorder="1" applyAlignment="1">
      <alignment horizontal="center" vertical="center"/>
    </xf>
    <xf numFmtId="2" fontId="65" fillId="0" borderId="31" xfId="0" applyNumberFormat="1" applyFont="1" applyBorder="1" applyAlignment="1">
      <alignment vertical="center"/>
    </xf>
    <xf numFmtId="1" fontId="64" fillId="0" borderId="2" xfId="0" applyNumberFormat="1" applyFont="1" applyBorder="1" applyAlignment="1">
      <alignment horizontal="center" vertical="center"/>
    </xf>
    <xf numFmtId="2" fontId="64" fillId="0" borderId="15" xfId="0" applyNumberFormat="1" applyFont="1" applyBorder="1" applyAlignment="1">
      <alignment horizontal="center" vertical="center"/>
    </xf>
    <xf numFmtId="2" fontId="64" fillId="0" borderId="31" xfId="0" applyNumberFormat="1" applyFont="1" applyBorder="1" applyAlignment="1">
      <alignment horizontal="center" vertical="center"/>
    </xf>
    <xf numFmtId="172" fontId="64" fillId="0" borderId="2" xfId="0" applyNumberFormat="1" applyFont="1" applyBorder="1" applyAlignment="1">
      <alignment horizontal="center" vertical="center"/>
    </xf>
    <xf numFmtId="172" fontId="64" fillId="0" borderId="0" xfId="0" applyNumberFormat="1" applyFont="1" applyAlignment="1">
      <alignment horizontal="center" vertical="center"/>
    </xf>
    <xf numFmtId="2" fontId="64" fillId="0" borderId="0" xfId="0" applyNumberFormat="1" applyFont="1" applyAlignment="1">
      <alignment vertical="center"/>
    </xf>
    <xf numFmtId="2" fontId="64" fillId="0" borderId="0" xfId="0" applyNumberFormat="1" applyFont="1" applyAlignment="1">
      <alignment horizontal="center" vertical="center"/>
    </xf>
    <xf numFmtId="2" fontId="64" fillId="0" borderId="31" xfId="0" applyNumberFormat="1" applyFont="1" applyBorder="1" applyAlignment="1">
      <alignment vertical="center"/>
    </xf>
    <xf numFmtId="2" fontId="64" fillId="0" borderId="30" xfId="0" applyNumberFormat="1" applyFont="1" applyBorder="1" applyAlignment="1">
      <alignment horizontal="center" vertical="center"/>
    </xf>
    <xf numFmtId="2" fontId="64" fillId="0" borderId="30" xfId="0" applyNumberFormat="1" applyFont="1" applyBorder="1" applyAlignment="1">
      <alignment vertical="center"/>
    </xf>
    <xf numFmtId="172" fontId="64" fillId="0" borderId="1" xfId="0" applyNumberFormat="1" applyFont="1" applyBorder="1" applyAlignment="1">
      <alignment horizontal="center" vertical="center"/>
    </xf>
    <xf numFmtId="1" fontId="64" fillId="0" borderId="1" xfId="0" applyNumberFormat="1" applyFont="1" applyBorder="1" applyAlignment="1">
      <alignment horizontal="center" vertical="center"/>
    </xf>
    <xf numFmtId="0" fontId="48" fillId="0" borderId="0" xfId="0" applyFont="1"/>
    <xf numFmtId="2" fontId="31" fillId="0" borderId="4" xfId="0" applyNumberFormat="1" applyFont="1" applyFill="1" applyBorder="1" applyAlignment="1">
      <alignment horizontal="left" vertical="center"/>
    </xf>
    <xf numFmtId="0" fontId="25" fillId="0" borderId="25" xfId="0" applyFont="1" applyFill="1" applyBorder="1" applyAlignment="1">
      <alignment horizontal="center" vertical="center"/>
    </xf>
    <xf numFmtId="43" fontId="24" fillId="0" borderId="12" xfId="1" applyFont="1" applyFill="1" applyBorder="1" applyAlignment="1">
      <alignment horizontal="right" vertical="center"/>
    </xf>
    <xf numFmtId="0" fontId="24" fillId="0" borderId="26" xfId="0" applyFont="1" applyFill="1" applyBorder="1" applyAlignment="1">
      <alignment horizontal="center" vertical="center"/>
    </xf>
    <xf numFmtId="173" fontId="28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center" wrapText="1"/>
    </xf>
    <xf numFmtId="2" fontId="28" fillId="0" borderId="2" xfId="0" applyNumberFormat="1" applyFont="1" applyBorder="1" applyAlignment="1">
      <alignment horizontal="center" vertical="center"/>
    </xf>
    <xf numFmtId="172" fontId="28" fillId="0" borderId="2" xfId="0" applyNumberFormat="1" applyFont="1" applyBorder="1" applyAlignment="1">
      <alignment horizontal="center" vertical="center"/>
    </xf>
    <xf numFmtId="4" fontId="31" fillId="0" borderId="31" xfId="0" applyNumberFormat="1" applyFont="1" applyBorder="1" applyAlignment="1">
      <alignment vertical="center"/>
    </xf>
    <xf numFmtId="4" fontId="31" fillId="0" borderId="1" xfId="0" applyNumberFormat="1" applyFont="1" applyBorder="1" applyAlignment="1">
      <alignment vertical="center"/>
    </xf>
    <xf numFmtId="4" fontId="31" fillId="0" borderId="15" xfId="0" applyNumberFormat="1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28" fillId="0" borderId="2" xfId="0" applyFont="1" applyBorder="1" applyAlignment="1">
      <alignment horizontal="center" vertical="center"/>
    </xf>
    <xf numFmtId="172" fontId="28" fillId="0" borderId="13" xfId="0" applyNumberFormat="1" applyFont="1" applyBorder="1" applyAlignment="1">
      <alignment horizontal="center" vertical="center"/>
    </xf>
    <xf numFmtId="4" fontId="28" fillId="0" borderId="35" xfId="0" applyNumberFormat="1" applyFont="1" applyBorder="1" applyAlignment="1">
      <alignment vertical="center"/>
    </xf>
    <xf numFmtId="4" fontId="39" fillId="0" borderId="1" xfId="0" applyNumberFormat="1" applyFont="1" applyBorder="1" applyAlignment="1">
      <alignment vertical="center"/>
    </xf>
    <xf numFmtId="4" fontId="39" fillId="0" borderId="15" xfId="0" applyNumberFormat="1" applyFont="1" applyBorder="1" applyAlignment="1">
      <alignment vertical="center"/>
    </xf>
    <xf numFmtId="4" fontId="39" fillId="0" borderId="31" xfId="0" applyNumberFormat="1" applyFont="1" applyBorder="1" applyAlignment="1">
      <alignment vertical="center"/>
    </xf>
    <xf numFmtId="172" fontId="31" fillId="0" borderId="2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vertical="center"/>
    </xf>
    <xf numFmtId="2" fontId="31" fillId="0" borderId="7" xfId="0" applyNumberFormat="1" applyFont="1" applyBorder="1" applyAlignment="1">
      <alignment horizontal="center" vertical="center"/>
    </xf>
    <xf numFmtId="43" fontId="28" fillId="0" borderId="40" xfId="1" applyFont="1" applyFill="1" applyBorder="1" applyAlignment="1">
      <alignment horizontal="right" vertical="center"/>
    </xf>
    <xf numFmtId="172" fontId="28" fillId="0" borderId="40" xfId="0" applyNumberFormat="1" applyFont="1" applyBorder="1" applyAlignment="1">
      <alignment horizontal="center" vertical="center"/>
    </xf>
    <xf numFmtId="4" fontId="28" fillId="0" borderId="41" xfId="0" applyNumberFormat="1" applyFont="1" applyBorder="1" applyAlignment="1">
      <alignment vertical="center"/>
    </xf>
    <xf numFmtId="4" fontId="28" fillId="0" borderId="31" xfId="0" applyNumberFormat="1" applyFont="1" applyBorder="1" applyAlignment="1">
      <alignment vertical="center"/>
    </xf>
    <xf numFmtId="4" fontId="39" fillId="0" borderId="0" xfId="0" applyNumberFormat="1" applyFont="1" applyAlignment="1">
      <alignment vertical="center"/>
    </xf>
    <xf numFmtId="172" fontId="31" fillId="0" borderId="3" xfId="0" applyNumberFormat="1" applyFont="1" applyBorder="1" applyAlignment="1">
      <alignment horizontal="center" vertical="center"/>
    </xf>
    <xf numFmtId="4" fontId="28" fillId="0" borderId="6" xfId="0" applyNumberFormat="1" applyFont="1" applyBorder="1" applyAlignment="1">
      <alignment vertical="center"/>
    </xf>
    <xf numFmtId="2" fontId="28" fillId="0" borderId="2" xfId="0" applyNumberFormat="1" applyFont="1" applyBorder="1" applyAlignment="1">
      <alignment horizontal="left" vertical="center" wrapText="1"/>
    </xf>
    <xf numFmtId="43" fontId="28" fillId="0" borderId="3" xfId="1" applyFont="1" applyFill="1" applyBorder="1" applyAlignment="1">
      <alignment horizontal="right" vertical="center"/>
    </xf>
    <xf numFmtId="172" fontId="28" fillId="0" borderId="3" xfId="0" applyNumberFormat="1" applyFont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4" fontId="31" fillId="0" borderId="0" xfId="7" applyNumberFormat="1" applyFont="1" applyAlignment="1">
      <alignment horizontal="center" vertical="center"/>
    </xf>
    <xf numFmtId="172" fontId="31" fillId="0" borderId="13" xfId="0" applyNumberFormat="1" applyFont="1" applyBorder="1" applyAlignment="1">
      <alignment horizontal="center" vertical="center"/>
    </xf>
    <xf numFmtId="172" fontId="65" fillId="0" borderId="2" xfId="0" applyNumberFormat="1" applyFont="1" applyFill="1" applyBorder="1" applyAlignment="1">
      <alignment horizontal="center" vertical="center"/>
    </xf>
    <xf numFmtId="0" fontId="78" fillId="0" borderId="30" xfId="0" applyFont="1" applyFill="1" applyBorder="1" applyAlignment="1">
      <alignment vertical="center" wrapText="1"/>
    </xf>
    <xf numFmtId="0" fontId="31" fillId="0" borderId="7" xfId="0" applyFont="1" applyFill="1" applyBorder="1" applyAlignment="1">
      <alignment vertical="center" wrapText="1"/>
    </xf>
    <xf numFmtId="2" fontId="79" fillId="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vertical="center"/>
    </xf>
    <xf numFmtId="2" fontId="31" fillId="13" borderId="2" xfId="0" applyNumberFormat="1" applyFont="1" applyFill="1" applyBorder="1" applyAlignment="1">
      <alignment horizontal="center" vertical="center"/>
    </xf>
    <xf numFmtId="43" fontId="31" fillId="13" borderId="2" xfId="1" applyFont="1" applyFill="1" applyBorder="1" applyAlignment="1">
      <alignment horizontal="right" vertical="center"/>
    </xf>
    <xf numFmtId="4" fontId="31" fillId="13" borderId="1" xfId="0" applyNumberFormat="1" applyFont="1" applyFill="1" applyBorder="1" applyAlignment="1">
      <alignment vertical="center"/>
    </xf>
    <xf numFmtId="4" fontId="31" fillId="13" borderId="0" xfId="0" applyNumberFormat="1" applyFont="1" applyFill="1" applyBorder="1" applyAlignment="1">
      <alignment vertical="center"/>
    </xf>
    <xf numFmtId="0" fontId="31" fillId="13" borderId="0" xfId="0" applyFont="1" applyFill="1" applyBorder="1" applyAlignment="1">
      <alignment vertical="center"/>
    </xf>
    <xf numFmtId="0" fontId="39" fillId="13" borderId="2" xfId="0" applyFont="1" applyFill="1" applyBorder="1" applyAlignment="1">
      <alignment horizontal="left" vertical="center" indent="1"/>
    </xf>
    <xf numFmtId="4" fontId="31" fillId="13" borderId="31" xfId="0" applyNumberFormat="1" applyFont="1" applyFill="1" applyBorder="1" applyAlignment="1">
      <alignment vertical="center"/>
    </xf>
    <xf numFmtId="2" fontId="31" fillId="13" borderId="2" xfId="0" applyNumberFormat="1" applyFont="1" applyFill="1" applyBorder="1" applyAlignment="1">
      <alignment vertical="center"/>
    </xf>
    <xf numFmtId="43" fontId="31" fillId="13" borderId="3" xfId="1" applyFont="1" applyFill="1" applyBorder="1" applyAlignment="1">
      <alignment horizontal="right" vertical="center"/>
    </xf>
    <xf numFmtId="0" fontId="31" fillId="13" borderId="3" xfId="0" applyFont="1" applyFill="1" applyBorder="1" applyAlignment="1">
      <alignment horizontal="center" vertical="center"/>
    </xf>
    <xf numFmtId="4" fontId="31" fillId="13" borderId="6" xfId="0" applyNumberFormat="1" applyFont="1" applyFill="1" applyBorder="1" applyAlignment="1">
      <alignment vertical="center"/>
    </xf>
    <xf numFmtId="172" fontId="28" fillId="13" borderId="13" xfId="0" applyNumberFormat="1" applyFont="1" applyFill="1" applyBorder="1" applyAlignment="1">
      <alignment horizontal="center" vertical="center"/>
    </xf>
    <xf numFmtId="4" fontId="28" fillId="13" borderId="35" xfId="0" applyNumberFormat="1" applyFont="1" applyFill="1" applyBorder="1" applyAlignment="1">
      <alignment vertical="center"/>
    </xf>
    <xf numFmtId="2" fontId="31" fillId="0" borderId="7" xfId="0" applyNumberFormat="1" applyFont="1" applyFill="1" applyBorder="1" applyAlignment="1">
      <alignment vertical="center" wrapText="1"/>
    </xf>
    <xf numFmtId="4" fontId="39" fillId="0" borderId="0" xfId="0" applyNumberFormat="1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" xfId="0" applyFont="1" applyBorder="1" applyAlignment="1">
      <alignment horizontal="left" vertical="center" indent="1"/>
    </xf>
    <xf numFmtId="0" fontId="31" fillId="0" borderId="3" xfId="0" applyFont="1" applyBorder="1" applyAlignment="1">
      <alignment horizontal="center" vertical="center"/>
    </xf>
    <xf numFmtId="4" fontId="31" fillId="0" borderId="6" xfId="0" applyNumberFormat="1" applyFont="1" applyBorder="1" applyAlignment="1">
      <alignment vertical="center"/>
    </xf>
    <xf numFmtId="43" fontId="31" fillId="0" borderId="0" xfId="1" applyFont="1" applyFill="1" applyAlignment="1">
      <alignment vertical="center"/>
    </xf>
    <xf numFmtId="9" fontId="28" fillId="12" borderId="1" xfId="11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43" fontId="31" fillId="0" borderId="10" xfId="1" applyFont="1" applyFill="1" applyBorder="1" applyAlignment="1">
      <alignment vertical="center"/>
    </xf>
    <xf numFmtId="43" fontId="31" fillId="0" borderId="2" xfId="1" applyFont="1" applyFill="1" applyBorder="1" applyAlignment="1">
      <alignment vertical="center"/>
    </xf>
    <xf numFmtId="43" fontId="31" fillId="0" borderId="7" xfId="1" applyFont="1" applyFill="1" applyBorder="1" applyAlignment="1">
      <alignment vertical="center"/>
    </xf>
    <xf numFmtId="43" fontId="31" fillId="0" borderId="42" xfId="1" applyFont="1" applyFill="1" applyBorder="1" applyAlignment="1">
      <alignment vertical="center"/>
    </xf>
    <xf numFmtId="43" fontId="31" fillId="0" borderId="0" xfId="1" applyFont="1" applyAlignment="1">
      <alignment vertical="center"/>
    </xf>
    <xf numFmtId="43" fontId="31" fillId="0" borderId="10" xfId="1" applyFont="1" applyBorder="1" applyAlignment="1">
      <alignment vertical="center"/>
    </xf>
    <xf numFmtId="43" fontId="31" fillId="0" borderId="2" xfId="1" applyFont="1" applyBorder="1" applyAlignment="1">
      <alignment vertical="center"/>
    </xf>
    <xf numFmtId="43" fontId="31" fillId="0" borderId="7" xfId="1" applyFont="1" applyBorder="1" applyAlignment="1">
      <alignment vertical="center"/>
    </xf>
    <xf numFmtId="43" fontId="31" fillId="0" borderId="42" xfId="1" applyFont="1" applyBorder="1" applyAlignment="1">
      <alignment vertical="center"/>
    </xf>
    <xf numFmtId="10" fontId="31" fillId="0" borderId="0" xfId="11" applyNumberFormat="1" applyFont="1" applyFill="1" applyBorder="1" applyAlignment="1">
      <alignment vertical="center"/>
    </xf>
    <xf numFmtId="10" fontId="31" fillId="0" borderId="0" xfId="0" applyNumberFormat="1" applyFont="1" applyFill="1" applyBorder="1" applyAlignment="1">
      <alignment vertical="center"/>
    </xf>
    <xf numFmtId="2" fontId="31" fillId="0" borderId="0" xfId="7" applyNumberFormat="1" applyFont="1" applyAlignment="1">
      <alignment horizontal="center" vertical="center"/>
    </xf>
    <xf numFmtId="43" fontId="31" fillId="0" borderId="0" xfId="7" applyNumberFormat="1" applyFont="1" applyAlignment="1">
      <alignment horizontal="right" vertical="center"/>
    </xf>
    <xf numFmtId="43" fontId="28" fillId="13" borderId="3" xfId="1" applyFont="1" applyFill="1" applyBorder="1" applyAlignment="1">
      <alignment horizontal="right" vertical="center"/>
    </xf>
    <xf numFmtId="172" fontId="28" fillId="13" borderId="3" xfId="0" applyNumberFormat="1" applyFont="1" applyFill="1" applyBorder="1" applyAlignment="1">
      <alignment horizontal="center" vertical="center"/>
    </xf>
    <xf numFmtId="4" fontId="28" fillId="13" borderId="6" xfId="0" applyNumberFormat="1" applyFont="1" applyFill="1" applyBorder="1" applyAlignment="1">
      <alignment vertical="center"/>
    </xf>
    <xf numFmtId="4" fontId="28" fillId="0" borderId="31" xfId="0" applyNumberFormat="1" applyFont="1" applyFill="1" applyBorder="1" applyAlignment="1">
      <alignment vertical="center"/>
    </xf>
    <xf numFmtId="9" fontId="31" fillId="0" borderId="0" xfId="11" applyFont="1" applyAlignment="1">
      <alignment horizontal="center" vertical="center"/>
    </xf>
    <xf numFmtId="43" fontId="31" fillId="0" borderId="2" xfId="1" applyFont="1" applyBorder="1" applyAlignment="1">
      <alignment horizontal="center" vertical="center"/>
    </xf>
    <xf numFmtId="2" fontId="65" fillId="0" borderId="3" xfId="0" applyNumberFormat="1" applyFont="1" applyFill="1" applyBorder="1" applyAlignment="1">
      <alignment vertical="center"/>
    </xf>
    <xf numFmtId="2" fontId="65" fillId="0" borderId="31" xfId="0" applyNumberFormat="1" applyFont="1" applyFill="1" applyBorder="1" applyAlignment="1">
      <alignment vertical="center"/>
    </xf>
    <xf numFmtId="2" fontId="65" fillId="0" borderId="31" xfId="0" applyNumberFormat="1" applyFont="1" applyFill="1" applyBorder="1" applyAlignment="1">
      <alignment horizontal="left" vertical="center"/>
    </xf>
    <xf numFmtId="2" fontId="65" fillId="0" borderId="15" xfId="0" applyNumberFormat="1" applyFont="1" applyFill="1" applyBorder="1" applyAlignment="1">
      <alignment horizontal="right" vertical="center"/>
    </xf>
    <xf numFmtId="2" fontId="65" fillId="0" borderId="31" xfId="0" applyNumberFormat="1" applyFont="1" applyFill="1" applyBorder="1" applyAlignment="1">
      <alignment horizontal="right" vertical="center"/>
    </xf>
    <xf numFmtId="2" fontId="64" fillId="0" borderId="32" xfId="0" applyNumberFormat="1" applyFont="1" applyFill="1" applyBorder="1" applyAlignment="1">
      <alignment vertical="center"/>
    </xf>
    <xf numFmtId="0" fontId="39" fillId="0" borderId="30" xfId="0" applyFont="1" applyFill="1" applyBorder="1" applyAlignment="1">
      <alignment vertical="center" wrapText="1"/>
    </xf>
    <xf numFmtId="204" fontId="31" fillId="0" borderId="30" xfId="0" applyNumberFormat="1" applyFont="1" applyFill="1" applyBorder="1" applyAlignment="1">
      <alignment horizontal="right" vertical="center"/>
    </xf>
    <xf numFmtId="204" fontId="31" fillId="0" borderId="0" xfId="0" applyNumberFormat="1" applyFont="1" applyFill="1" applyBorder="1" applyAlignment="1">
      <alignment horizontal="right" vertical="center"/>
    </xf>
    <xf numFmtId="0" fontId="70" fillId="0" borderId="1" xfId="0" applyFont="1" applyFill="1" applyBorder="1" applyAlignment="1">
      <alignment vertical="center"/>
    </xf>
    <xf numFmtId="183" fontId="70" fillId="0" borderId="1" xfId="0" applyNumberFormat="1" applyFont="1" applyFill="1" applyBorder="1" applyAlignment="1">
      <alignment vertical="center"/>
    </xf>
    <xf numFmtId="43" fontId="70" fillId="0" borderId="1" xfId="0" applyNumberFormat="1" applyFont="1" applyFill="1" applyBorder="1" applyAlignment="1">
      <alignment vertical="center"/>
    </xf>
    <xf numFmtId="2" fontId="31" fillId="0" borderId="31" xfId="0" applyNumberFormat="1" applyFont="1" applyFill="1" applyBorder="1" applyAlignment="1">
      <alignment vertical="center"/>
    </xf>
    <xf numFmtId="1" fontId="31" fillId="0" borderId="2" xfId="0" applyNumberFormat="1" applyFont="1" applyFill="1" applyBorder="1" applyAlignment="1">
      <alignment horizontal="right" vertical="center"/>
    </xf>
    <xf numFmtId="0" fontId="28" fillId="0" borderId="1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vertical="center"/>
    </xf>
    <xf numFmtId="2" fontId="28" fillId="0" borderId="13" xfId="0" applyNumberFormat="1" applyFont="1" applyFill="1" applyBorder="1" applyAlignment="1">
      <alignment horizontal="right" vertical="center"/>
    </xf>
    <xf numFmtId="0" fontId="28" fillId="0" borderId="13" xfId="0" applyFont="1" applyFill="1" applyBorder="1" applyAlignment="1">
      <alignment horizontal="center" vertical="center"/>
    </xf>
    <xf numFmtId="172" fontId="28" fillId="0" borderId="3" xfId="0" applyNumberFormat="1" applyFont="1" applyFill="1" applyBorder="1" applyAlignment="1">
      <alignment horizontal="center" vertical="center"/>
    </xf>
    <xf numFmtId="2" fontId="31" fillId="0" borderId="0" xfId="0" applyNumberFormat="1" applyFont="1" applyAlignment="1">
      <alignment vertical="center"/>
    </xf>
    <xf numFmtId="2" fontId="31" fillId="0" borderId="0" xfId="0" applyNumberFormat="1" applyFont="1" applyAlignment="1">
      <alignment horizontal="center" vertical="center"/>
    </xf>
    <xf numFmtId="183" fontId="48" fillId="0" borderId="1" xfId="0" applyNumberFormat="1" applyFont="1" applyBorder="1" applyAlignment="1">
      <alignment horizontal="left" vertical="center" indent="1"/>
    </xf>
    <xf numFmtId="2" fontId="64" fillId="0" borderId="0" xfId="0" applyNumberFormat="1" applyFont="1" applyBorder="1" applyAlignment="1">
      <alignment horizontal="center" vertical="center"/>
    </xf>
    <xf numFmtId="2" fontId="64" fillId="3" borderId="2" xfId="0" applyNumberFormat="1" applyFont="1" applyFill="1" applyBorder="1" applyAlignment="1">
      <alignment horizontal="center" vertical="center"/>
    </xf>
    <xf numFmtId="0" fontId="64" fillId="0" borderId="2" xfId="7" applyFont="1" applyBorder="1" applyAlignment="1">
      <alignment horizontal="center" vertical="center"/>
    </xf>
    <xf numFmtId="0" fontId="64" fillId="0" borderId="2" xfId="0" applyFont="1" applyFill="1" applyBorder="1" applyAlignment="1">
      <alignment vertical="center"/>
    </xf>
    <xf numFmtId="43" fontId="64" fillId="0" borderId="2" xfId="1" applyFont="1" applyBorder="1" applyAlignment="1">
      <alignment horizontal="right" vertical="center"/>
    </xf>
    <xf numFmtId="43" fontId="64" fillId="0" borderId="2" xfId="1" applyFont="1" applyBorder="1" applyAlignment="1">
      <alignment horizontal="center" vertical="center"/>
    </xf>
    <xf numFmtId="0" fontId="64" fillId="0" borderId="2" xfId="0" applyFont="1" applyBorder="1" applyAlignment="1">
      <alignment vertical="center"/>
    </xf>
    <xf numFmtId="0" fontId="28" fillId="0" borderId="3" xfId="0" applyFont="1" applyFill="1" applyBorder="1" applyAlignment="1">
      <alignment horizontal="center" vertical="center"/>
    </xf>
    <xf numFmtId="0" fontId="31" fillId="13" borderId="11" xfId="0" applyFont="1" applyFill="1" applyBorder="1" applyAlignment="1">
      <alignment horizontal="center" vertical="center"/>
    </xf>
    <xf numFmtId="43" fontId="31" fillId="13" borderId="11" xfId="1" applyFont="1" applyFill="1" applyBorder="1" applyAlignment="1">
      <alignment horizontal="right" vertical="center"/>
    </xf>
    <xf numFmtId="9" fontId="31" fillId="13" borderId="11" xfId="0" applyNumberFormat="1" applyFont="1" applyFill="1" applyBorder="1" applyAlignment="1">
      <alignment horizontal="center" vertical="center"/>
    </xf>
    <xf numFmtId="43" fontId="34" fillId="13" borderId="11" xfId="1" applyFont="1" applyFill="1" applyBorder="1" applyAlignment="1">
      <alignment horizontal="right" vertical="center"/>
    </xf>
    <xf numFmtId="43" fontId="63" fillId="13" borderId="11" xfId="1" applyFont="1" applyFill="1" applyBorder="1" applyAlignment="1">
      <alignment horizontal="center" vertical="center"/>
    </xf>
    <xf numFmtId="43" fontId="31" fillId="0" borderId="0" xfId="0" applyNumberFormat="1" applyFont="1" applyFill="1" applyAlignment="1">
      <alignment horizontal="center" vertical="center"/>
    </xf>
    <xf numFmtId="9" fontId="28" fillId="0" borderId="22" xfId="0" applyNumberFormat="1" applyFont="1" applyFill="1" applyBorder="1" applyAlignment="1">
      <alignment vertical="center"/>
    </xf>
    <xf numFmtId="0" fontId="24" fillId="12" borderId="26" xfId="0" applyFont="1" applyFill="1" applyBorder="1" applyAlignment="1">
      <alignment horizontal="center" vertical="center"/>
    </xf>
    <xf numFmtId="0" fontId="80" fillId="0" borderId="0" xfId="0" applyFont="1"/>
    <xf numFmtId="43" fontId="80" fillId="0" borderId="0" xfId="1" applyFont="1"/>
    <xf numFmtId="43" fontId="80" fillId="3" borderId="0" xfId="1" applyFont="1" applyFill="1"/>
    <xf numFmtId="0" fontId="80" fillId="10" borderId="0" xfId="0" applyFont="1" applyFill="1"/>
    <xf numFmtId="43" fontId="80" fillId="10" borderId="0" xfId="1" applyFont="1" applyFill="1"/>
    <xf numFmtId="0" fontId="31" fillId="0" borderId="31" xfId="0" applyFont="1" applyBorder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2" fontId="31" fillId="0" borderId="2" xfId="0" applyNumberFormat="1" applyFont="1" applyBorder="1" applyAlignment="1">
      <alignment horizontal="left" vertical="center" wrapText="1"/>
    </xf>
    <xf numFmtId="2" fontId="28" fillId="0" borderId="19" xfId="0" applyNumberFormat="1" applyFont="1" applyFill="1" applyBorder="1" applyAlignment="1">
      <alignment vertical="center"/>
    </xf>
    <xf numFmtId="2" fontId="65" fillId="0" borderId="0" xfId="0" applyNumberFormat="1" applyFont="1" applyFill="1" applyBorder="1" applyAlignment="1">
      <alignment horizontal="center" vertical="center"/>
    </xf>
    <xf numFmtId="2" fontId="64" fillId="0" borderId="30" xfId="0" applyNumberFormat="1" applyFont="1" applyFill="1" applyBorder="1" applyAlignment="1">
      <alignment horizontal="left" vertical="center"/>
    </xf>
    <xf numFmtId="172" fontId="65" fillId="0" borderId="4" xfId="0" applyNumberFormat="1" applyFont="1" applyFill="1" applyBorder="1" applyAlignment="1">
      <alignment horizontal="center" vertical="center"/>
    </xf>
    <xf numFmtId="2" fontId="65" fillId="0" borderId="4" xfId="0" applyNumberFormat="1" applyFont="1" applyFill="1" applyBorder="1" applyAlignment="1">
      <alignment vertical="center"/>
    </xf>
    <xf numFmtId="2" fontId="65" fillId="0" borderId="0" xfId="0" applyNumberFormat="1" applyFont="1" applyFill="1" applyBorder="1" applyAlignment="1">
      <alignment vertical="center"/>
    </xf>
    <xf numFmtId="204" fontId="64" fillId="0" borderId="30" xfId="0" applyNumberFormat="1" applyFont="1" applyFill="1" applyBorder="1" applyAlignment="1">
      <alignment horizontal="right" vertical="center"/>
    </xf>
    <xf numFmtId="0" fontId="48" fillId="0" borderId="1" xfId="0" applyFont="1" applyFill="1" applyBorder="1" applyAlignment="1">
      <alignment vertical="center"/>
    </xf>
    <xf numFmtId="183" fontId="48" fillId="0" borderId="1" xfId="0" applyNumberFormat="1" applyFont="1" applyFill="1" applyBorder="1" applyAlignment="1">
      <alignment vertical="center"/>
    </xf>
    <xf numFmtId="43" fontId="48" fillId="0" borderId="1" xfId="0" applyNumberFormat="1" applyFont="1" applyFill="1" applyBorder="1" applyAlignment="1">
      <alignment vertical="center"/>
    </xf>
    <xf numFmtId="2" fontId="64" fillId="0" borderId="17" xfId="0" applyNumberFormat="1" applyFont="1" applyBorder="1" applyAlignment="1">
      <alignment horizontal="right" vertical="center"/>
    </xf>
    <xf numFmtId="2" fontId="64" fillId="0" borderId="30" xfId="0" applyNumberFormat="1" applyFont="1" applyBorder="1" applyAlignment="1">
      <alignment horizontal="right" vertical="center"/>
    </xf>
    <xf numFmtId="2" fontId="64" fillId="0" borderId="7" xfId="0" applyNumberFormat="1" applyFont="1" applyBorder="1" applyAlignment="1">
      <alignment vertical="center"/>
    </xf>
    <xf numFmtId="0" fontId="81" fillId="0" borderId="31" xfId="0" applyFont="1" applyFill="1" applyBorder="1" applyAlignment="1">
      <alignment vertical="center"/>
    </xf>
    <xf numFmtId="172" fontId="65" fillId="0" borderId="3" xfId="0" applyNumberFormat="1" applyFont="1" applyFill="1" applyBorder="1" applyAlignment="1">
      <alignment horizontal="center" vertical="center"/>
    </xf>
    <xf numFmtId="172" fontId="65" fillId="0" borderId="2" xfId="0" applyNumberFormat="1" applyFont="1" applyBorder="1" applyAlignment="1">
      <alignment horizontal="center" vertical="center"/>
    </xf>
    <xf numFmtId="172" fontId="65" fillId="0" borderId="1" xfId="0" applyNumberFormat="1" applyFont="1" applyBorder="1" applyAlignment="1">
      <alignment horizontal="center" vertical="center"/>
    </xf>
    <xf numFmtId="172" fontId="65" fillId="0" borderId="0" xfId="0" applyNumberFormat="1" applyFont="1" applyAlignment="1">
      <alignment horizontal="center" vertical="center"/>
    </xf>
    <xf numFmtId="2" fontId="64" fillId="0" borderId="2" xfId="0" applyNumberFormat="1" applyFont="1" applyBorder="1" applyAlignment="1">
      <alignment vertical="center"/>
    </xf>
    <xf numFmtId="0" fontId="81" fillId="0" borderId="30" xfId="0" applyFont="1" applyFill="1" applyBorder="1" applyAlignment="1">
      <alignment vertical="center"/>
    </xf>
    <xf numFmtId="2" fontId="64" fillId="0" borderId="2" xfId="0" applyNumberFormat="1" applyFont="1" applyBorder="1" applyAlignment="1">
      <alignment horizontal="right" vertical="center"/>
    </xf>
    <xf numFmtId="2" fontId="64" fillId="0" borderId="15" xfId="0" applyNumberFormat="1" applyFont="1" applyBorder="1" applyAlignment="1">
      <alignment horizontal="right" vertical="center"/>
    </xf>
    <xf numFmtId="2" fontId="64" fillId="0" borderId="31" xfId="0" applyNumberFormat="1" applyFont="1" applyBorder="1" applyAlignment="1">
      <alignment horizontal="right" vertical="center"/>
    </xf>
    <xf numFmtId="2" fontId="64" fillId="0" borderId="31" xfId="0" applyNumberFormat="1" applyFont="1" applyBorder="1" applyAlignment="1">
      <alignment horizontal="left" vertical="center"/>
    </xf>
    <xf numFmtId="2" fontId="65" fillId="0" borderId="2" xfId="0" applyNumberFormat="1" applyFont="1" applyBorder="1" applyAlignment="1">
      <alignment vertical="center"/>
    </xf>
    <xf numFmtId="1" fontId="82" fillId="0" borderId="2" xfId="0" applyNumberFormat="1" applyFont="1" applyFill="1" applyBorder="1" applyAlignment="1">
      <alignment horizontal="center" vertical="center"/>
    </xf>
    <xf numFmtId="173" fontId="64" fillId="0" borderId="2" xfId="0" applyNumberFormat="1" applyFont="1" applyBorder="1" applyAlignment="1">
      <alignment horizontal="center" vertical="center"/>
    </xf>
    <xf numFmtId="2" fontId="31" fillId="0" borderId="30" xfId="0" applyNumberFormat="1" applyFont="1" applyBorder="1" applyAlignment="1">
      <alignment horizontal="left" vertical="center"/>
    </xf>
    <xf numFmtId="1" fontId="31" fillId="0" borderId="2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right" vertical="center"/>
    </xf>
    <xf numFmtId="2" fontId="31" fillId="0" borderId="30" xfId="0" applyNumberFormat="1" applyFont="1" applyBorder="1" applyAlignment="1">
      <alignment horizontal="right" vertical="center"/>
    </xf>
    <xf numFmtId="2" fontId="31" fillId="0" borderId="7" xfId="0" applyNumberFormat="1" applyFont="1" applyBorder="1" applyAlignment="1">
      <alignment vertical="center"/>
    </xf>
    <xf numFmtId="172" fontId="31" fillId="0" borderId="0" xfId="0" applyNumberFormat="1" applyFont="1" applyAlignment="1">
      <alignment horizontal="center" vertical="center"/>
    </xf>
    <xf numFmtId="173" fontId="28" fillId="0" borderId="7" xfId="0" applyNumberFormat="1" applyFont="1" applyFill="1" applyBorder="1" applyAlignment="1">
      <alignment horizontal="center" vertical="center"/>
    </xf>
    <xf numFmtId="2" fontId="28" fillId="0" borderId="32" xfId="0" applyNumberFormat="1" applyFont="1" applyFill="1" applyBorder="1" applyAlignment="1">
      <alignment vertical="center"/>
    </xf>
    <xf numFmtId="2" fontId="31" fillId="0" borderId="16" xfId="0" applyNumberFormat="1" applyFont="1" applyFill="1" applyBorder="1" applyAlignment="1">
      <alignment horizontal="right" vertical="center"/>
    </xf>
    <xf numFmtId="2" fontId="31" fillId="0" borderId="32" xfId="0" applyNumberFormat="1" applyFont="1" applyFill="1" applyBorder="1" applyAlignment="1">
      <alignment horizontal="right" vertical="center"/>
    </xf>
    <xf numFmtId="172" fontId="28" fillId="0" borderId="12" xfId="0" applyNumberFormat="1" applyFont="1" applyFill="1" applyBorder="1" applyAlignment="1">
      <alignment horizontal="center" vertical="center"/>
    </xf>
    <xf numFmtId="1" fontId="31" fillId="0" borderId="1" xfId="0" applyNumberFormat="1" applyFont="1" applyFill="1" applyBorder="1" applyAlignment="1">
      <alignment horizontal="center" vertical="center"/>
    </xf>
    <xf numFmtId="2" fontId="28" fillId="0" borderId="30" xfId="0" applyNumberFormat="1" applyFont="1" applyFill="1" applyBorder="1" applyAlignment="1">
      <alignment vertical="center"/>
    </xf>
    <xf numFmtId="1" fontId="28" fillId="0" borderId="4" xfId="0" applyNumberFormat="1" applyFont="1" applyFill="1" applyBorder="1" applyAlignment="1">
      <alignment horizontal="center" vertical="center"/>
    </xf>
    <xf numFmtId="2" fontId="28" fillId="0" borderId="17" xfId="0" applyNumberFormat="1" applyFont="1" applyFill="1" applyBorder="1" applyAlignment="1">
      <alignment horizontal="right" vertical="center"/>
    </xf>
    <xf numFmtId="2" fontId="28" fillId="0" borderId="30" xfId="0" applyNumberFormat="1" applyFont="1" applyFill="1" applyBorder="1" applyAlignment="1">
      <alignment horizontal="right" vertical="center"/>
    </xf>
    <xf numFmtId="2" fontId="28" fillId="0" borderId="30" xfId="0" applyNumberFormat="1" applyFont="1" applyFill="1" applyBorder="1" applyAlignment="1">
      <alignment horizontal="left" vertical="center"/>
    </xf>
    <xf numFmtId="2" fontId="28" fillId="0" borderId="4" xfId="0" applyNumberFormat="1" applyFont="1" applyFill="1" applyBorder="1" applyAlignment="1">
      <alignment horizontal="right" vertical="center"/>
    </xf>
    <xf numFmtId="1" fontId="28" fillId="0" borderId="1" xfId="0" applyNumberFormat="1" applyFont="1" applyFill="1" applyBorder="1" applyAlignment="1">
      <alignment horizontal="center" vertical="center"/>
    </xf>
    <xf numFmtId="2" fontId="28" fillId="0" borderId="31" xfId="0" applyNumberFormat="1" applyFont="1" applyBorder="1" applyAlignment="1">
      <alignment vertical="center"/>
    </xf>
    <xf numFmtId="2" fontId="31" fillId="0" borderId="15" xfId="0" applyNumberFormat="1" applyFont="1" applyBorder="1" applyAlignment="1">
      <alignment horizontal="center" vertical="center"/>
    </xf>
    <xf numFmtId="2" fontId="31" fillId="0" borderId="31" xfId="0" applyNumberFormat="1" applyFont="1" applyBorder="1" applyAlignment="1">
      <alignment horizontal="center" vertical="center"/>
    </xf>
    <xf numFmtId="2" fontId="32" fillId="0" borderId="31" xfId="0" applyNumberFormat="1" applyFont="1" applyBorder="1" applyAlignment="1">
      <alignment vertical="center"/>
    </xf>
    <xf numFmtId="2" fontId="31" fillId="0" borderId="31" xfId="0" applyNumberFormat="1" applyFont="1" applyBorder="1" applyAlignment="1">
      <alignment vertical="center"/>
    </xf>
    <xf numFmtId="2" fontId="32" fillId="0" borderId="2" xfId="0" applyNumberFormat="1" applyFont="1" applyBorder="1" applyAlignment="1">
      <alignment horizontal="center" vertical="center"/>
    </xf>
    <xf numFmtId="172" fontId="28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72" fontId="28" fillId="0" borderId="0" xfId="0" applyNumberFormat="1" applyFont="1" applyAlignment="1">
      <alignment horizontal="center" vertical="center"/>
    </xf>
    <xf numFmtId="2" fontId="31" fillId="0" borderId="30" xfId="0" applyNumberFormat="1" applyFont="1" applyFill="1" applyBorder="1" applyAlignment="1">
      <alignment vertical="center" wrapText="1"/>
    </xf>
    <xf numFmtId="2" fontId="76" fillId="0" borderId="2" xfId="0" applyNumberFormat="1" applyFont="1" applyBorder="1" applyAlignment="1">
      <alignment vertical="center"/>
    </xf>
    <xf numFmtId="173" fontId="31" fillId="0" borderId="2" xfId="0" applyNumberFormat="1" applyFont="1" applyBorder="1" applyAlignment="1">
      <alignment horizontal="center" vertical="center"/>
    </xf>
    <xf numFmtId="2" fontId="31" fillId="0" borderId="2" xfId="0" applyNumberFormat="1" applyFont="1" applyBorder="1" applyAlignment="1">
      <alignment vertical="center"/>
    </xf>
    <xf numFmtId="172" fontId="31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73" fontId="31" fillId="0" borderId="1" xfId="0" applyNumberFormat="1" applyFont="1" applyBorder="1" applyAlignment="1">
      <alignment horizontal="center" vertical="center"/>
    </xf>
    <xf numFmtId="43" fontId="72" fillId="0" borderId="1" xfId="1" applyNumberFormat="1" applyFont="1" applyBorder="1"/>
    <xf numFmtId="186" fontId="31" fillId="0" borderId="2" xfId="0" applyNumberFormat="1" applyFont="1" applyBorder="1" applyAlignment="1">
      <alignment horizontal="center" vertical="center"/>
    </xf>
    <xf numFmtId="173" fontId="31" fillId="0" borderId="31" xfId="0" applyNumberFormat="1" applyFont="1" applyBorder="1" applyAlignment="1">
      <alignment horizontal="center" vertical="center"/>
    </xf>
    <xf numFmtId="1" fontId="32" fillId="0" borderId="21" xfId="0" applyNumberFormat="1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 vertical="center"/>
    </xf>
    <xf numFmtId="2" fontId="28" fillId="0" borderId="21" xfId="0" applyNumberFormat="1" applyFont="1" applyBorder="1" applyAlignment="1">
      <alignment horizontal="right" vertical="center"/>
    </xf>
    <xf numFmtId="1" fontId="32" fillId="0" borderId="2" xfId="0" applyNumberFormat="1" applyFont="1" applyBorder="1" applyAlignment="1">
      <alignment horizontal="center" vertical="center"/>
    </xf>
    <xf numFmtId="2" fontId="32" fillId="0" borderId="15" xfId="0" applyNumberFormat="1" applyFont="1" applyBorder="1" applyAlignment="1">
      <alignment horizontal="center" vertical="center"/>
    </xf>
    <xf numFmtId="2" fontId="32" fillId="0" borderId="31" xfId="0" applyNumberFormat="1" applyFont="1" applyBorder="1" applyAlignment="1">
      <alignment horizontal="center" vertical="center"/>
    </xf>
    <xf numFmtId="2" fontId="70" fillId="0" borderId="1" xfId="0" applyNumberFormat="1" applyFont="1" applyBorder="1"/>
    <xf numFmtId="1" fontId="28" fillId="0" borderId="31" xfId="0" applyNumberFormat="1" applyFont="1" applyBorder="1" applyAlignment="1">
      <alignment horizontal="left" vertical="center"/>
    </xf>
    <xf numFmtId="173" fontId="31" fillId="0" borderId="2" xfId="0" applyNumberFormat="1" applyFont="1" applyFill="1" applyBorder="1" applyAlignment="1">
      <alignment horizontal="center" vertical="center"/>
    </xf>
    <xf numFmtId="1" fontId="31" fillId="0" borderId="31" xfId="0" applyNumberFormat="1" applyFont="1" applyBorder="1" applyAlignment="1">
      <alignment horizontal="left" vertical="center"/>
    </xf>
    <xf numFmtId="173" fontId="31" fillId="0" borderId="3" xfId="0" applyNumberFormat="1" applyFon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2" fontId="28" fillId="0" borderId="12" xfId="1" applyNumberFormat="1" applyFont="1" applyBorder="1" applyAlignment="1">
      <alignment horizontal="right" vertical="center"/>
    </xf>
    <xf numFmtId="173" fontId="28" fillId="0" borderId="12" xfId="0" applyNumberFormat="1" applyFont="1" applyBorder="1" applyAlignment="1">
      <alignment horizontal="center" vertical="center"/>
    </xf>
    <xf numFmtId="2" fontId="28" fillId="0" borderId="13" xfId="1" applyNumberFormat="1" applyFont="1" applyBorder="1" applyAlignment="1">
      <alignment horizontal="right" vertical="center"/>
    </xf>
    <xf numFmtId="173" fontId="28" fillId="0" borderId="13" xfId="0" applyNumberFormat="1" applyFont="1" applyBorder="1" applyAlignment="1">
      <alignment horizontal="center" vertical="center"/>
    </xf>
    <xf numFmtId="173" fontId="31" fillId="0" borderId="4" xfId="0" applyNumberFormat="1" applyFont="1" applyBorder="1" applyAlignment="1">
      <alignment horizontal="center" vertical="center"/>
    </xf>
    <xf numFmtId="2" fontId="39" fillId="0" borderId="30" xfId="0" applyNumberFormat="1" applyFont="1" applyFill="1" applyBorder="1" applyAlignment="1">
      <alignment vertical="center" wrapText="1"/>
    </xf>
    <xf numFmtId="1" fontId="31" fillId="0" borderId="17" xfId="0" applyNumberFormat="1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vertical="center"/>
    </xf>
    <xf numFmtId="2" fontId="28" fillId="0" borderId="14" xfId="0" applyNumberFormat="1" applyFont="1" applyFill="1" applyBorder="1" applyAlignment="1">
      <alignment vertical="center"/>
    </xf>
    <xf numFmtId="172" fontId="28" fillId="0" borderId="14" xfId="0" applyNumberFormat="1" applyFont="1" applyFill="1" applyBorder="1" applyAlignment="1">
      <alignment horizontal="center" vertical="center"/>
    </xf>
    <xf numFmtId="0" fontId="28" fillId="0" borderId="31" xfId="0" applyFont="1" applyBorder="1" applyAlignment="1">
      <alignment horizontal="left" vertical="center"/>
    </xf>
    <xf numFmtId="2" fontId="31" fillId="0" borderId="31" xfId="0" applyNumberFormat="1" applyFont="1" applyFill="1" applyBorder="1" applyAlignment="1">
      <alignment vertical="center" wrapText="1"/>
    </xf>
    <xf numFmtId="2" fontId="31" fillId="0" borderId="3" xfId="0" applyNumberFormat="1" applyFont="1" applyFill="1" applyBorder="1" applyAlignment="1">
      <alignment vertical="center"/>
    </xf>
    <xf numFmtId="0" fontId="28" fillId="0" borderId="27" xfId="0" applyFont="1" applyFill="1" applyBorder="1" applyAlignment="1">
      <alignment horizontal="center" vertical="center"/>
    </xf>
    <xf numFmtId="2" fontId="39" fillId="0" borderId="30" xfId="0" applyNumberFormat="1" applyFont="1" applyBorder="1" applyAlignment="1">
      <alignment horizontal="left" vertical="center"/>
    </xf>
    <xf numFmtId="2" fontId="31" fillId="0" borderId="2" xfId="0" applyNumberFormat="1" applyFont="1" applyBorder="1" applyAlignment="1">
      <alignment horizontal="right" vertical="center"/>
    </xf>
    <xf numFmtId="2" fontId="28" fillId="0" borderId="0" xfId="0" applyNumberFormat="1" applyFont="1" applyAlignment="1">
      <alignment vertical="center"/>
    </xf>
    <xf numFmtId="2" fontId="28" fillId="0" borderId="0" xfId="0" applyNumberFormat="1" applyFont="1" applyAlignment="1">
      <alignment horizontal="center" vertical="center"/>
    </xf>
    <xf numFmtId="179" fontId="31" fillId="0" borderId="2" xfId="0" applyNumberFormat="1" applyFont="1" applyBorder="1" applyAlignment="1">
      <alignment horizontal="center" vertical="center"/>
    </xf>
    <xf numFmtId="172" fontId="31" fillId="0" borderId="7" xfId="0" applyNumberFormat="1" applyFont="1" applyBorder="1" applyAlignment="1">
      <alignment horizontal="center" vertical="center"/>
    </xf>
    <xf numFmtId="0" fontId="28" fillId="0" borderId="18" xfId="0" applyFont="1" applyFill="1" applyBorder="1" applyAlignment="1">
      <alignment horizontal="center" vertical="center"/>
    </xf>
    <xf numFmtId="2" fontId="28" fillId="0" borderId="43" xfId="0" applyNumberFormat="1" applyFont="1" applyFill="1" applyBorder="1" applyAlignment="1">
      <alignment vertical="center"/>
    </xf>
    <xf numFmtId="172" fontId="28" fillId="0" borderId="43" xfId="0" applyNumberFormat="1" applyFont="1" applyFill="1" applyBorder="1" applyAlignment="1">
      <alignment horizontal="center" vertical="center"/>
    </xf>
    <xf numFmtId="2" fontId="39" fillId="0" borderId="31" xfId="0" applyNumberFormat="1" applyFont="1" applyFill="1" applyBorder="1" applyAlignment="1">
      <alignment vertical="center"/>
    </xf>
    <xf numFmtId="43" fontId="70" fillId="0" borderId="0" xfId="1" applyFont="1" applyFill="1" applyBorder="1" applyAlignment="1">
      <alignment vertical="center"/>
    </xf>
    <xf numFmtId="173" fontId="28" fillId="0" borderId="0" xfId="0" applyNumberFormat="1" applyFont="1" applyFill="1" applyBorder="1" applyAlignment="1">
      <alignment horizontal="center" vertical="center"/>
    </xf>
    <xf numFmtId="2" fontId="32" fillId="0" borderId="30" xfId="0" applyNumberFormat="1" applyFont="1" applyFill="1" applyBorder="1" applyAlignment="1">
      <alignment vertical="center"/>
    </xf>
    <xf numFmtId="0" fontId="28" fillId="0" borderId="7" xfId="0" applyFont="1" applyFill="1" applyBorder="1" applyAlignment="1">
      <alignment horizontal="center" vertical="center"/>
    </xf>
    <xf numFmtId="1" fontId="28" fillId="0" borderId="7" xfId="0" applyNumberFormat="1" applyFont="1" applyFill="1" applyBorder="1" applyAlignment="1">
      <alignment horizontal="center" vertical="center"/>
    </xf>
    <xf numFmtId="1" fontId="31" fillId="0" borderId="7" xfId="0" applyNumberFormat="1" applyFont="1" applyFill="1" applyBorder="1" applyAlignment="1">
      <alignment horizontal="left" vertical="center" indent="1"/>
    </xf>
    <xf numFmtId="2" fontId="31" fillId="0" borderId="32" xfId="0" applyNumberFormat="1" applyFont="1" applyFill="1" applyBorder="1" applyAlignment="1">
      <alignment horizontal="right" vertical="center" indent="1"/>
    </xf>
    <xf numFmtId="2" fontId="31" fillId="0" borderId="32" xfId="0" applyNumberFormat="1" applyFont="1" applyFill="1" applyBorder="1" applyAlignment="1">
      <alignment horizontal="left" vertical="center" indent="1"/>
    </xf>
    <xf numFmtId="2" fontId="31" fillId="0" borderId="32" xfId="0" applyNumberFormat="1" applyFont="1" applyFill="1" applyBorder="1" applyAlignment="1">
      <alignment vertical="center"/>
    </xf>
    <xf numFmtId="2" fontId="32" fillId="0" borderId="32" xfId="0" applyNumberFormat="1" applyFont="1" applyFill="1" applyBorder="1" applyAlignment="1">
      <alignment vertical="center"/>
    </xf>
    <xf numFmtId="0" fontId="31" fillId="0" borderId="6" xfId="0" applyFont="1" applyFill="1" applyBorder="1" applyAlignment="1">
      <alignment vertical="center" wrapText="1"/>
    </xf>
    <xf numFmtId="2" fontId="31" fillId="0" borderId="0" xfId="0" applyNumberFormat="1" applyFont="1" applyFill="1" applyBorder="1" applyAlignment="1">
      <alignment horizontal="right" vertical="center"/>
    </xf>
    <xf numFmtId="2" fontId="31" fillId="0" borderId="6" xfId="0" applyNumberFormat="1" applyFont="1" applyFill="1" applyBorder="1" applyAlignment="1">
      <alignment horizontal="right" vertical="center"/>
    </xf>
    <xf numFmtId="2" fontId="28" fillId="0" borderId="7" xfId="0" applyNumberFormat="1" applyFont="1" applyFill="1" applyBorder="1" applyAlignment="1">
      <alignment horizontal="left" vertical="center"/>
    </xf>
    <xf numFmtId="2" fontId="39" fillId="0" borderId="32" xfId="0" applyNumberFormat="1" applyFont="1" applyFill="1" applyBorder="1" applyAlignment="1">
      <alignment vertical="center"/>
    </xf>
    <xf numFmtId="2" fontId="28" fillId="0" borderId="7" xfId="0" applyNumberFormat="1" applyFont="1" applyFill="1" applyBorder="1" applyAlignment="1">
      <alignment horizontal="right" vertical="center"/>
    </xf>
    <xf numFmtId="1" fontId="28" fillId="0" borderId="7" xfId="0" applyNumberFormat="1" applyFont="1" applyFill="1" applyBorder="1" applyAlignment="1">
      <alignment horizontal="left" vertical="center" indent="1"/>
    </xf>
    <xf numFmtId="2" fontId="31" fillId="0" borderId="15" xfId="0" applyNumberFormat="1" applyFont="1" applyBorder="1" applyAlignment="1">
      <alignment horizontal="right" vertical="center"/>
    </xf>
    <xf numFmtId="2" fontId="31" fillId="0" borderId="31" xfId="0" applyNumberFormat="1" applyFont="1" applyBorder="1" applyAlignment="1">
      <alignment horizontal="right" vertical="center"/>
    </xf>
    <xf numFmtId="2" fontId="31" fillId="0" borderId="31" xfId="0" applyNumberFormat="1" applyFont="1" applyBorder="1" applyAlignment="1">
      <alignment horizontal="left" vertical="center"/>
    </xf>
    <xf numFmtId="2" fontId="28" fillId="0" borderId="2" xfId="0" applyNumberFormat="1" applyFont="1" applyBorder="1" applyAlignment="1">
      <alignment vertical="center"/>
    </xf>
    <xf numFmtId="172" fontId="31" fillId="0" borderId="0" xfId="0" applyNumberFormat="1" applyFont="1" applyAlignment="1">
      <alignment horizontal="right" vertical="center"/>
    </xf>
    <xf numFmtId="2" fontId="28" fillId="0" borderId="2" xfId="0" applyNumberFormat="1" applyFont="1" applyBorder="1" applyAlignment="1">
      <alignment horizontal="left" vertical="center"/>
    </xf>
    <xf numFmtId="2" fontId="31" fillId="0" borderId="32" xfId="0" applyNumberFormat="1" applyFont="1" applyFill="1" applyBorder="1" applyAlignment="1">
      <alignment horizontal="center" vertical="center"/>
    </xf>
    <xf numFmtId="2" fontId="31" fillId="0" borderId="3" xfId="0" applyNumberFormat="1" applyFont="1" applyFill="1" applyBorder="1" applyAlignment="1">
      <alignment horizontal="right" vertical="center"/>
    </xf>
    <xf numFmtId="2" fontId="28" fillId="0" borderId="12" xfId="0" applyNumberFormat="1" applyFont="1" applyFill="1" applyBorder="1" applyAlignment="1">
      <alignment horizontal="right" vertical="center"/>
    </xf>
    <xf numFmtId="2" fontId="28" fillId="0" borderId="3" xfId="0" applyNumberFormat="1" applyFont="1" applyFill="1" applyBorder="1" applyAlignment="1">
      <alignment horizontal="right" vertical="center"/>
    </xf>
    <xf numFmtId="2" fontId="28" fillId="0" borderId="18" xfId="0" applyNumberFormat="1" applyFont="1" applyFill="1" applyBorder="1" applyAlignment="1">
      <alignment horizontal="right" vertical="center"/>
    </xf>
    <xf numFmtId="1" fontId="39" fillId="0" borderId="15" xfId="0" applyNumberFormat="1" applyFont="1" applyBorder="1" applyAlignment="1">
      <alignment horizontal="center" vertical="center"/>
    </xf>
    <xf numFmtId="1" fontId="39" fillId="0" borderId="2" xfId="0" applyNumberFormat="1" applyFont="1" applyBorder="1" applyAlignment="1">
      <alignment horizontal="center" vertical="center"/>
    </xf>
    <xf numFmtId="2" fontId="28" fillId="0" borderId="32" xfId="0" applyNumberFormat="1" applyFont="1" applyFill="1" applyBorder="1" applyAlignment="1">
      <alignment horizontal="left" vertical="center" indent="1"/>
    </xf>
    <xf numFmtId="177" fontId="28" fillId="0" borderId="35" xfId="0" applyNumberFormat="1" applyFont="1" applyBorder="1" applyAlignment="1">
      <alignment vertical="center"/>
    </xf>
    <xf numFmtId="0" fontId="31" fillId="0" borderId="5" xfId="0" applyFont="1" applyBorder="1" applyAlignment="1">
      <alignment horizontal="center" vertical="center"/>
    </xf>
    <xf numFmtId="177" fontId="28" fillId="0" borderId="6" xfId="0" applyNumberFormat="1" applyFont="1" applyBorder="1" applyAlignment="1">
      <alignment vertical="center"/>
    </xf>
    <xf numFmtId="43" fontId="31" fillId="0" borderId="14" xfId="1" applyFont="1" applyFill="1" applyBorder="1" applyAlignment="1">
      <alignment horizontal="right" vertical="center"/>
    </xf>
    <xf numFmtId="172" fontId="31" fillId="0" borderId="14" xfId="0" applyNumberFormat="1" applyFont="1" applyBorder="1" applyAlignment="1">
      <alignment horizontal="center" vertical="center"/>
    </xf>
    <xf numFmtId="4" fontId="28" fillId="0" borderId="14" xfId="0" applyNumberFormat="1" applyFont="1" applyBorder="1" applyAlignment="1">
      <alignment vertical="center"/>
    </xf>
    <xf numFmtId="2" fontId="28" fillId="0" borderId="16" xfId="0" applyNumberFormat="1" applyFont="1" applyFill="1" applyBorder="1" applyAlignment="1">
      <alignment horizontal="right" vertical="center"/>
    </xf>
    <xf numFmtId="2" fontId="28" fillId="0" borderId="32" xfId="0" applyNumberFormat="1" applyFont="1" applyFill="1" applyBorder="1" applyAlignment="1">
      <alignment horizontal="right" vertical="center" indent="1"/>
    </xf>
    <xf numFmtId="0" fontId="75" fillId="0" borderId="1" xfId="0" applyFont="1" applyBorder="1"/>
    <xf numFmtId="43" fontId="75" fillId="0" borderId="1" xfId="1" applyFont="1" applyBorder="1"/>
    <xf numFmtId="0" fontId="75" fillId="0" borderId="0" xfId="0" applyFont="1"/>
    <xf numFmtId="0" fontId="28" fillId="0" borderId="0" xfId="0" applyFont="1" applyFill="1" applyBorder="1" applyAlignment="1">
      <alignment horizontal="center" vertical="center"/>
    </xf>
    <xf numFmtId="2" fontId="31" fillId="0" borderId="15" xfId="0" applyNumberFormat="1" applyFont="1" applyBorder="1" applyAlignment="1">
      <alignment vertical="center"/>
    </xf>
    <xf numFmtId="0" fontId="53" fillId="0" borderId="3" xfId="0" applyFont="1" applyBorder="1"/>
    <xf numFmtId="2" fontId="53" fillId="0" borderId="3" xfId="0" applyNumberFormat="1" applyFont="1" applyBorder="1"/>
    <xf numFmtId="0" fontId="31" fillId="0" borderId="7" xfId="0" applyFont="1" applyBorder="1" applyAlignment="1">
      <alignment vertical="center" wrapText="1"/>
    </xf>
    <xf numFmtId="43" fontId="65" fillId="15" borderId="2" xfId="1" applyFont="1" applyFill="1" applyBorder="1" applyAlignment="1">
      <alignment horizontal="right" vertical="center"/>
    </xf>
    <xf numFmtId="43" fontId="83" fillId="0" borderId="2" xfId="1" applyFont="1" applyFill="1" applyBorder="1" applyAlignment="1">
      <alignment horizontal="right" vertical="center"/>
    </xf>
    <xf numFmtId="0" fontId="64" fillId="12" borderId="2" xfId="0" applyFont="1" applyFill="1" applyBorder="1" applyAlignment="1">
      <alignment horizontal="center" vertical="center"/>
    </xf>
    <xf numFmtId="0" fontId="64" fillId="3" borderId="4" xfId="0" applyFont="1" applyFill="1" applyBorder="1" applyAlignment="1">
      <alignment horizontal="center" vertical="center"/>
    </xf>
    <xf numFmtId="0" fontId="64" fillId="0" borderId="4" xfId="0" applyFont="1" applyFill="1" applyBorder="1" applyAlignment="1">
      <alignment horizontal="center" vertical="center"/>
    </xf>
    <xf numFmtId="0" fontId="64" fillId="0" borderId="7" xfId="0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43" fontId="31" fillId="0" borderId="4" xfId="1" applyFont="1" applyBorder="1" applyAlignment="1">
      <alignment horizontal="center" vertical="center"/>
    </xf>
    <xf numFmtId="2" fontId="31" fillId="0" borderId="7" xfId="0" applyNumberFormat="1" applyFont="1" applyBorder="1" applyAlignment="1">
      <alignment horizontal="left" vertical="center" wrapText="1"/>
    </xf>
    <xf numFmtId="4" fontId="65" fillId="0" borderId="31" xfId="0" applyNumberFormat="1" applyFont="1" applyFill="1" applyBorder="1" applyAlignment="1">
      <alignment vertical="center"/>
    </xf>
    <xf numFmtId="4" fontId="65" fillId="0" borderId="30" xfId="0" applyNumberFormat="1" applyFont="1" applyFill="1" applyBorder="1" applyAlignment="1">
      <alignment vertical="center"/>
    </xf>
    <xf numFmtId="4" fontId="65" fillId="0" borderId="6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172" fontId="28" fillId="0" borderId="14" xfId="0" applyNumberFormat="1" applyFont="1" applyBorder="1" applyAlignment="1">
      <alignment horizontal="center" vertical="center"/>
    </xf>
    <xf numFmtId="4" fontId="65" fillId="0" borderId="31" xfId="0" applyNumberFormat="1" applyFont="1" applyBorder="1" applyAlignment="1">
      <alignment vertical="center"/>
    </xf>
    <xf numFmtId="4" fontId="64" fillId="0" borderId="31" xfId="0" applyNumberFormat="1" applyFont="1" applyBorder="1" applyAlignment="1">
      <alignment vertical="center"/>
    </xf>
    <xf numFmtId="4" fontId="65" fillId="0" borderId="41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0" fontId="28" fillId="0" borderId="7" xfId="0" applyFont="1" applyBorder="1" applyAlignment="1">
      <alignment horizontal="center" vertical="center"/>
    </xf>
    <xf numFmtId="2" fontId="31" fillId="0" borderId="32" xfId="0" applyNumberFormat="1" applyFont="1" applyBorder="1" applyAlignment="1">
      <alignment vertical="center"/>
    </xf>
    <xf numFmtId="1" fontId="31" fillId="0" borderId="7" xfId="0" applyNumberFormat="1" applyFont="1" applyBorder="1" applyAlignment="1">
      <alignment horizontal="center" vertical="center"/>
    </xf>
    <xf numFmtId="1" fontId="31" fillId="0" borderId="7" xfId="0" applyNumberFormat="1" applyFont="1" applyBorder="1" applyAlignment="1">
      <alignment horizontal="left" vertical="center" indent="1"/>
    </xf>
    <xf numFmtId="2" fontId="31" fillId="0" borderId="16" xfId="0" applyNumberFormat="1" applyFont="1" applyBorder="1" applyAlignment="1">
      <alignment horizontal="right" vertical="center"/>
    </xf>
    <xf numFmtId="2" fontId="31" fillId="0" borderId="32" xfId="0" applyNumberFormat="1" applyFont="1" applyBorder="1" applyAlignment="1">
      <alignment horizontal="right" vertical="center" indent="1"/>
    </xf>
    <xf numFmtId="2" fontId="31" fillId="0" borderId="32" xfId="0" applyNumberFormat="1" applyFont="1" applyBorder="1" applyAlignment="1">
      <alignment horizontal="left" vertical="center" indent="1"/>
    </xf>
    <xf numFmtId="2" fontId="31" fillId="0" borderId="7" xfId="0" applyNumberFormat="1" applyFont="1" applyBorder="1" applyAlignment="1">
      <alignment horizontal="right" vertical="center"/>
    </xf>
    <xf numFmtId="2" fontId="28" fillId="0" borderId="2" xfId="0" applyNumberFormat="1" applyFont="1" applyBorder="1" applyAlignment="1">
      <alignment horizontal="right" vertical="center"/>
    </xf>
    <xf numFmtId="2" fontId="28" fillId="0" borderId="32" xfId="0" applyNumberFormat="1" applyFont="1" applyBorder="1" applyAlignment="1">
      <alignment horizontal="left" vertical="center" indent="1"/>
    </xf>
    <xf numFmtId="0" fontId="38" fillId="0" borderId="0" xfId="9" applyFont="1" applyFill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2" borderId="44" xfId="0" applyFont="1" applyFill="1" applyBorder="1" applyAlignment="1">
      <alignment horizontal="center" vertical="center"/>
    </xf>
    <xf numFmtId="0" fontId="24" fillId="12" borderId="40" xfId="0" applyFont="1" applyFill="1" applyBorder="1" applyAlignment="1">
      <alignment horizontal="center" vertical="center"/>
    </xf>
    <xf numFmtId="0" fontId="24" fillId="12" borderId="27" xfId="0" applyFont="1" applyFill="1" applyBorder="1" applyAlignment="1">
      <alignment horizontal="center" vertical="center"/>
    </xf>
    <xf numFmtId="43" fontId="24" fillId="12" borderId="45" xfId="1" applyFont="1" applyFill="1" applyBorder="1" applyAlignment="1">
      <alignment horizontal="center" vertical="center" wrapText="1"/>
    </xf>
    <xf numFmtId="43" fontId="24" fillId="12" borderId="46" xfId="1" applyFont="1" applyFill="1" applyBorder="1" applyAlignment="1">
      <alignment horizontal="center" vertical="center" wrapText="1"/>
    </xf>
    <xf numFmtId="0" fontId="24" fillId="12" borderId="37" xfId="0" applyFont="1" applyFill="1" applyBorder="1" applyAlignment="1">
      <alignment horizontal="center" vertical="center"/>
    </xf>
    <xf numFmtId="0" fontId="24" fillId="12" borderId="47" xfId="0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/>
    </xf>
    <xf numFmtId="0" fontId="28" fillId="0" borderId="48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2" fontId="24" fillId="0" borderId="38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4" fillId="0" borderId="0" xfId="9" applyFont="1" applyFill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8" fillId="17" borderId="34" xfId="0" applyFont="1" applyFill="1" applyBorder="1" applyAlignment="1">
      <alignment horizontal="center" vertical="center"/>
    </xf>
    <xf numFmtId="0" fontId="28" fillId="17" borderId="48" xfId="0" applyFont="1" applyFill="1" applyBorder="1" applyAlignment="1">
      <alignment horizontal="center" vertical="center"/>
    </xf>
    <xf numFmtId="0" fontId="28" fillId="17" borderId="22" xfId="0" applyFont="1" applyFill="1" applyBorder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50" fillId="0" borderId="38" xfId="0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2" fontId="2" fillId="0" borderId="38" xfId="0" applyNumberFormat="1" applyFont="1" applyFill="1" applyBorder="1" applyAlignment="1">
      <alignment horizontal="center" vertical="center"/>
    </xf>
    <xf numFmtId="2" fontId="2" fillId="0" borderId="9" xfId="0" applyNumberFormat="1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 wrapText="1"/>
    </xf>
    <xf numFmtId="0" fontId="50" fillId="0" borderId="49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50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51" xfId="0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/>
    </xf>
    <xf numFmtId="0" fontId="50" fillId="0" borderId="38" xfId="0" applyFont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49" fillId="0" borderId="0" xfId="0" applyFont="1" applyAlignment="1">
      <alignment horizontal="center"/>
    </xf>
    <xf numFmtId="2" fontId="12" fillId="0" borderId="0" xfId="0" applyNumberFormat="1" applyFont="1" applyFill="1" applyBorder="1" applyAlignment="1">
      <alignment horizontal="center" vertical="center"/>
    </xf>
    <xf numFmtId="173" fontId="12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right" vertical="center"/>
    </xf>
    <xf numFmtId="43" fontId="12" fillId="0" borderId="1" xfId="1" applyFont="1" applyFill="1" applyBorder="1" applyAlignment="1">
      <alignment horizontal="center" vertical="center" wrapText="1"/>
    </xf>
    <xf numFmtId="43" fontId="12" fillId="0" borderId="1" xfId="1" applyFont="1" applyFill="1" applyBorder="1" applyAlignment="1">
      <alignment horizontal="center" vertical="center"/>
    </xf>
    <xf numFmtId="172" fontId="12" fillId="0" borderId="1" xfId="0" applyNumberFormat="1" applyFont="1" applyFill="1" applyBorder="1" applyAlignment="1">
      <alignment horizontal="center" vertical="center" wrapText="1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5" xfId="0" applyNumberFormat="1" applyFont="1" applyFill="1" applyBorder="1" applyAlignment="1">
      <alignment horizontal="center" vertical="center"/>
    </xf>
    <xf numFmtId="2" fontId="12" fillId="6" borderId="21" xfId="0" applyNumberFormat="1" applyFont="1" applyFill="1" applyBorder="1" applyAlignment="1">
      <alignment horizontal="center" vertical="center"/>
    </xf>
    <xf numFmtId="0" fontId="54" fillId="0" borderId="39" xfId="0" applyFont="1" applyBorder="1" applyAlignment="1">
      <alignment horizontal="center" vertical="center"/>
    </xf>
    <xf numFmtId="0" fontId="54" fillId="0" borderId="54" xfId="0" applyFont="1" applyBorder="1" applyAlignment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54" fillId="0" borderId="39" xfId="0" applyFont="1" applyBorder="1" applyAlignment="1">
      <alignment horizontal="center" vertical="center" wrapText="1"/>
    </xf>
    <xf numFmtId="0" fontId="54" fillId="0" borderId="54" xfId="0" applyFont="1" applyBorder="1" applyAlignment="1">
      <alignment horizontal="center" vertical="center" wrapText="1"/>
    </xf>
    <xf numFmtId="0" fontId="54" fillId="0" borderId="33" xfId="0" applyFont="1" applyBorder="1" applyAlignment="1">
      <alignment horizontal="center" vertical="center" wrapText="1"/>
    </xf>
    <xf numFmtId="0" fontId="84" fillId="0" borderId="38" xfId="0" applyFont="1" applyBorder="1" applyAlignment="1">
      <alignment horizontal="center" vertical="center"/>
    </xf>
    <xf numFmtId="173" fontId="31" fillId="0" borderId="2" xfId="0" applyNumberFormat="1" applyFont="1" applyBorder="1" applyAlignment="1">
      <alignment horizontal="center" vertical="center"/>
    </xf>
    <xf numFmtId="43" fontId="75" fillId="16" borderId="0" xfId="1" applyFont="1" applyFill="1" applyBorder="1" applyAlignment="1">
      <alignment horizontal="center" vertical="center"/>
    </xf>
    <xf numFmtId="0" fontId="75" fillId="16" borderId="49" xfId="0" applyFont="1" applyFill="1" applyBorder="1" applyAlignment="1">
      <alignment horizontal="center" vertical="center" wrapText="1"/>
    </xf>
    <xf numFmtId="0" fontId="75" fillId="16" borderId="1" xfId="0" applyFont="1" applyFill="1" applyBorder="1" applyAlignment="1">
      <alignment horizontal="center" vertical="center" wrapText="1"/>
    </xf>
    <xf numFmtId="0" fontId="75" fillId="16" borderId="0" xfId="0" applyFont="1" applyFill="1" applyBorder="1" applyAlignment="1">
      <alignment horizontal="center" vertical="center" wrapText="1"/>
    </xf>
    <xf numFmtId="2" fontId="28" fillId="0" borderId="60" xfId="0" applyNumberFormat="1" applyFont="1" applyFill="1" applyBorder="1" applyAlignment="1">
      <alignment horizontal="center" vertical="center" wrapText="1"/>
    </xf>
    <xf numFmtId="2" fontId="28" fillId="0" borderId="61" xfId="0" applyNumberFormat="1" applyFont="1" applyFill="1" applyBorder="1" applyAlignment="1">
      <alignment horizontal="center" vertical="center"/>
    </xf>
    <xf numFmtId="173" fontId="28" fillId="0" borderId="55" xfId="0" applyNumberFormat="1" applyFont="1" applyFill="1" applyBorder="1" applyAlignment="1">
      <alignment horizontal="center" vertical="center" wrapText="1"/>
    </xf>
    <xf numFmtId="173" fontId="28" fillId="0" borderId="56" xfId="0" applyNumberFormat="1" applyFont="1" applyFill="1" applyBorder="1" applyAlignment="1">
      <alignment horizontal="center" vertical="center" wrapText="1"/>
    </xf>
    <xf numFmtId="2" fontId="28" fillId="0" borderId="57" xfId="0" applyNumberFormat="1" applyFont="1" applyFill="1" applyBorder="1" applyAlignment="1">
      <alignment horizontal="center" vertical="center"/>
    </xf>
    <xf numFmtId="2" fontId="28" fillId="0" borderId="28" xfId="0" applyNumberFormat="1" applyFont="1" applyFill="1" applyBorder="1" applyAlignment="1">
      <alignment horizontal="center" vertical="center"/>
    </xf>
    <xf numFmtId="1" fontId="28" fillId="0" borderId="58" xfId="0" applyNumberFormat="1" applyFont="1" applyFill="1" applyBorder="1" applyAlignment="1">
      <alignment horizontal="center" vertical="center"/>
    </xf>
    <xf numFmtId="1" fontId="28" fillId="0" borderId="23" xfId="0" applyNumberFormat="1" applyFont="1" applyFill="1" applyBorder="1" applyAlignment="1">
      <alignment horizontal="center" vertical="center"/>
    </xf>
    <xf numFmtId="2" fontId="28" fillId="0" borderId="58" xfId="0" applyNumberFormat="1" applyFont="1" applyFill="1" applyBorder="1" applyAlignment="1">
      <alignment horizontal="center" vertical="center" wrapText="1"/>
    </xf>
    <xf numFmtId="2" fontId="28" fillId="0" borderId="23" xfId="0" applyNumberFormat="1" applyFont="1" applyFill="1" applyBorder="1" applyAlignment="1">
      <alignment horizontal="center" vertical="center"/>
    </xf>
    <xf numFmtId="2" fontId="28" fillId="0" borderId="40" xfId="0" applyNumberFormat="1" applyFont="1" applyFill="1" applyBorder="1" applyAlignment="1">
      <alignment horizontal="center" vertical="center"/>
    </xf>
    <xf numFmtId="2" fontId="28" fillId="0" borderId="27" xfId="0" applyNumberFormat="1" applyFont="1" applyFill="1" applyBorder="1" applyAlignment="1">
      <alignment horizontal="center" vertical="center"/>
    </xf>
    <xf numFmtId="2" fontId="28" fillId="0" borderId="59" xfId="0" applyNumberFormat="1" applyFont="1" applyFill="1" applyBorder="1" applyAlignment="1">
      <alignment horizontal="center" vertical="center"/>
    </xf>
    <xf numFmtId="0" fontId="75" fillId="16" borderId="0" xfId="0" applyFont="1" applyFill="1" applyBorder="1" applyAlignment="1">
      <alignment horizontal="center" vertical="center"/>
    </xf>
    <xf numFmtId="43" fontId="75" fillId="16" borderId="49" xfId="1" applyFont="1" applyFill="1" applyBorder="1" applyAlignment="1">
      <alignment horizontal="center" vertical="center"/>
    </xf>
    <xf numFmtId="43" fontId="75" fillId="16" borderId="1" xfId="1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Border="1" applyAlignment="1">
      <alignment horizontal="center" vertical="center"/>
    </xf>
    <xf numFmtId="0" fontId="75" fillId="16" borderId="49" xfId="0" applyFont="1" applyFill="1" applyBorder="1" applyAlignment="1">
      <alignment horizontal="center" vertical="center"/>
    </xf>
    <xf numFmtId="0" fontId="75" fillId="16" borderId="1" xfId="0" applyFont="1" applyFill="1" applyBorder="1" applyAlignment="1">
      <alignment horizontal="center" vertical="center"/>
    </xf>
    <xf numFmtId="2" fontId="28" fillId="0" borderId="11" xfId="0" applyNumberFormat="1" applyFont="1" applyFill="1" applyBorder="1" applyAlignment="1">
      <alignment horizontal="center" vertical="center" wrapText="1"/>
    </xf>
    <xf numFmtId="2" fontId="28" fillId="0" borderId="49" xfId="0" applyNumberFormat="1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8" fillId="0" borderId="21" xfId="0" applyFont="1" applyFill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43" fontId="24" fillId="0" borderId="58" xfId="1" applyFont="1" applyFill="1" applyBorder="1" applyAlignment="1">
      <alignment horizontal="center" vertical="center"/>
    </xf>
    <xf numFmtId="43" fontId="24" fillId="0" borderId="60" xfId="1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2" fontId="41" fillId="0" borderId="0" xfId="0" applyNumberFormat="1" applyFont="1" applyFill="1" applyBorder="1" applyAlignment="1">
      <alignment horizontal="center" vertical="center"/>
    </xf>
    <xf numFmtId="2" fontId="24" fillId="0" borderId="58" xfId="0" applyNumberFormat="1" applyFont="1" applyFill="1" applyBorder="1" applyAlignment="1">
      <alignment horizontal="center" vertical="center"/>
    </xf>
    <xf numFmtId="2" fontId="24" fillId="0" borderId="1" xfId="0" applyNumberFormat="1" applyFont="1" applyFill="1" applyBorder="1" applyAlignment="1">
      <alignment horizontal="center" vertical="center"/>
    </xf>
    <xf numFmtId="2" fontId="24" fillId="0" borderId="23" xfId="0" applyNumberFormat="1" applyFont="1" applyFill="1" applyBorder="1" applyAlignment="1">
      <alignment horizontal="center" vertical="center"/>
    </xf>
    <xf numFmtId="1" fontId="24" fillId="0" borderId="58" xfId="0" applyNumberFormat="1" applyFont="1" applyFill="1" applyBorder="1" applyAlignment="1">
      <alignment horizontal="center" vertical="center"/>
    </xf>
    <xf numFmtId="1" fontId="24" fillId="0" borderId="1" xfId="0" applyNumberFormat="1" applyFont="1" applyFill="1" applyBorder="1" applyAlignment="1">
      <alignment horizontal="center" vertical="center"/>
    </xf>
    <xf numFmtId="1" fontId="24" fillId="0" borderId="23" xfId="0" applyNumberFormat="1" applyFont="1" applyFill="1" applyBorder="1" applyAlignment="1">
      <alignment horizontal="center" vertical="center"/>
    </xf>
    <xf numFmtId="0" fontId="24" fillId="0" borderId="58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173" fontId="24" fillId="0" borderId="55" xfId="0" applyNumberFormat="1" applyFont="1" applyFill="1" applyBorder="1" applyAlignment="1">
      <alignment horizontal="center" vertical="center" wrapText="1"/>
    </xf>
    <xf numFmtId="173" fontId="24" fillId="0" borderId="62" xfId="0" applyNumberFormat="1" applyFont="1" applyFill="1" applyBorder="1" applyAlignment="1">
      <alignment horizontal="center" vertical="center" wrapText="1"/>
    </xf>
    <xf numFmtId="173" fontId="24" fillId="0" borderId="56" xfId="0" applyNumberFormat="1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/>
    </xf>
    <xf numFmtId="0" fontId="85" fillId="12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73" fillId="0" borderId="54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5" fillId="18" borderId="1" xfId="0" applyFont="1" applyFill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</cellXfs>
  <cellStyles count="12">
    <cellStyle name="Comma" xfId="1" builtinId="3"/>
    <cellStyle name="Comma 10 2" xfId="2" xr:uid="{A3C288C5-018A-45F9-8E8D-8CC73059B40D}"/>
    <cellStyle name="Comma 2" xfId="3" xr:uid="{8B4929A2-20D9-4D12-A6F7-563AD3ED1D47}"/>
    <cellStyle name="Normal" xfId="0" builtinId="0"/>
    <cellStyle name="Normal 10 2" xfId="4" xr:uid="{12C5139E-EE3A-4F13-8940-BE076A5F1093}"/>
    <cellStyle name="Normal 2" xfId="5" xr:uid="{77FE3A9D-6F14-45D2-BFEB-ED45FCF1F0AB}"/>
    <cellStyle name="Normal 2 2" xfId="6" xr:uid="{B9E299CD-0944-48D6-B558-BECB2A2362FD}"/>
    <cellStyle name="Normal 2 4" xfId="7" xr:uid="{E1A8473F-45AA-436E-AAD0-297CC73EDCCD}"/>
    <cellStyle name="Normal 3 2" xfId="8" xr:uid="{D5B0B556-7DCA-42BC-BBA4-FA2F925009EC}"/>
    <cellStyle name="Normal 7" xfId="9" xr:uid="{9A6EBDFF-7BA5-48BD-9E04-06944000B5C0}"/>
    <cellStyle name="Normal_OFFICER(1)(No 2)(12-12-08 Printed)" xfId="10" xr:uid="{F0BEE630-2631-4203-8400-17A95DA32D79}"/>
    <cellStyle name="Percent" xfId="1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anmyolone%20Estimate%20-%20Roofing%20On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Yanmyolone%20Estimate%20-%20Skeleton%20On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ungTwinGyi-Ol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aungTwinGyi-Bored%20Pile%20-%2001-withoutroofto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aungTwinGyi-Bored%20Pile%20-%2001-withoutrooftop%20-%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ung%20Saytanar-Ground%20Tank-1200G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ung%20Saytanar-Septic%20Tank-20%20Person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.%20Creative%20Paradise-1.12.25/Yanmyolone/Yanmyolone%20Estimate%20-%20Skeleton%20&amp;%20Roofing%20-%20DesignChange.xls" TargetMode="External"/><Relationship Id="rId1" Type="http://schemas.openxmlformats.org/officeDocument/2006/relationships/externalLinkPath" Target="/1.%20Creative%20Paradise-1.12.25/Yanmyolone/Yanmyolone%20Estimate%20-%20Skeleton%20&amp;%20Roofing%20-%20DesignChan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>
        <row r="6">
          <cell r="C6">
            <v>7033793</v>
          </cell>
        </row>
        <row r="7">
          <cell r="C7">
            <v>2764790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/>
      <sheetData sheetId="1">
        <row r="6">
          <cell r="C6">
            <v>25062859.156158358</v>
          </cell>
        </row>
        <row r="7">
          <cell r="C7">
            <v>8989320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>
        <row r="13">
          <cell r="C13">
            <v>48300000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 refreshError="1"/>
      <sheetData sheetId="1" refreshError="1">
        <row r="14">
          <cell r="C14">
            <v>257300000</v>
          </cell>
        </row>
      </sheetData>
      <sheetData sheetId="2" refreshError="1">
        <row r="5">
          <cell r="L5">
            <v>110000</v>
          </cell>
        </row>
        <row r="6">
          <cell r="L6">
            <v>80000</v>
          </cell>
        </row>
        <row r="7">
          <cell r="K7">
            <v>1530000</v>
          </cell>
        </row>
        <row r="11">
          <cell r="L11">
            <v>3310000</v>
          </cell>
        </row>
        <row r="12">
          <cell r="L12">
            <v>970000</v>
          </cell>
        </row>
        <row r="13">
          <cell r="L13">
            <v>1530000</v>
          </cell>
        </row>
        <row r="14">
          <cell r="L14">
            <v>3730000</v>
          </cell>
        </row>
        <row r="16">
          <cell r="L16">
            <v>2810000</v>
          </cell>
        </row>
        <row r="17">
          <cell r="L17">
            <v>4220000</v>
          </cell>
        </row>
        <row r="22">
          <cell r="L22">
            <v>6470000</v>
          </cell>
        </row>
        <row r="23">
          <cell r="L23">
            <v>1230000</v>
          </cell>
        </row>
        <row r="24">
          <cell r="L24">
            <v>1880000</v>
          </cell>
        </row>
        <row r="27">
          <cell r="L27">
            <v>5140000</v>
          </cell>
        </row>
        <row r="28">
          <cell r="L28">
            <v>820000</v>
          </cell>
        </row>
        <row r="29">
          <cell r="L29">
            <v>2020000</v>
          </cell>
        </row>
        <row r="31">
          <cell r="L31">
            <v>2240000</v>
          </cell>
        </row>
        <row r="32">
          <cell r="L32">
            <v>3140000</v>
          </cell>
        </row>
        <row r="36">
          <cell r="L36">
            <v>2780000</v>
          </cell>
        </row>
        <row r="39">
          <cell r="L39">
            <v>2650000</v>
          </cell>
        </row>
        <row r="42">
          <cell r="L42">
            <v>7590000</v>
          </cell>
        </row>
        <row r="43">
          <cell r="L43">
            <v>4700000</v>
          </cell>
        </row>
        <row r="44">
          <cell r="L44">
            <v>4360000</v>
          </cell>
        </row>
        <row r="46">
          <cell r="L46">
            <v>6580000</v>
          </cell>
        </row>
        <row r="47">
          <cell r="L47">
            <v>7000000</v>
          </cell>
        </row>
        <row r="51">
          <cell r="L51">
            <v>4360000</v>
          </cell>
        </row>
        <row r="55">
          <cell r="L55">
            <v>5920000</v>
          </cell>
        </row>
        <row r="56">
          <cell r="L56">
            <v>5790000</v>
          </cell>
        </row>
        <row r="58">
          <cell r="L58">
            <v>5660000</v>
          </cell>
        </row>
        <row r="60">
          <cell r="L60">
            <v>8072000</v>
          </cell>
        </row>
        <row r="61">
          <cell r="L61">
            <v>230000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47">
          <cell r="K47">
            <v>37.74</v>
          </cell>
        </row>
        <row r="60">
          <cell r="K60">
            <v>184.14299999999997</v>
          </cell>
        </row>
        <row r="65">
          <cell r="K65">
            <v>588</v>
          </cell>
        </row>
        <row r="72">
          <cell r="K72">
            <v>287.76</v>
          </cell>
        </row>
        <row r="79">
          <cell r="K79">
            <v>706.2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Differences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/>
      <sheetData sheetId="1"/>
      <sheetData sheetId="2"/>
      <sheetData sheetId="3">
        <row r="33">
          <cell r="L33">
            <v>5140000</v>
          </cell>
        </row>
        <row r="35">
          <cell r="L35">
            <v>1050000</v>
          </cell>
        </row>
        <row r="36">
          <cell r="L36">
            <v>2020000</v>
          </cell>
        </row>
        <row r="38">
          <cell r="L38">
            <v>2240000</v>
          </cell>
        </row>
        <row r="39">
          <cell r="L39">
            <v>3140000</v>
          </cell>
        </row>
        <row r="47">
          <cell r="L47">
            <v>2780000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3">
          <cell r="C13">
            <v>4600000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2">
          <cell r="C12">
            <v>3500000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Hollow"/>
    </sheetNames>
    <sheetDataSet>
      <sheetData sheetId="0"/>
      <sheetData sheetId="1"/>
      <sheetData sheetId="2"/>
      <sheetData sheetId="3">
        <row r="209">
          <cell r="D209">
            <v>11.650574999999998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1B50-BFE8-4C21-A0C5-7CC48B332D14}">
  <dimension ref="A1:F95"/>
  <sheetViews>
    <sheetView view="pageBreakPreview" zoomScaleNormal="100" zoomScaleSheetLayoutView="100" workbookViewId="0">
      <selection activeCell="B7" sqref="B7"/>
    </sheetView>
  </sheetViews>
  <sheetFormatPr defaultColWidth="9.36328125" defaultRowHeight="14"/>
  <cols>
    <col min="1" max="1" width="5.6328125" style="377" customWidth="1"/>
    <col min="2" max="2" width="43.54296875" style="386" customWidth="1"/>
    <col min="3" max="3" width="26.6328125" style="385" customWidth="1"/>
    <col min="4" max="4" width="19.1796875" style="377" customWidth="1"/>
    <col min="5" max="5" width="9.36328125" style="377"/>
    <col min="6" max="6" width="27.453125" style="377" bestFit="1" customWidth="1"/>
    <col min="7" max="16384" width="9.36328125" style="377"/>
  </cols>
  <sheetData>
    <row r="1" spans="1:6" s="375" customFormat="1" ht="32.4" customHeight="1">
      <c r="A1" s="1090" t="str">
        <f>BQ!A1</f>
        <v>One Storeyed RCC Building, Myat Lay Street</v>
      </c>
      <c r="B1" s="1090"/>
      <c r="C1" s="1090"/>
      <c r="D1" s="1090"/>
    </row>
    <row r="2" spans="1:6" s="375" customFormat="1" ht="32.4" customHeight="1">
      <c r="A2" s="1090" t="s">
        <v>551</v>
      </c>
      <c r="B2" s="1090"/>
      <c r="C2" s="1090"/>
      <c r="D2" s="1090"/>
    </row>
    <row r="3" spans="1:6" ht="36" customHeight="1" thickBot="1">
      <c r="A3" s="1091" t="s">
        <v>312</v>
      </c>
      <c r="B3" s="1091"/>
      <c r="C3" s="1091"/>
      <c r="D3" s="1091"/>
      <c r="E3" s="376" t="s">
        <v>528</v>
      </c>
      <c r="F3" s="728">
        <f ca="1">TODAY()</f>
        <v>46197</v>
      </c>
    </row>
    <row r="4" spans="1:6" ht="28.25" customHeight="1">
      <c r="A4" s="1092" t="s">
        <v>183</v>
      </c>
      <c r="B4" s="1094" t="s">
        <v>31</v>
      </c>
      <c r="C4" s="1096" t="s">
        <v>78</v>
      </c>
      <c r="D4" s="1098" t="s">
        <v>308</v>
      </c>
    </row>
    <row r="5" spans="1:6" s="378" customFormat="1" ht="28.25" customHeight="1" thickBot="1">
      <c r="A5" s="1093"/>
      <c r="B5" s="1095"/>
      <c r="C5" s="1097"/>
      <c r="D5" s="1099"/>
    </row>
    <row r="6" spans="1:6" ht="35" customHeight="1">
      <c r="A6" s="594">
        <v>1</v>
      </c>
      <c r="B6" s="595" t="s">
        <v>550</v>
      </c>
      <c r="C6" s="596">
        <f>Summary!C15</f>
        <v>307900000</v>
      </c>
      <c r="D6" s="594"/>
      <c r="F6" s="712">
        <f>C6+C11+C12</f>
        <v>311120000</v>
      </c>
    </row>
    <row r="7" spans="1:6" ht="35" customHeight="1">
      <c r="A7" s="279">
        <v>2</v>
      </c>
      <c r="B7" s="595" t="s">
        <v>552</v>
      </c>
      <c r="C7" s="281">
        <f>[3]Summary!$C$13</f>
        <v>48300000</v>
      </c>
      <c r="D7" s="279"/>
      <c r="F7" s="712">
        <f>[2]Summary!$C$7+[1]Summary!$C$7</f>
        <v>11754110</v>
      </c>
    </row>
    <row r="8" spans="1:6" ht="35" customHeight="1" thickBot="1">
      <c r="A8" s="291"/>
      <c r="B8" s="387"/>
      <c r="C8" s="388"/>
      <c r="D8" s="291"/>
    </row>
    <row r="9" spans="1:6" ht="49.25" customHeight="1" thickBot="1">
      <c r="A9" s="600"/>
      <c r="B9" s="601" t="s">
        <v>553</v>
      </c>
      <c r="C9" s="602">
        <f>C6-C7</f>
        <v>259600000</v>
      </c>
      <c r="D9" s="603"/>
    </row>
    <row r="10" spans="1:6" ht="49.25" customHeight="1" thickBot="1">
      <c r="A10" s="785"/>
      <c r="B10" s="565" t="s">
        <v>548</v>
      </c>
      <c r="C10" s="786">
        <v>800000</v>
      </c>
      <c r="D10" s="787" t="s">
        <v>549</v>
      </c>
    </row>
    <row r="11" spans="1:6" ht="49.25" customHeight="1" thickBot="1">
      <c r="A11" s="785"/>
      <c r="B11" s="565" t="s">
        <v>557</v>
      </c>
      <c r="C11" s="786">
        <v>3000000</v>
      </c>
      <c r="D11" s="787"/>
    </row>
    <row r="12" spans="1:6" ht="49.25" customHeight="1" thickBot="1">
      <c r="A12" s="785"/>
      <c r="B12" s="565" t="s">
        <v>558</v>
      </c>
      <c r="C12" s="786">
        <v>220000</v>
      </c>
      <c r="D12" s="787"/>
    </row>
    <row r="13" spans="1:6" ht="49.25" hidden="1" customHeight="1" thickBot="1">
      <c r="A13" s="600"/>
      <c r="B13" s="601" t="s">
        <v>530</v>
      </c>
      <c r="C13" s="602"/>
      <c r="D13" s="603"/>
    </row>
    <row r="14" spans="1:6" ht="49.25" customHeight="1" thickBot="1">
      <c r="A14" s="600"/>
      <c r="B14" s="601" t="s">
        <v>554</v>
      </c>
      <c r="C14" s="602">
        <f>SUM(C9:C13)</f>
        <v>263620000</v>
      </c>
      <c r="D14" s="603"/>
    </row>
    <row r="15" spans="1:6" ht="49.25" customHeight="1" thickBot="1">
      <c r="A15" s="604"/>
      <c r="B15" s="605" t="s">
        <v>345</v>
      </c>
      <c r="C15" s="606">
        <f>ROUNDDOWN(C14,-5)</f>
        <v>263600000</v>
      </c>
      <c r="D15" s="607"/>
    </row>
    <row r="16" spans="1:6" ht="15.5">
      <c r="A16" s="597"/>
      <c r="B16" s="598"/>
      <c r="C16" s="599"/>
      <c r="D16" s="597"/>
    </row>
    <row r="17" spans="1:4" hidden="1">
      <c r="A17" s="379"/>
      <c r="B17" s="380" t="s">
        <v>515</v>
      </c>
      <c r="C17" s="381"/>
      <c r="D17" s="379" t="s">
        <v>517</v>
      </c>
    </row>
    <row r="18" spans="1:4" hidden="1">
      <c r="A18" s="379"/>
      <c r="B18" s="380" t="s">
        <v>516</v>
      </c>
      <c r="C18" s="381" t="e">
        <f>C15/C17</f>
        <v>#DIV/0!</v>
      </c>
      <c r="D18" s="379" t="s">
        <v>518</v>
      </c>
    </row>
    <row r="19" spans="1:4">
      <c r="A19" s="379"/>
      <c r="B19" s="380"/>
      <c r="C19" s="381"/>
      <c r="D19" s="379"/>
    </row>
    <row r="20" spans="1:4">
      <c r="A20" s="379"/>
      <c r="B20" s="380"/>
      <c r="C20" s="381"/>
      <c r="D20" s="379"/>
    </row>
    <row r="21" spans="1:4">
      <c r="A21" s="379"/>
      <c r="B21" s="382"/>
      <c r="C21" s="381"/>
      <c r="D21" s="379"/>
    </row>
    <row r="22" spans="1:4" ht="18">
      <c r="A22" s="379"/>
      <c r="B22" s="383"/>
      <c r="C22" s="381"/>
      <c r="D22" s="379"/>
    </row>
    <row r="23" spans="1:4">
      <c r="B23" s="384"/>
    </row>
    <row r="25" spans="1:4">
      <c r="C25" s="385" t="s">
        <v>128</v>
      </c>
    </row>
    <row r="27" spans="1:4">
      <c r="B27" s="384"/>
    </row>
    <row r="28" spans="1:4">
      <c r="B28" s="384"/>
    </row>
    <row r="29" spans="1:4">
      <c r="B29" s="384"/>
    </row>
    <row r="30" spans="1:4">
      <c r="B30" s="384"/>
    </row>
    <row r="31" spans="1:4">
      <c r="B31" s="384"/>
    </row>
    <row r="32" spans="1:4">
      <c r="B32" s="384"/>
    </row>
    <row r="33" spans="2:2">
      <c r="B33" s="384"/>
    </row>
    <row r="34" spans="2:2">
      <c r="B34" s="384"/>
    </row>
    <row r="35" spans="2:2">
      <c r="B35" s="384"/>
    </row>
    <row r="36" spans="2:2">
      <c r="B36" s="384"/>
    </row>
    <row r="37" spans="2:2">
      <c r="B37" s="384"/>
    </row>
    <row r="38" spans="2:2">
      <c r="B38" s="384"/>
    </row>
    <row r="39" spans="2:2">
      <c r="B39" s="384"/>
    </row>
    <row r="40" spans="2:2">
      <c r="B40" s="384"/>
    </row>
    <row r="41" spans="2:2">
      <c r="B41" s="384"/>
    </row>
    <row r="42" spans="2:2">
      <c r="B42" s="384"/>
    </row>
    <row r="43" spans="2:2">
      <c r="B43" s="384"/>
    </row>
    <row r="44" spans="2:2">
      <c r="B44" s="384"/>
    </row>
    <row r="45" spans="2:2">
      <c r="B45" s="384"/>
    </row>
    <row r="46" spans="2:2">
      <c r="B46" s="384"/>
    </row>
    <row r="47" spans="2:2">
      <c r="B47" s="384"/>
    </row>
    <row r="48" spans="2:2">
      <c r="B48" s="384"/>
    </row>
    <row r="49" spans="2:2">
      <c r="B49" s="384"/>
    </row>
    <row r="50" spans="2:2">
      <c r="B50" s="384"/>
    </row>
    <row r="51" spans="2:2">
      <c r="B51" s="384"/>
    </row>
    <row r="52" spans="2:2">
      <c r="B52" s="384"/>
    </row>
    <row r="53" spans="2:2">
      <c r="B53" s="384"/>
    </row>
    <row r="54" spans="2:2">
      <c r="B54" s="384"/>
    </row>
    <row r="55" spans="2:2">
      <c r="B55" s="384"/>
    </row>
    <row r="56" spans="2:2">
      <c r="B56" s="384"/>
    </row>
    <row r="57" spans="2:2">
      <c r="B57" s="384"/>
    </row>
    <row r="58" spans="2:2">
      <c r="B58" s="384"/>
    </row>
    <row r="59" spans="2:2">
      <c r="B59" s="384"/>
    </row>
    <row r="60" spans="2:2">
      <c r="B60" s="384"/>
    </row>
    <row r="61" spans="2:2">
      <c r="B61" s="384"/>
    </row>
    <row r="62" spans="2:2">
      <c r="B62" s="384"/>
    </row>
    <row r="63" spans="2:2">
      <c r="B63" s="384"/>
    </row>
    <row r="64" spans="2:2">
      <c r="B64" s="384"/>
    </row>
    <row r="65" spans="2:2">
      <c r="B65" s="384"/>
    </row>
    <row r="66" spans="2:2">
      <c r="B66" s="384"/>
    </row>
    <row r="67" spans="2:2">
      <c r="B67" s="384"/>
    </row>
    <row r="68" spans="2:2">
      <c r="B68" s="384"/>
    </row>
    <row r="69" spans="2:2">
      <c r="B69" s="384"/>
    </row>
    <row r="70" spans="2:2">
      <c r="B70" s="384"/>
    </row>
    <row r="71" spans="2:2">
      <c r="B71" s="384"/>
    </row>
    <row r="72" spans="2:2">
      <c r="B72" s="384"/>
    </row>
    <row r="73" spans="2:2">
      <c r="B73" s="384"/>
    </row>
    <row r="74" spans="2:2">
      <c r="B74" s="384"/>
    </row>
    <row r="75" spans="2:2">
      <c r="B75" s="384"/>
    </row>
    <row r="76" spans="2:2">
      <c r="B76" s="384"/>
    </row>
    <row r="77" spans="2:2">
      <c r="B77" s="384"/>
    </row>
    <row r="78" spans="2:2">
      <c r="B78" s="384"/>
    </row>
    <row r="79" spans="2:2">
      <c r="B79" s="384"/>
    </row>
    <row r="80" spans="2:2">
      <c r="B80" s="384"/>
    </row>
    <row r="82" spans="2:2">
      <c r="B82" s="384"/>
    </row>
    <row r="83" spans="2:2">
      <c r="B83" s="384"/>
    </row>
    <row r="84" spans="2:2">
      <c r="B84" s="384"/>
    </row>
    <row r="85" spans="2:2">
      <c r="B85" s="384"/>
    </row>
    <row r="86" spans="2:2">
      <c r="B86" s="384"/>
    </row>
    <row r="87" spans="2:2">
      <c r="B87" s="384"/>
    </row>
    <row r="88" spans="2:2">
      <c r="B88" s="384"/>
    </row>
    <row r="89" spans="2:2">
      <c r="B89" s="384"/>
    </row>
    <row r="90" spans="2:2">
      <c r="B90" s="384"/>
    </row>
    <row r="91" spans="2:2">
      <c r="B91" s="384"/>
    </row>
    <row r="92" spans="2:2">
      <c r="B92" s="384"/>
    </row>
    <row r="93" spans="2:2">
      <c r="B93" s="384"/>
    </row>
    <row r="94" spans="2:2">
      <c r="B94" s="384"/>
    </row>
    <row r="95" spans="2:2">
      <c r="B95" s="384"/>
    </row>
  </sheetData>
  <mergeCells count="7">
    <mergeCell ref="A1:D1"/>
    <mergeCell ref="A2:D2"/>
    <mergeCell ref="A3:D3"/>
    <mergeCell ref="A4:A5"/>
    <mergeCell ref="B4:B5"/>
    <mergeCell ref="C4:C5"/>
    <mergeCell ref="D4:D5"/>
  </mergeCells>
  <printOptions horizontalCentered="1"/>
  <pageMargins left="0.25" right="0.25" top="1.8" bottom="0.5" header="0.15" footer="0.3"/>
  <pageSetup paperSize="9" orientation="portrait" horizontalDpi="360" verticalDpi="360" r:id="rId1"/>
  <headerFooter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4DC4-B5A0-4ACF-A5A2-78B8A68254C9}">
  <dimension ref="A1:F94"/>
  <sheetViews>
    <sheetView view="pageBreakPreview" topLeftCell="A5" zoomScaleNormal="100" zoomScaleSheetLayoutView="100" workbookViewId="0">
      <selection activeCell="B16" sqref="B16"/>
    </sheetView>
  </sheetViews>
  <sheetFormatPr defaultColWidth="9.36328125" defaultRowHeight="14"/>
  <cols>
    <col min="1" max="1" width="7" style="377" customWidth="1"/>
    <col min="2" max="2" width="35.36328125" style="386" customWidth="1"/>
    <col min="3" max="3" width="28.08984375" style="385" customWidth="1"/>
    <col min="4" max="4" width="21.81640625" style="377" customWidth="1"/>
    <col min="5" max="5" width="9.36328125" style="377"/>
    <col min="6" max="6" width="27.453125" style="377" bestFit="1" customWidth="1"/>
    <col min="7" max="16384" width="9.36328125" style="377"/>
  </cols>
  <sheetData>
    <row r="1" spans="1:6" s="375" customFormat="1" ht="29.4" customHeight="1">
      <c r="A1" s="1090" t="str">
        <f>BQ!A1</f>
        <v>One Storeyed RCC Building, Myat Lay Street</v>
      </c>
      <c r="B1" s="1090"/>
      <c r="C1" s="1090"/>
      <c r="D1" s="1090"/>
    </row>
    <row r="2" spans="1:6" s="375" customFormat="1" ht="29.4" customHeight="1">
      <c r="A2" s="1090" t="str">
        <f>BQ!A2</f>
        <v>35'-0"x45'-0"x13'-0" Ht;</v>
      </c>
      <c r="B2" s="1090"/>
      <c r="C2" s="1090"/>
      <c r="D2" s="1090"/>
    </row>
    <row r="3" spans="1:6" ht="29.4" customHeight="1" thickBot="1">
      <c r="A3" s="1091" t="s">
        <v>662</v>
      </c>
      <c r="B3" s="1091"/>
      <c r="C3" s="1091"/>
      <c r="D3" s="1091"/>
      <c r="E3" s="376" t="s">
        <v>528</v>
      </c>
      <c r="F3" s="728">
        <f ca="1">TODAY()</f>
        <v>46197</v>
      </c>
    </row>
    <row r="4" spans="1:6" ht="22.25" customHeight="1">
      <c r="A4" s="1092" t="s">
        <v>183</v>
      </c>
      <c r="B4" s="1094" t="s">
        <v>31</v>
      </c>
      <c r="C4" s="1096" t="s">
        <v>78</v>
      </c>
      <c r="D4" s="1098" t="s">
        <v>308</v>
      </c>
    </row>
    <row r="5" spans="1:6" s="378" customFormat="1" ht="22.25" customHeight="1" thickBot="1">
      <c r="A5" s="1093"/>
      <c r="B5" s="1095"/>
      <c r="C5" s="1097"/>
      <c r="D5" s="1099"/>
    </row>
    <row r="6" spans="1:6" ht="35" customHeight="1">
      <c r="A6" s="594">
        <v>1</v>
      </c>
      <c r="B6" s="595" t="s">
        <v>62</v>
      </c>
      <c r="C6" s="596">
        <f>Summary!C15</f>
        <v>307900000</v>
      </c>
      <c r="D6" s="594"/>
      <c r="F6" s="712">
        <f>[2]Summary!$C$6+[1]Summary!$C$6</f>
        <v>32096652.156158358</v>
      </c>
    </row>
    <row r="7" spans="1:6" ht="35" customHeight="1">
      <c r="A7" s="279">
        <v>2</v>
      </c>
      <c r="B7" s="280" t="s">
        <v>299</v>
      </c>
      <c r="C7" s="281">
        <f>[6]Summary!$C$13</f>
        <v>4600000</v>
      </c>
      <c r="D7" s="279"/>
      <c r="F7" s="712">
        <f>[2]Summary!$C$7+[1]Summary!$C$7</f>
        <v>11754110</v>
      </c>
    </row>
    <row r="8" spans="1:6" ht="35" customHeight="1">
      <c r="A8" s="594">
        <v>3</v>
      </c>
      <c r="B8" s="387" t="s">
        <v>659</v>
      </c>
      <c r="C8" s="388">
        <f>[7]Summary!$C$12</f>
        <v>3500000</v>
      </c>
      <c r="D8" s="291"/>
      <c r="F8" s="712"/>
    </row>
    <row r="9" spans="1:6" ht="35" customHeight="1" thickBot="1">
      <c r="A9" s="291"/>
      <c r="B9" s="387"/>
      <c r="C9" s="388"/>
      <c r="D9" s="291"/>
    </row>
    <row r="10" spans="1:6" ht="49.25" customHeight="1" thickBot="1">
      <c r="A10" s="600"/>
      <c r="B10" s="601" t="s">
        <v>320</v>
      </c>
      <c r="C10" s="602">
        <f>SUM(C6:C9)</f>
        <v>316000000</v>
      </c>
      <c r="D10" s="603"/>
    </row>
    <row r="11" spans="1:6" ht="49.25" hidden="1" customHeight="1" thickBot="1">
      <c r="A11" s="785"/>
      <c r="B11" s="565" t="s">
        <v>548</v>
      </c>
      <c r="C11" s="786"/>
      <c r="D11" s="787" t="s">
        <v>549</v>
      </c>
    </row>
    <row r="12" spans="1:6" ht="49.25" customHeight="1" thickBot="1">
      <c r="A12" s="604"/>
      <c r="B12" s="605" t="s">
        <v>345</v>
      </c>
      <c r="C12" s="606">
        <f>ROUNDDOWN(C10,-4)</f>
        <v>316000000</v>
      </c>
      <c r="D12" s="607"/>
      <c r="F12" s="712">
        <f>C12-[4]Summary!$C$14</f>
        <v>58700000</v>
      </c>
    </row>
    <row r="13" spans="1:6" ht="15.5">
      <c r="A13" s="597"/>
      <c r="B13" s="598"/>
      <c r="C13" s="599"/>
      <c r="D13" s="597"/>
    </row>
    <row r="14" spans="1:6" hidden="1">
      <c r="A14" s="379"/>
      <c r="B14" s="380" t="s">
        <v>515</v>
      </c>
      <c r="C14" s="381"/>
      <c r="D14" s="379" t="s">
        <v>517</v>
      </c>
    </row>
    <row r="15" spans="1:6" hidden="1">
      <c r="A15" s="379"/>
      <c r="B15" s="380" t="s">
        <v>516</v>
      </c>
      <c r="C15" s="381" t="e">
        <f>C12/C14</f>
        <v>#DIV/0!</v>
      </c>
      <c r="D15" s="379" t="s">
        <v>518</v>
      </c>
    </row>
    <row r="16" spans="1:6">
      <c r="A16" s="379"/>
      <c r="B16" s="1079" t="s">
        <v>515</v>
      </c>
      <c r="C16" s="381">
        <f>(35*45+9.5*5+6*5+5*5)</f>
        <v>1677.5</v>
      </c>
      <c r="D16" s="379" t="s">
        <v>665</v>
      </c>
    </row>
    <row r="17" spans="1:4">
      <c r="A17" s="379"/>
      <c r="B17" s="380" t="s">
        <v>516</v>
      </c>
      <c r="C17" s="381">
        <f>C12/C16</f>
        <v>188375.55886736215</v>
      </c>
      <c r="D17" s="379"/>
    </row>
    <row r="18" spans="1:4">
      <c r="A18" s="379"/>
      <c r="B18" s="382"/>
      <c r="C18" s="381"/>
      <c r="D18" s="379"/>
    </row>
    <row r="28" spans="1:4">
      <c r="B28" s="384"/>
    </row>
    <row r="29" spans="1:4">
      <c r="B29" s="384"/>
    </row>
    <row r="30" spans="1:4">
      <c r="B30" s="384"/>
    </row>
    <row r="31" spans="1:4">
      <c r="B31" s="384"/>
    </row>
    <row r="32" spans="1:4">
      <c r="B32" s="384"/>
    </row>
    <row r="33" spans="2:2">
      <c r="B33" s="384"/>
    </row>
    <row r="34" spans="2:2">
      <c r="B34" s="384"/>
    </row>
    <row r="35" spans="2:2">
      <c r="B35" s="384"/>
    </row>
    <row r="36" spans="2:2">
      <c r="B36" s="384"/>
    </row>
    <row r="37" spans="2:2">
      <c r="B37" s="384"/>
    </row>
    <row r="38" spans="2:2">
      <c r="B38" s="384"/>
    </row>
    <row r="39" spans="2:2">
      <c r="B39" s="384"/>
    </row>
    <row r="40" spans="2:2">
      <c r="B40" s="384"/>
    </row>
    <row r="41" spans="2:2">
      <c r="B41" s="384"/>
    </row>
    <row r="42" spans="2:2">
      <c r="B42" s="384"/>
    </row>
    <row r="43" spans="2:2">
      <c r="B43" s="384"/>
    </row>
    <row r="44" spans="2:2">
      <c r="B44" s="384"/>
    </row>
    <row r="45" spans="2:2">
      <c r="B45" s="384"/>
    </row>
    <row r="46" spans="2:2">
      <c r="B46" s="384"/>
    </row>
    <row r="47" spans="2:2">
      <c r="B47" s="384"/>
    </row>
    <row r="48" spans="2:2">
      <c r="B48" s="384"/>
    </row>
    <row r="49" spans="2:2">
      <c r="B49" s="384"/>
    </row>
    <row r="50" spans="2:2">
      <c r="B50" s="384"/>
    </row>
    <row r="51" spans="2:2">
      <c r="B51" s="384"/>
    </row>
    <row r="52" spans="2:2">
      <c r="B52" s="384"/>
    </row>
    <row r="53" spans="2:2">
      <c r="B53" s="384"/>
    </row>
    <row r="54" spans="2:2">
      <c r="B54" s="384"/>
    </row>
    <row r="55" spans="2:2">
      <c r="B55" s="384"/>
    </row>
    <row r="56" spans="2:2">
      <c r="B56" s="384"/>
    </row>
    <row r="57" spans="2:2">
      <c r="B57" s="384"/>
    </row>
    <row r="58" spans="2:2">
      <c r="B58" s="384"/>
    </row>
    <row r="59" spans="2:2">
      <c r="B59" s="384"/>
    </row>
    <row r="60" spans="2:2">
      <c r="B60" s="384"/>
    </row>
    <row r="61" spans="2:2">
      <c r="B61" s="384"/>
    </row>
    <row r="62" spans="2:2">
      <c r="B62" s="384"/>
    </row>
    <row r="63" spans="2:2">
      <c r="B63" s="384"/>
    </row>
    <row r="64" spans="2:2">
      <c r="B64" s="384"/>
    </row>
    <row r="65" spans="2:2">
      <c r="B65" s="384"/>
    </row>
    <row r="66" spans="2:2">
      <c r="B66" s="384"/>
    </row>
    <row r="67" spans="2:2">
      <c r="B67" s="384"/>
    </row>
    <row r="68" spans="2:2">
      <c r="B68" s="384"/>
    </row>
    <row r="69" spans="2:2">
      <c r="B69" s="384"/>
    </row>
    <row r="70" spans="2:2">
      <c r="B70" s="384"/>
    </row>
    <row r="71" spans="2:2">
      <c r="B71" s="384"/>
    </row>
    <row r="72" spans="2:2">
      <c r="B72" s="384"/>
    </row>
    <row r="73" spans="2:2">
      <c r="B73" s="384"/>
    </row>
    <row r="74" spans="2:2">
      <c r="B74" s="384"/>
    </row>
    <row r="75" spans="2:2">
      <c r="B75" s="384"/>
    </row>
    <row r="76" spans="2:2">
      <c r="B76" s="384"/>
    </row>
    <row r="77" spans="2:2">
      <c r="B77" s="384"/>
    </row>
    <row r="78" spans="2:2">
      <c r="B78" s="384"/>
    </row>
    <row r="79" spans="2:2">
      <c r="B79" s="384"/>
    </row>
    <row r="81" spans="2:2">
      <c r="B81" s="384"/>
    </row>
    <row r="82" spans="2:2">
      <c r="B82" s="384"/>
    </row>
    <row r="83" spans="2:2">
      <c r="B83" s="384"/>
    </row>
    <row r="84" spans="2:2">
      <c r="B84" s="384"/>
    </row>
    <row r="85" spans="2:2">
      <c r="B85" s="384"/>
    </row>
    <row r="86" spans="2:2">
      <c r="B86" s="384"/>
    </row>
    <row r="87" spans="2:2">
      <c r="B87" s="384"/>
    </row>
    <row r="88" spans="2:2">
      <c r="B88" s="384"/>
    </row>
    <row r="89" spans="2:2">
      <c r="B89" s="384"/>
    </row>
    <row r="90" spans="2:2">
      <c r="B90" s="384"/>
    </row>
    <row r="91" spans="2:2">
      <c r="B91" s="384"/>
    </row>
    <row r="92" spans="2:2">
      <c r="B92" s="384"/>
    </row>
    <row r="93" spans="2:2">
      <c r="B93" s="384"/>
    </row>
    <row r="94" spans="2:2">
      <c r="B94" s="384"/>
    </row>
  </sheetData>
  <mergeCells count="7">
    <mergeCell ref="A1:D1"/>
    <mergeCell ref="A2:D2"/>
    <mergeCell ref="A3:D3"/>
    <mergeCell ref="A4:A5"/>
    <mergeCell ref="B4:B5"/>
    <mergeCell ref="C4:C5"/>
    <mergeCell ref="D4:D5"/>
  </mergeCells>
  <printOptions horizontalCentered="1"/>
  <pageMargins left="0.5" right="0.5" top="1.8" bottom="0.25" header="0.15" footer="0.3"/>
  <pageSetup paperSize="9" orientation="portrait" horizontalDpi="360" verticalDpi="360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96CF-7528-4484-A710-44BC600DD546}">
  <dimension ref="A1:F95"/>
  <sheetViews>
    <sheetView view="pageBreakPreview" zoomScaleNormal="100" zoomScaleSheetLayoutView="100" workbookViewId="0">
      <selection activeCell="C19" sqref="C19"/>
    </sheetView>
  </sheetViews>
  <sheetFormatPr defaultColWidth="9.36328125" defaultRowHeight="14"/>
  <cols>
    <col min="1" max="1" width="7" style="377" customWidth="1"/>
    <col min="2" max="2" width="34.54296875" style="386" customWidth="1"/>
    <col min="3" max="3" width="28.08984375" style="385" customWidth="1"/>
    <col min="4" max="4" width="22.90625" style="377" customWidth="1"/>
    <col min="5" max="5" width="9.36328125" style="377"/>
    <col min="6" max="6" width="27.453125" style="377" bestFit="1" customWidth="1"/>
    <col min="7" max="16384" width="9.36328125" style="377"/>
  </cols>
  <sheetData>
    <row r="1" spans="1:6" s="375" customFormat="1" ht="32.4" customHeight="1">
      <c r="A1" s="1090" t="str">
        <f>BQ!A1</f>
        <v>One Storeyed RCC Building, Myat Lay Street</v>
      </c>
      <c r="B1" s="1090"/>
      <c r="C1" s="1090"/>
      <c r="D1" s="1090"/>
    </row>
    <row r="2" spans="1:6" s="375" customFormat="1" ht="32.4" customHeight="1">
      <c r="A2" s="1090" t="str">
        <f>BQ!A2</f>
        <v>35'-0"x45'-0"x13'-0" Ht;</v>
      </c>
      <c r="B2" s="1090"/>
      <c r="C2" s="1090"/>
      <c r="D2" s="1090"/>
    </row>
    <row r="3" spans="1:6" ht="36" customHeight="1" thickBot="1">
      <c r="A3" s="1091" t="s">
        <v>312</v>
      </c>
      <c r="B3" s="1091"/>
      <c r="C3" s="1091"/>
      <c r="D3" s="1091"/>
      <c r="E3" s="376" t="s">
        <v>528</v>
      </c>
      <c r="F3" s="728">
        <f ca="1">TODAY()</f>
        <v>46197</v>
      </c>
    </row>
    <row r="4" spans="1:6" ht="28.25" customHeight="1">
      <c r="A4" s="1092" t="s">
        <v>183</v>
      </c>
      <c r="B4" s="1094" t="s">
        <v>31</v>
      </c>
      <c r="C4" s="1096" t="s">
        <v>78</v>
      </c>
      <c r="D4" s="1098" t="s">
        <v>308</v>
      </c>
    </row>
    <row r="5" spans="1:6" s="378" customFormat="1" ht="28.25" customHeight="1" thickBot="1">
      <c r="A5" s="1093"/>
      <c r="B5" s="1095"/>
      <c r="C5" s="1097"/>
      <c r="D5" s="1099"/>
    </row>
    <row r="6" spans="1:6" ht="35" customHeight="1">
      <c r="A6" s="594">
        <v>1</v>
      </c>
      <c r="B6" s="595" t="s">
        <v>309</v>
      </c>
      <c r="C6" s="596">
        <f>BQ!G102</f>
        <v>170700558.29319531</v>
      </c>
      <c r="D6" s="594"/>
      <c r="F6" s="712">
        <f>[2]Summary!$C$6+[1]Summary!$C$6</f>
        <v>32096652.156158358</v>
      </c>
    </row>
    <row r="7" spans="1:6" ht="35" customHeight="1">
      <c r="A7" s="279">
        <v>2</v>
      </c>
      <c r="B7" s="280" t="s">
        <v>29</v>
      </c>
      <c r="C7" s="281">
        <f>BQ!G121</f>
        <v>88147568.099999994</v>
      </c>
      <c r="D7" s="279"/>
      <c r="F7" s="712">
        <f>[2]Summary!$C$7+[1]Summary!$C$7</f>
        <v>11754110</v>
      </c>
    </row>
    <row r="8" spans="1:6" ht="35" customHeight="1" thickBot="1">
      <c r="A8" s="291"/>
      <c r="B8" s="387"/>
      <c r="C8" s="388"/>
      <c r="D8" s="291"/>
    </row>
    <row r="9" spans="1:6" ht="49.25" customHeight="1" thickBot="1">
      <c r="A9" s="600"/>
      <c r="B9" s="601" t="s">
        <v>320</v>
      </c>
      <c r="C9" s="602">
        <f>SUM(C6:C7)</f>
        <v>258848126.3931953</v>
      </c>
      <c r="D9" s="603"/>
    </row>
    <row r="10" spans="1:6" ht="49.25" hidden="1" customHeight="1" thickBot="1">
      <c r="A10" s="785"/>
      <c r="B10" s="565" t="s">
        <v>548</v>
      </c>
      <c r="C10" s="786"/>
      <c r="D10" s="787" t="s">
        <v>549</v>
      </c>
    </row>
    <row r="11" spans="1:6" ht="49.25" customHeight="1" thickBot="1">
      <c r="A11" s="600"/>
      <c r="B11" s="601" t="s">
        <v>529</v>
      </c>
      <c r="C11" s="602">
        <f>BQ!G123</f>
        <v>7765443.7917958591</v>
      </c>
      <c r="D11" s="603"/>
    </row>
    <row r="12" spans="1:6" ht="49.25" customHeight="1" thickBot="1">
      <c r="A12" s="600"/>
      <c r="B12" s="601" t="s">
        <v>649</v>
      </c>
      <c r="C12" s="602">
        <f>BQ!G124</f>
        <v>13330678.509249559</v>
      </c>
      <c r="D12" s="603"/>
    </row>
    <row r="13" spans="1:6" ht="49.25" customHeight="1" thickBot="1">
      <c r="A13" s="600"/>
      <c r="B13" s="601" t="s">
        <v>530</v>
      </c>
      <c r="C13" s="602">
        <f>BQ!G125</f>
        <v>27994424.869424071</v>
      </c>
      <c r="D13" s="603"/>
    </row>
    <row r="14" spans="1:6" ht="49.25" customHeight="1" thickBot="1">
      <c r="A14" s="600"/>
      <c r="B14" s="601" t="s">
        <v>386</v>
      </c>
      <c r="C14" s="602">
        <f>SUM(C9:C13)</f>
        <v>307938673.56366473</v>
      </c>
      <c r="D14" s="603"/>
    </row>
    <row r="15" spans="1:6" ht="49.25" customHeight="1" thickBot="1">
      <c r="A15" s="604"/>
      <c r="B15" s="605" t="s">
        <v>345</v>
      </c>
      <c r="C15" s="606">
        <f>ROUNDDOWN(C14,-5)</f>
        <v>307900000</v>
      </c>
      <c r="D15" s="903" t="s">
        <v>62</v>
      </c>
      <c r="F15" s="712">
        <f>C15-[4]Summary!$C$14</f>
        <v>50600000</v>
      </c>
    </row>
    <row r="16" spans="1:6" ht="15.5">
      <c r="A16" s="597"/>
      <c r="B16" s="598"/>
      <c r="C16" s="599"/>
      <c r="D16" s="597"/>
    </row>
    <row r="17" spans="1:5" hidden="1">
      <c r="A17" s="379"/>
      <c r="B17" s="380" t="s">
        <v>515</v>
      </c>
      <c r="C17" s="381"/>
      <c r="D17" s="379" t="s">
        <v>517</v>
      </c>
    </row>
    <row r="18" spans="1:5" hidden="1">
      <c r="A18" s="379"/>
      <c r="B18" s="380" t="s">
        <v>516</v>
      </c>
      <c r="C18" s="381" t="e">
        <f>C15/C17</f>
        <v>#DIV/0!</v>
      </c>
      <c r="D18" s="379" t="s">
        <v>518</v>
      </c>
    </row>
    <row r="19" spans="1:5">
      <c r="A19" s="379"/>
      <c r="B19" s="1079" t="s">
        <v>515</v>
      </c>
      <c r="C19" s="381">
        <f>(35*45+9.5*5+6*5+5*5)</f>
        <v>1677.5</v>
      </c>
      <c r="D19" s="379"/>
      <c r="E19" s="377">
        <f>45*34</f>
        <v>1530</v>
      </c>
    </row>
    <row r="20" spans="1:5">
      <c r="A20" s="379"/>
      <c r="B20" s="380" t="s">
        <v>516</v>
      </c>
      <c r="C20" s="381">
        <f>C15/C19</f>
        <v>183546.94485842026</v>
      </c>
      <c r="D20" s="379" t="s">
        <v>660</v>
      </c>
    </row>
    <row r="21" spans="1:5">
      <c r="A21" s="379"/>
      <c r="B21" s="382"/>
      <c r="C21" s="381"/>
      <c r="D21" s="379"/>
    </row>
    <row r="22" spans="1:5" ht="18">
      <c r="A22" s="379"/>
      <c r="B22" s="383"/>
      <c r="C22" s="381"/>
      <c r="D22" s="379"/>
    </row>
    <row r="23" spans="1:5">
      <c r="B23" s="384"/>
    </row>
    <row r="25" spans="1:5">
      <c r="C25" s="385" t="s">
        <v>128</v>
      </c>
    </row>
    <row r="27" spans="1:5">
      <c r="B27" s="384"/>
    </row>
    <row r="28" spans="1:5">
      <c r="B28" s="384"/>
    </row>
    <row r="29" spans="1:5">
      <c r="B29" s="384"/>
    </row>
    <row r="30" spans="1:5">
      <c r="B30" s="384"/>
    </row>
    <row r="31" spans="1:5">
      <c r="B31" s="384"/>
    </row>
    <row r="32" spans="1:5">
      <c r="B32" s="384"/>
    </row>
    <row r="33" spans="2:2">
      <c r="B33" s="384"/>
    </row>
    <row r="34" spans="2:2">
      <c r="B34" s="384"/>
    </row>
    <row r="35" spans="2:2">
      <c r="B35" s="384"/>
    </row>
    <row r="36" spans="2:2">
      <c r="B36" s="384"/>
    </row>
    <row r="37" spans="2:2">
      <c r="B37" s="384"/>
    </row>
    <row r="38" spans="2:2">
      <c r="B38" s="384"/>
    </row>
    <row r="39" spans="2:2">
      <c r="B39" s="384"/>
    </row>
    <row r="40" spans="2:2">
      <c r="B40" s="384"/>
    </row>
    <row r="41" spans="2:2">
      <c r="B41" s="384"/>
    </row>
    <row r="42" spans="2:2">
      <c r="B42" s="384"/>
    </row>
    <row r="43" spans="2:2">
      <c r="B43" s="384"/>
    </row>
    <row r="44" spans="2:2">
      <c r="B44" s="384"/>
    </row>
    <row r="45" spans="2:2">
      <c r="B45" s="384"/>
    </row>
    <row r="46" spans="2:2">
      <c r="B46" s="384"/>
    </row>
    <row r="47" spans="2:2">
      <c r="B47" s="384"/>
    </row>
    <row r="48" spans="2:2">
      <c r="B48" s="384"/>
    </row>
    <row r="49" spans="2:2">
      <c r="B49" s="384"/>
    </row>
    <row r="50" spans="2:2">
      <c r="B50" s="384"/>
    </row>
    <row r="51" spans="2:2">
      <c r="B51" s="384"/>
    </row>
    <row r="52" spans="2:2">
      <c r="B52" s="384"/>
    </row>
    <row r="53" spans="2:2">
      <c r="B53" s="384"/>
    </row>
    <row r="54" spans="2:2">
      <c r="B54" s="384"/>
    </row>
    <row r="55" spans="2:2">
      <c r="B55" s="384"/>
    </row>
    <row r="56" spans="2:2">
      <c r="B56" s="384"/>
    </row>
    <row r="57" spans="2:2">
      <c r="B57" s="384"/>
    </row>
    <row r="58" spans="2:2">
      <c r="B58" s="384"/>
    </row>
    <row r="59" spans="2:2">
      <c r="B59" s="384"/>
    </row>
    <row r="60" spans="2:2">
      <c r="B60" s="384"/>
    </row>
    <row r="61" spans="2:2">
      <c r="B61" s="384"/>
    </row>
    <row r="62" spans="2:2">
      <c r="B62" s="384"/>
    </row>
    <row r="63" spans="2:2">
      <c r="B63" s="384"/>
    </row>
    <row r="64" spans="2:2">
      <c r="B64" s="384"/>
    </row>
    <row r="65" spans="2:2">
      <c r="B65" s="384"/>
    </row>
    <row r="66" spans="2:2">
      <c r="B66" s="384"/>
    </row>
    <row r="67" spans="2:2">
      <c r="B67" s="384"/>
    </row>
    <row r="68" spans="2:2">
      <c r="B68" s="384"/>
    </row>
    <row r="69" spans="2:2">
      <c r="B69" s="384"/>
    </row>
    <row r="70" spans="2:2">
      <c r="B70" s="384"/>
    </row>
    <row r="71" spans="2:2">
      <c r="B71" s="384"/>
    </row>
    <row r="72" spans="2:2">
      <c r="B72" s="384"/>
    </row>
    <row r="73" spans="2:2">
      <c r="B73" s="384"/>
    </row>
    <row r="74" spans="2:2">
      <c r="B74" s="384"/>
    </row>
    <row r="75" spans="2:2">
      <c r="B75" s="384"/>
    </row>
    <row r="76" spans="2:2">
      <c r="B76" s="384"/>
    </row>
    <row r="77" spans="2:2">
      <c r="B77" s="384"/>
    </row>
    <row r="78" spans="2:2">
      <c r="B78" s="384"/>
    </row>
    <row r="79" spans="2:2">
      <c r="B79" s="384"/>
    </row>
    <row r="80" spans="2:2">
      <c r="B80" s="384"/>
    </row>
    <row r="82" spans="2:2">
      <c r="B82" s="384"/>
    </row>
    <row r="83" spans="2:2">
      <c r="B83" s="384"/>
    </row>
    <row r="84" spans="2:2">
      <c r="B84" s="384"/>
    </row>
    <row r="85" spans="2:2">
      <c r="B85" s="384"/>
    </row>
    <row r="86" spans="2:2">
      <c r="B86" s="384"/>
    </row>
    <row r="87" spans="2:2">
      <c r="B87" s="384"/>
    </row>
    <row r="88" spans="2:2">
      <c r="B88" s="384"/>
    </row>
    <row r="89" spans="2:2">
      <c r="B89" s="384"/>
    </row>
    <row r="90" spans="2:2">
      <c r="B90" s="384"/>
    </row>
    <row r="91" spans="2:2">
      <c r="B91" s="384"/>
    </row>
    <row r="92" spans="2:2">
      <c r="B92" s="384"/>
    </row>
    <row r="93" spans="2:2">
      <c r="B93" s="384"/>
    </row>
    <row r="94" spans="2:2">
      <c r="B94" s="384"/>
    </row>
    <row r="95" spans="2:2">
      <c r="B95" s="384"/>
    </row>
  </sheetData>
  <mergeCells count="7">
    <mergeCell ref="C4:C5"/>
    <mergeCell ref="D4:D5"/>
    <mergeCell ref="A3:D3"/>
    <mergeCell ref="A4:A5"/>
    <mergeCell ref="B4:B5"/>
    <mergeCell ref="A1:D1"/>
    <mergeCell ref="A2:D2"/>
  </mergeCells>
  <printOptions horizontalCentered="1"/>
  <pageMargins left="0.5" right="0.5" top="1.8" bottom="0.5" header="0.15" footer="0.3"/>
  <pageSetup paperSize="9" orientation="portrait" horizontalDpi="360" verticalDpi="360" r:id="rId1"/>
  <headerFooter>
    <oddHeader>&amp;L&amp;G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A8DB-6566-4D2F-9358-11F0DB93DBE0}">
  <dimension ref="A1:T77"/>
  <sheetViews>
    <sheetView view="pageBreakPreview" topLeftCell="A8" zoomScale="110" zoomScaleNormal="100" zoomScaleSheetLayoutView="110" workbookViewId="0">
      <selection activeCell="B57" sqref="B57"/>
    </sheetView>
  </sheetViews>
  <sheetFormatPr defaultColWidth="9.36328125" defaultRowHeight="25.25" customHeight="1"/>
  <cols>
    <col min="1" max="1" width="5" style="401" customWidth="1"/>
    <col min="2" max="2" width="46.36328125" style="402" customWidth="1"/>
    <col min="3" max="3" width="8.08984375" style="401" customWidth="1"/>
    <col min="4" max="4" width="5.1796875" style="391" customWidth="1"/>
    <col min="5" max="5" width="15.90625" style="403" customWidth="1"/>
    <col min="6" max="6" width="5.08984375" style="391" customWidth="1"/>
    <col min="7" max="7" width="17.36328125" style="391" customWidth="1"/>
    <col min="8" max="8" width="24.36328125" style="396" hidden="1" customWidth="1"/>
    <col min="9" max="9" width="16.453125" style="396" hidden="1" customWidth="1"/>
    <col min="10" max="10" width="16.453125" style="851" hidden="1" customWidth="1"/>
    <col min="11" max="12" width="16.54296875" style="844" hidden="1" customWidth="1"/>
    <col min="13" max="13" width="18" style="844" hidden="1" customWidth="1"/>
    <col min="14" max="14" width="19.08984375" style="391" customWidth="1"/>
    <col min="15" max="15" width="22.6328125" style="391" customWidth="1"/>
    <col min="16" max="16" width="24.36328125" style="391" customWidth="1"/>
    <col min="17" max="17" width="16.453125" style="391" bestFit="1" customWidth="1"/>
    <col min="18" max="18" width="14.6328125" style="391" customWidth="1"/>
    <col min="19" max="16384" width="9.36328125" style="391"/>
  </cols>
  <sheetData>
    <row r="1" spans="1:20" ht="25.25" customHeight="1">
      <c r="A1" s="1102" t="str">
        <f>Detail!A1</f>
        <v>One Storeyed RCC Building, Myat Lay Street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</row>
    <row r="2" spans="1:20" s="405" customFormat="1" ht="25.25" customHeight="1">
      <c r="A2" s="1102" t="str">
        <f>BQ!A2</f>
        <v>35'-0"x45'-0"x13'-0" Ht;</v>
      </c>
      <c r="B2" s="1102"/>
      <c r="C2" s="1102"/>
      <c r="D2" s="1102"/>
      <c r="E2" s="1102"/>
      <c r="F2" s="1102"/>
      <c r="G2" s="1102"/>
      <c r="H2" s="1102"/>
      <c r="I2" s="1102"/>
      <c r="J2" s="1102"/>
      <c r="K2" s="1102"/>
      <c r="L2" s="1102"/>
      <c r="M2" s="1102"/>
      <c r="N2" s="401"/>
      <c r="O2" s="390"/>
      <c r="P2" s="390"/>
      <c r="Q2" s="390"/>
      <c r="R2" s="390"/>
      <c r="S2" s="404"/>
      <c r="T2" s="404"/>
    </row>
    <row r="3" spans="1:20" ht="22.5" customHeight="1">
      <c r="A3" s="1103" t="s">
        <v>664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404"/>
      <c r="O3" s="393"/>
    </row>
    <row r="4" spans="1:20" ht="48.65" customHeight="1">
      <c r="A4" s="346" t="s">
        <v>40</v>
      </c>
      <c r="B4" s="347" t="s">
        <v>31</v>
      </c>
      <c r="C4" s="348" t="s">
        <v>32</v>
      </c>
      <c r="D4" s="349" t="s">
        <v>0</v>
      </c>
      <c r="E4" s="350" t="s">
        <v>33</v>
      </c>
      <c r="F4" s="349" t="s">
        <v>34</v>
      </c>
      <c r="G4" s="351" t="s">
        <v>35</v>
      </c>
      <c r="H4" s="845">
        <v>0.3</v>
      </c>
      <c r="I4" s="351" t="s">
        <v>35</v>
      </c>
      <c r="J4" s="350" t="s">
        <v>521</v>
      </c>
      <c r="K4" s="350" t="s">
        <v>579</v>
      </c>
      <c r="L4" s="350" t="s">
        <v>580</v>
      </c>
      <c r="M4" s="350" t="s">
        <v>581</v>
      </c>
      <c r="N4" s="389"/>
      <c r="O4" s="390"/>
    </row>
    <row r="5" spans="1:20" s="393" customFormat="1" ht="22.25" customHeight="1">
      <c r="A5" s="299">
        <v>1</v>
      </c>
      <c r="B5" s="406" t="s">
        <v>64</v>
      </c>
      <c r="C5" s="328">
        <f>VLOOKUP(B5,BE!$B$5:$C$459,2,FALSE)</f>
        <v>24.75</v>
      </c>
      <c r="D5" s="328" t="str">
        <f>VLOOKUP(B5,BE!$B$5:$E$810,4,FALSE)</f>
        <v>%Fs</v>
      </c>
      <c r="E5" s="360">
        <f>G5/C5</f>
        <v>5447.2000000000007</v>
      </c>
      <c r="F5" s="299" t="str">
        <f>D5</f>
        <v>%Fs</v>
      </c>
      <c r="G5" s="360">
        <f>VLOOKUP(B5,BE!$B$5:$H$810,7,FALSE)</f>
        <v>134818.20000000001</v>
      </c>
      <c r="H5" s="846">
        <f>G5*1.3</f>
        <v>175263.66000000003</v>
      </c>
      <c r="I5" s="846">
        <f>ROUNDUP(H5,-4)</f>
        <v>180000</v>
      </c>
      <c r="J5" s="852">
        <f>[4]AC!$L$5</f>
        <v>110000</v>
      </c>
      <c r="K5" s="847">
        <f t="shared" ref="K5:K22" si="0">I5</f>
        <v>180000</v>
      </c>
      <c r="L5" s="847"/>
      <c r="M5" s="847"/>
      <c r="N5" s="392">
        <f>BE!H8</f>
        <v>134818.20000000001</v>
      </c>
      <c r="O5" s="392">
        <f>G5-N5</f>
        <v>0</v>
      </c>
      <c r="P5" s="856">
        <f t="shared" ref="P5:P47" si="1">G5/$G$71</f>
        <v>5.2083900269460934E-4</v>
      </c>
      <c r="Q5" s="857">
        <f>P5+P6+P7+P9+P10+P11+P19+P20+P23+P24+P26+P13+P32+P33+P35+P42</f>
        <v>0.21181894236730797</v>
      </c>
      <c r="R5" s="393">
        <v>15</v>
      </c>
      <c r="S5" s="857" t="e">
        <f>#REF!+#REF!+#REF!+#REF!+#REF!+#REF!</f>
        <v>#REF!</v>
      </c>
      <c r="T5" s="393">
        <v>20</v>
      </c>
    </row>
    <row r="6" spans="1:20" s="393" customFormat="1" ht="22.25" customHeight="1">
      <c r="A6" s="302">
        <v>2</v>
      </c>
      <c r="B6" s="303" t="s">
        <v>347</v>
      </c>
      <c r="C6" s="329">
        <f>VLOOKUP(B6,BE!$B$5:$C$459,2,FALSE)</f>
        <v>15.75</v>
      </c>
      <c r="D6" s="329" t="str">
        <f>VLOOKUP(B6,BE!$B$5:$E$810,4,FALSE)</f>
        <v>%Fs</v>
      </c>
      <c r="E6" s="361">
        <f>G6/C6</f>
        <v>6157.3269841269848</v>
      </c>
      <c r="F6" s="302" t="str">
        <f>D6</f>
        <v>%Fs</v>
      </c>
      <c r="G6" s="361">
        <f>VLOOKUP(B6,BE!$B$5:$H$810,7,FALSE)</f>
        <v>96977.900000000009</v>
      </c>
      <c r="H6" s="846">
        <f t="shared" ref="H6:H42" si="2">G6*1.3</f>
        <v>126071.27000000002</v>
      </c>
      <c r="I6" s="846">
        <f t="shared" ref="I6:I42" si="3">ROUNDUP(H6,-4)</f>
        <v>130000</v>
      </c>
      <c r="J6" s="853">
        <f>[4]AC!$L$6</f>
        <v>80000</v>
      </c>
      <c r="K6" s="848">
        <f t="shared" si="0"/>
        <v>130000</v>
      </c>
      <c r="L6" s="848"/>
      <c r="M6" s="848"/>
      <c r="N6" s="392">
        <f>BE!H20</f>
        <v>96977.900000000009</v>
      </c>
      <c r="O6" s="392">
        <f>G6-N6</f>
        <v>0</v>
      </c>
      <c r="P6" s="856">
        <f t="shared" si="1"/>
        <v>3.7465173633394866E-4</v>
      </c>
      <c r="Q6" s="857">
        <f>P12+P25+P34</f>
        <v>5.0920356694428862E-2</v>
      </c>
      <c r="R6" s="393">
        <v>5</v>
      </c>
      <c r="T6" s="393">
        <v>6</v>
      </c>
    </row>
    <row r="7" spans="1:20" s="393" customFormat="1" ht="40.75" customHeight="1">
      <c r="A7" s="302">
        <v>3</v>
      </c>
      <c r="B7" s="407" t="s">
        <v>369</v>
      </c>
      <c r="C7" s="329">
        <f>VLOOKUP(B7,BE!$B$5:$C$459,2,FALSE)</f>
        <v>56.07</v>
      </c>
      <c r="D7" s="329" t="str">
        <f>VLOOKUP(B7,BE!$B$5:$E$810,4,FALSE)</f>
        <v>%Fc</v>
      </c>
      <c r="E7" s="361">
        <f>G7/C7</f>
        <v>43560</v>
      </c>
      <c r="F7" s="302" t="str">
        <f>D7</f>
        <v>%Fc</v>
      </c>
      <c r="G7" s="361">
        <f>VLOOKUP(B7,BE!$B$5:$H$810,7,FALSE)</f>
        <v>2442409.2000000002</v>
      </c>
      <c r="H7" s="846">
        <f t="shared" si="2"/>
        <v>3175131.9600000004</v>
      </c>
      <c r="I7" s="846">
        <f t="shared" si="3"/>
        <v>3180000</v>
      </c>
      <c r="J7" s="853">
        <f>[4]AC!$K$7</f>
        <v>1530000</v>
      </c>
      <c r="K7" s="848">
        <f t="shared" si="0"/>
        <v>3180000</v>
      </c>
      <c r="L7" s="848">
        <f>K7-J7</f>
        <v>1650000</v>
      </c>
      <c r="M7" s="848"/>
      <c r="N7" s="392">
        <f>BE!H25</f>
        <v>2442409.2000000002</v>
      </c>
      <c r="O7" s="392">
        <f>G7-N7</f>
        <v>0</v>
      </c>
      <c r="P7" s="856">
        <f t="shared" si="1"/>
        <v>9.4356842911427295E-3</v>
      </c>
      <c r="Q7" s="857" t="e">
        <f>P14+#REF!+P27+P28+P36+P37</f>
        <v>#REF!</v>
      </c>
      <c r="R7" s="393">
        <v>10</v>
      </c>
      <c r="T7" s="393">
        <v>15</v>
      </c>
    </row>
    <row r="8" spans="1:20" s="393" customFormat="1" ht="22" customHeight="1">
      <c r="A8" s="302">
        <v>4</v>
      </c>
      <c r="B8" s="303" t="s">
        <v>945</v>
      </c>
      <c r="C8" s="329">
        <f>VLOOKUP(B8,BE!$B$5:$C$459,2,FALSE)</f>
        <v>71.27</v>
      </c>
      <c r="D8" s="329" t="str">
        <f>VLOOKUP(B8,BE!$B$5:$E$810,4,FALSE)</f>
        <v>%Fs</v>
      </c>
      <c r="E8" s="361"/>
      <c r="F8" s="302"/>
      <c r="G8" s="361"/>
      <c r="H8" s="846">
        <f t="shared" si="2"/>
        <v>0</v>
      </c>
      <c r="I8" s="846">
        <f t="shared" si="3"/>
        <v>0</v>
      </c>
      <c r="J8" s="853"/>
      <c r="K8" s="848">
        <f t="shared" si="0"/>
        <v>0</v>
      </c>
      <c r="L8" s="848">
        <f t="shared" ref="L8:L44" si="4">K8-J8</f>
        <v>0</v>
      </c>
      <c r="M8" s="848"/>
      <c r="N8" s="392">
        <f>BE!H37</f>
        <v>0</v>
      </c>
      <c r="O8" s="392">
        <f>G8-N8</f>
        <v>0</v>
      </c>
      <c r="P8" s="856">
        <f t="shared" si="1"/>
        <v>0</v>
      </c>
      <c r="Q8" s="857" t="e">
        <f>P44+#REF!+P16+P29+P38</f>
        <v>#REF!</v>
      </c>
      <c r="R8" s="393">
        <v>5</v>
      </c>
      <c r="T8" s="393">
        <v>8</v>
      </c>
    </row>
    <row r="9" spans="1:20" s="393" customFormat="1" ht="22" customHeight="1">
      <c r="A9" s="302"/>
      <c r="B9" s="303" t="str">
        <f>BE!B39</f>
        <v>Footing Formwork</v>
      </c>
      <c r="C9" s="329">
        <f>VLOOKUP(B9,BE!$B$5:$C$459,2,FALSE)</f>
        <v>4.4000000000000004</v>
      </c>
      <c r="D9" s="329" t="str">
        <f>VLOOKUP(B9,BE!$B$5:$E$810,4,FALSE)</f>
        <v>%Fs</v>
      </c>
      <c r="E9" s="361">
        <f t="shared" ref="E9:E15" si="5">G9/C9</f>
        <v>491810.11363636359</v>
      </c>
      <c r="F9" s="302" t="str">
        <f t="shared" ref="F9:F15" si="6">D9</f>
        <v>%Fs</v>
      </c>
      <c r="G9" s="361">
        <f>VLOOKUP(B9,BE!$B$5:$H$810,7,FALSE)</f>
        <v>2163964.5</v>
      </c>
      <c r="H9" s="846">
        <f t="shared" si="2"/>
        <v>2813153.85</v>
      </c>
      <c r="I9" s="846">
        <f t="shared" si="3"/>
        <v>2820000</v>
      </c>
      <c r="J9" s="853">
        <f>[4]AC!$L$11</f>
        <v>3310000</v>
      </c>
      <c r="K9" s="848">
        <f t="shared" si="0"/>
        <v>2820000</v>
      </c>
      <c r="L9" s="848">
        <f t="shared" si="4"/>
        <v>-490000</v>
      </c>
      <c r="M9" s="848"/>
      <c r="N9" s="392"/>
      <c r="O9" s="392"/>
      <c r="P9" s="856">
        <f t="shared" si="1"/>
        <v>8.3599774514608472E-3</v>
      </c>
      <c r="Q9" s="857" t="e">
        <f>P46+#REF!+P51</f>
        <v>#REF!</v>
      </c>
      <c r="R9" s="393">
        <v>10</v>
      </c>
      <c r="T9" s="393">
        <v>15</v>
      </c>
    </row>
    <row r="10" spans="1:20" s="393" customFormat="1" ht="22" customHeight="1">
      <c r="A10" s="302"/>
      <c r="B10" s="303" t="str">
        <f>BE!B51</f>
        <v>Retaining Wall Formwork</v>
      </c>
      <c r="C10" s="329">
        <f>VLOOKUP(B10,BE!$B$5:$C$459,2,FALSE)</f>
        <v>3.86</v>
      </c>
      <c r="D10" s="329" t="str">
        <f>VLOOKUP(B10,BE!$B$5:$E$810,4,FALSE)</f>
        <v>%Fs</v>
      </c>
      <c r="E10" s="361">
        <f t="shared" si="5"/>
        <v>489160.90673575131</v>
      </c>
      <c r="F10" s="302" t="str">
        <f t="shared" si="6"/>
        <v>%Fs</v>
      </c>
      <c r="G10" s="361">
        <f>VLOOKUP(B10,BE!$B$5:$H$810,7,FALSE)</f>
        <v>1888161.1</v>
      </c>
      <c r="H10" s="846">
        <f t="shared" si="2"/>
        <v>2454609.4300000002</v>
      </c>
      <c r="I10" s="846">
        <f t="shared" si="3"/>
        <v>2460000</v>
      </c>
      <c r="J10" s="853">
        <f>[4]AC!$L$12</f>
        <v>970000</v>
      </c>
      <c r="K10" s="848">
        <f t="shared" si="0"/>
        <v>2460000</v>
      </c>
      <c r="L10" s="848"/>
      <c r="M10" s="848">
        <f>J10-K10</f>
        <v>-1490000</v>
      </c>
      <c r="N10" s="392"/>
      <c r="O10" s="392"/>
      <c r="P10" s="856">
        <f t="shared" si="1"/>
        <v>7.2944746647763915E-3</v>
      </c>
      <c r="Q10" s="857">
        <f>P41</f>
        <v>8.6849220480164097E-3</v>
      </c>
      <c r="R10" s="393">
        <v>5</v>
      </c>
      <c r="T10" s="393">
        <v>5</v>
      </c>
    </row>
    <row r="11" spans="1:20" s="393" customFormat="1" ht="22" customHeight="1">
      <c r="A11" s="302"/>
      <c r="B11" s="303" t="str">
        <f>BE!B63</f>
        <v>Short Column Formwork</v>
      </c>
      <c r="C11" s="329">
        <f>VLOOKUP(B11,BE!$B$5:$C$459,2,FALSE)</f>
        <v>4.93</v>
      </c>
      <c r="D11" s="329" t="str">
        <f>VLOOKUP(B11,BE!$B$5:$E$810,4,FALSE)</f>
        <v>%Fs</v>
      </c>
      <c r="E11" s="361">
        <f t="shared" si="5"/>
        <v>491235.49695740367</v>
      </c>
      <c r="F11" s="302" t="str">
        <f t="shared" si="6"/>
        <v>%Fs</v>
      </c>
      <c r="G11" s="361">
        <f>VLOOKUP(B11,BE!$B$5:$H$810,7,FALSE)</f>
        <v>2421791</v>
      </c>
      <c r="H11" s="846">
        <f t="shared" si="2"/>
        <v>3148328.3000000003</v>
      </c>
      <c r="I11" s="846">
        <f t="shared" si="3"/>
        <v>3150000</v>
      </c>
      <c r="J11" s="853">
        <f>[4]AC!$L$13</f>
        <v>1530000</v>
      </c>
      <c r="K11" s="848">
        <f t="shared" si="0"/>
        <v>3150000</v>
      </c>
      <c r="L11" s="848">
        <f t="shared" si="4"/>
        <v>1620000</v>
      </c>
      <c r="M11" s="848"/>
      <c r="N11" s="392"/>
      <c r="O11" s="392"/>
      <c r="P11" s="856">
        <f t="shared" si="1"/>
        <v>9.3560306336591091E-3</v>
      </c>
      <c r="Q11" s="857" t="e">
        <f>SUM(Q5:Q9)</f>
        <v>#REF!</v>
      </c>
      <c r="R11" s="393">
        <v>5</v>
      </c>
      <c r="T11" s="393">
        <v>5</v>
      </c>
    </row>
    <row r="12" spans="1:20" s="393" customFormat="1" ht="22" customHeight="1">
      <c r="A12" s="302"/>
      <c r="B12" s="421" t="str">
        <f>BE!B75</f>
        <v>Ground Floor Column Formwork</v>
      </c>
      <c r="C12" s="329">
        <f>VLOOKUP(B12,BE!$B$5:$C$459,2,FALSE)</f>
        <v>12.91</v>
      </c>
      <c r="D12" s="329" t="str">
        <f>VLOOKUP(B12,BE!$B$5:$E$810,4,FALSE)</f>
        <v>%Fs</v>
      </c>
      <c r="E12" s="361">
        <f t="shared" si="5"/>
        <v>490810.21688613482</v>
      </c>
      <c r="F12" s="302" t="str">
        <f t="shared" si="6"/>
        <v>%Fs</v>
      </c>
      <c r="G12" s="361">
        <f>VLOOKUP(B12,BE!$B$5:$H$810,7,FALSE)</f>
        <v>6336359.9000000004</v>
      </c>
      <c r="H12" s="846">
        <f t="shared" si="2"/>
        <v>8237267.870000001</v>
      </c>
      <c r="I12" s="846">
        <f t="shared" si="3"/>
        <v>8240000</v>
      </c>
      <c r="J12" s="853">
        <f>[4]AC!$L$14</f>
        <v>3730000</v>
      </c>
      <c r="K12" s="848">
        <f t="shared" si="0"/>
        <v>8240000</v>
      </c>
      <c r="L12" s="848">
        <f t="shared" si="4"/>
        <v>4510000</v>
      </c>
      <c r="M12" s="848"/>
      <c r="N12" s="392"/>
      <c r="O12" s="392"/>
      <c r="P12" s="856">
        <f t="shared" si="1"/>
        <v>2.4479064184435888E-2</v>
      </c>
      <c r="R12" s="393">
        <f>SUM(R5:R11)</f>
        <v>55</v>
      </c>
      <c r="T12" s="393">
        <f>SUM(T5:T11)</f>
        <v>74</v>
      </c>
    </row>
    <row r="13" spans="1:20" s="393" customFormat="1" ht="22" customHeight="1">
      <c r="A13" s="302"/>
      <c r="B13" s="303" t="str">
        <f>BE!B87</f>
        <v>Ground Beam Formwork</v>
      </c>
      <c r="C13" s="329">
        <f>VLOOKUP(B13,BE!$B$5:$C$459,2,FALSE)</f>
        <v>7.92</v>
      </c>
      <c r="D13" s="329" t="str">
        <f>VLOOKUP(B13,BE!$B$5:$E$810,4,FALSE)</f>
        <v>%Fs</v>
      </c>
      <c r="E13" s="361">
        <f t="shared" si="5"/>
        <v>491507.5378787879</v>
      </c>
      <c r="F13" s="302" t="str">
        <f t="shared" si="6"/>
        <v>%Fs</v>
      </c>
      <c r="G13" s="361">
        <f>VLOOKUP(B13,BE!$B$5:$H$810,7,FALSE)</f>
        <v>3892739.7</v>
      </c>
      <c r="H13" s="846">
        <f t="shared" si="2"/>
        <v>5060561.6100000003</v>
      </c>
      <c r="I13" s="846">
        <f t="shared" si="3"/>
        <v>5070000</v>
      </c>
      <c r="J13" s="853">
        <f>[4]AC!$L$16</f>
        <v>2810000</v>
      </c>
      <c r="K13" s="848">
        <f t="shared" si="0"/>
        <v>5070000</v>
      </c>
      <c r="L13" s="848">
        <f t="shared" si="4"/>
        <v>2260000</v>
      </c>
      <c r="M13" s="848"/>
      <c r="N13" s="392"/>
      <c r="O13" s="392"/>
      <c r="P13" s="856">
        <f t="shared" si="1"/>
        <v>1.5038701474264697E-2</v>
      </c>
    </row>
    <row r="14" spans="1:20" s="393" customFormat="1" ht="22" customHeight="1">
      <c r="A14" s="302"/>
      <c r="B14" s="303" t="str">
        <f>BE!B99</f>
        <v>Roof Beam Formwork</v>
      </c>
      <c r="C14" s="329">
        <f>VLOOKUP(B14,BE!$B$5:$C$459,2,FALSE)</f>
        <v>12.41</v>
      </c>
      <c r="D14" s="329" t="str">
        <f>VLOOKUP(B14,BE!$B$5:$E$810,4,FALSE)</f>
        <v>%Fs</v>
      </c>
      <c r="E14" s="361">
        <f t="shared" si="5"/>
        <v>491449.75020145049</v>
      </c>
      <c r="F14" s="302" t="str">
        <f t="shared" si="6"/>
        <v>%Fs</v>
      </c>
      <c r="G14" s="361">
        <f>VLOOKUP(B14,BE!$B$5:$H$810,7,FALSE)</f>
        <v>6098891.4000000004</v>
      </c>
      <c r="H14" s="846">
        <f t="shared" si="2"/>
        <v>7928558.8200000003</v>
      </c>
      <c r="I14" s="846">
        <f t="shared" si="3"/>
        <v>7930000</v>
      </c>
      <c r="J14" s="853">
        <f>[4]AC!$L$17</f>
        <v>4220000</v>
      </c>
      <c r="K14" s="848">
        <f t="shared" si="0"/>
        <v>7930000</v>
      </c>
      <c r="L14" s="848">
        <f t="shared" si="4"/>
        <v>3710000</v>
      </c>
      <c r="M14" s="848"/>
      <c r="N14" s="392"/>
      <c r="O14" s="392"/>
      <c r="P14" s="856">
        <f t="shared" si="1"/>
        <v>2.3561659437069546E-2</v>
      </c>
    </row>
    <row r="15" spans="1:20" s="393" customFormat="1" ht="22" customHeight="1">
      <c r="A15" s="302"/>
      <c r="B15" s="303" t="str">
        <f>BE!B111</f>
        <v>Slab Formwork</v>
      </c>
      <c r="C15" s="329">
        <f>VLOOKUP(B15,BE!$B$5:$C$459,2,FALSE)</f>
        <v>14.27</v>
      </c>
      <c r="D15" s="329" t="str">
        <f>VLOOKUP(B15,BE!$B$5:$E$810,4,FALSE)</f>
        <v>%Fs</v>
      </c>
      <c r="E15" s="361">
        <f t="shared" si="5"/>
        <v>490536.06867554312</v>
      </c>
      <c r="F15" s="302" t="str">
        <f t="shared" si="6"/>
        <v>%Fs</v>
      </c>
      <c r="G15" s="361">
        <f>VLOOKUP(B15,BE!$B$5:$H$810,7,FALSE)</f>
        <v>6999949.7000000002</v>
      </c>
      <c r="H15" s="846">
        <f t="shared" si="2"/>
        <v>9099934.6100000013</v>
      </c>
      <c r="I15" s="846">
        <f t="shared" si="3"/>
        <v>9100000</v>
      </c>
      <c r="J15" s="853">
        <f>[4]AC!$L$22</f>
        <v>6470000</v>
      </c>
      <c r="K15" s="848">
        <f t="shared" si="0"/>
        <v>9100000</v>
      </c>
      <c r="L15" s="848">
        <f t="shared" si="4"/>
        <v>2630000</v>
      </c>
      <c r="M15" s="848"/>
      <c r="N15" s="392"/>
      <c r="O15" s="392"/>
      <c r="P15" s="856">
        <f t="shared" si="1"/>
        <v>2.7042690235149481E-2</v>
      </c>
    </row>
    <row r="16" spans="1:20" s="393" customFormat="1" ht="22" customHeight="1">
      <c r="A16" s="302"/>
      <c r="B16" s="303" t="str">
        <f>BE!B123</f>
        <v>Lintel &amp; Stiffener Formwork</v>
      </c>
      <c r="C16" s="329">
        <f>VLOOKUP(B16,BE!$B$5:$C$459,2,FALSE)</f>
        <v>8.7200000000000006</v>
      </c>
      <c r="D16" s="329" t="str">
        <f>VLOOKUP(B16,BE!$B$5:$E$810,4,FALSE)</f>
        <v>%Fs</v>
      </c>
      <c r="E16" s="361">
        <f>G16/C16</f>
        <v>490462.52293577982</v>
      </c>
      <c r="F16" s="302" t="str">
        <f t="shared" ref="F16:F21" si="7">D16</f>
        <v>%Fs</v>
      </c>
      <c r="G16" s="361">
        <f>VLOOKUP(B16,BE!$B$5:$H$810,7,FALSE)</f>
        <v>4276833.2</v>
      </c>
      <c r="H16" s="846"/>
      <c r="I16" s="846"/>
      <c r="J16" s="853"/>
      <c r="K16" s="848"/>
      <c r="L16" s="848"/>
      <c r="M16" s="848"/>
      <c r="N16" s="392"/>
      <c r="O16" s="392"/>
      <c r="P16" s="856">
        <f t="shared" si="1"/>
        <v>1.6522558071382015E-2</v>
      </c>
    </row>
    <row r="17" spans="1:16" s="393" customFormat="1" ht="22" customHeight="1">
      <c r="A17" s="302"/>
      <c r="B17" s="303" t="str">
        <f>BE!B135</f>
        <v>Sunshade Formwork</v>
      </c>
      <c r="C17" s="329">
        <f>VLOOKUP(B17,BE!$B$5:$C$459,2,FALSE)</f>
        <v>1.85</v>
      </c>
      <c r="D17" s="329" t="str">
        <f>VLOOKUP(B17,BE!$B$5:$E$810,4,FALSE)</f>
        <v>%Fs</v>
      </c>
      <c r="E17" s="361">
        <f>G17/C17</f>
        <v>492163.08108108112</v>
      </c>
      <c r="F17" s="302" t="str">
        <f t="shared" si="7"/>
        <v>%Fs</v>
      </c>
      <c r="G17" s="361">
        <f>VLOOKUP(B17,BE!$B$5:$H$810,7,FALSE)</f>
        <v>910501.70000000007</v>
      </c>
      <c r="H17" s="846"/>
      <c r="I17" s="846"/>
      <c r="J17" s="853"/>
      <c r="K17" s="848"/>
      <c r="L17" s="848"/>
      <c r="M17" s="848"/>
      <c r="N17" s="392"/>
      <c r="O17" s="392"/>
      <c r="P17" s="856">
        <f t="shared" si="1"/>
        <v>3.5175131946558135E-3</v>
      </c>
    </row>
    <row r="18" spans="1:16" s="393" customFormat="1" ht="22" customHeight="1">
      <c r="A18" s="302">
        <v>5</v>
      </c>
      <c r="B18" s="407" t="str">
        <f>BE!B147</f>
        <v>9" thk; Hardcore Stone Work with Sand Filling</v>
      </c>
      <c r="C18" s="329">
        <f>VLOOKUP(B18,BE!$B$5:$C$459,2,FALSE)</f>
        <v>2.34</v>
      </c>
      <c r="D18" s="329" t="str">
        <f>VLOOKUP(B18,BE!$B$5:$E$810,4,FALSE)</f>
        <v>%Fc</v>
      </c>
      <c r="E18" s="361">
        <f>G18/C18</f>
        <v>259344.10256410256</v>
      </c>
      <c r="F18" s="302" t="str">
        <f t="shared" si="7"/>
        <v>%Fc</v>
      </c>
      <c r="G18" s="361">
        <f>VLOOKUP(B18,BE!$B$5:$H$810,7,FALSE)</f>
        <v>606865.19999999995</v>
      </c>
      <c r="H18" s="846">
        <f>G18*1.3</f>
        <v>788924.76</v>
      </c>
      <c r="I18" s="846">
        <f>ROUNDUP(H18,-4)</f>
        <v>790000</v>
      </c>
      <c r="J18" s="853">
        <f>[4]AC!$L$23</f>
        <v>1230000</v>
      </c>
      <c r="K18" s="848">
        <f>I18</f>
        <v>790000</v>
      </c>
      <c r="L18" s="848">
        <f>K18-J18</f>
        <v>-440000</v>
      </c>
      <c r="M18" s="848"/>
      <c r="N18" s="392">
        <f>BE!H168</f>
        <v>1907044.7</v>
      </c>
      <c r="O18" s="392">
        <f>G18-N18</f>
        <v>-1300179.5</v>
      </c>
      <c r="P18" s="856">
        <f t="shared" si="1"/>
        <v>2.3444836493742285E-3</v>
      </c>
    </row>
    <row r="19" spans="1:16" s="393" customFormat="1" ht="22" customHeight="1">
      <c r="A19" s="302">
        <v>6</v>
      </c>
      <c r="B19" s="407" t="s">
        <v>371</v>
      </c>
      <c r="C19" s="329">
        <f>VLOOKUP(B19,BE!$B$5:$C$459,2,FALSE)</f>
        <v>10.83</v>
      </c>
      <c r="D19" s="329" t="str">
        <f>VLOOKUP(B19,BE!$B$5:$E$810,4,FALSE)</f>
        <v>%Fc</v>
      </c>
      <c r="E19" s="361">
        <f t="shared" ref="E19:E24" si="8">G19/C19</f>
        <v>572898.31024930754</v>
      </c>
      <c r="F19" s="302" t="str">
        <f t="shared" si="7"/>
        <v>%Fc</v>
      </c>
      <c r="G19" s="361">
        <f>VLOOKUP(B19,BE!$B$5:$H$810,7,FALSE)</f>
        <v>6204488.7000000002</v>
      </c>
      <c r="H19" s="846">
        <f t="shared" si="2"/>
        <v>8065835.3100000005</v>
      </c>
      <c r="I19" s="846">
        <f t="shared" si="3"/>
        <v>8070000</v>
      </c>
      <c r="J19" s="853">
        <f>[4]AC!$L$23</f>
        <v>1230000</v>
      </c>
      <c r="K19" s="848">
        <f t="shared" si="0"/>
        <v>8070000</v>
      </c>
      <c r="L19" s="848">
        <f t="shared" si="4"/>
        <v>6840000</v>
      </c>
      <c r="M19" s="848"/>
      <c r="N19" s="392">
        <f>BE!H169</f>
        <v>6204488.7000000002</v>
      </c>
      <c r="O19" s="392">
        <f t="shared" ref="O19:O43" si="9">G19-N19</f>
        <v>0</v>
      </c>
      <c r="P19" s="856">
        <f t="shared" si="1"/>
        <v>2.3969610236140023E-2</v>
      </c>
    </row>
    <row r="20" spans="1:16" s="393" customFormat="1" ht="21.65" customHeight="1">
      <c r="A20" s="302">
        <v>7</v>
      </c>
      <c r="B20" s="407" t="str">
        <f>BE!B171</f>
        <v>Sand Filling Work, watering &amp; Ramming</v>
      </c>
      <c r="C20" s="329">
        <f>VLOOKUP(B20,BE!$B$5:$C$459,2,FALSE)</f>
        <v>41.77</v>
      </c>
      <c r="D20" s="329" t="str">
        <f>VLOOKUP(B20,BE!$B$5:$E$810,4,FALSE)</f>
        <v>%Fc</v>
      </c>
      <c r="E20" s="361">
        <f t="shared" si="8"/>
        <v>59285.386641129997</v>
      </c>
      <c r="F20" s="302" t="str">
        <f t="shared" si="7"/>
        <v>%Fc</v>
      </c>
      <c r="G20" s="361">
        <f>VLOOKUP(B20,BE!$B$5:$H$810,7,FALSE)</f>
        <v>2476350.6</v>
      </c>
      <c r="H20" s="846">
        <f t="shared" si="2"/>
        <v>3219255.7800000003</v>
      </c>
      <c r="I20" s="846">
        <f t="shared" si="3"/>
        <v>3220000</v>
      </c>
      <c r="J20" s="853">
        <f>[4]AC!$L$24</f>
        <v>1880000</v>
      </c>
      <c r="K20" s="848">
        <f t="shared" si="0"/>
        <v>3220000</v>
      </c>
      <c r="L20" s="848">
        <f t="shared" si="4"/>
        <v>1340000</v>
      </c>
      <c r="M20" s="848"/>
      <c r="N20" s="394">
        <f>BE!H178</f>
        <v>2476350.6</v>
      </c>
      <c r="O20" s="392">
        <f t="shared" si="9"/>
        <v>0</v>
      </c>
      <c r="P20" s="856">
        <f t="shared" si="1"/>
        <v>9.5668090571317324E-3</v>
      </c>
    </row>
    <row r="21" spans="1:16" s="393" customFormat="1" ht="21.65" customHeight="1">
      <c r="A21" s="302">
        <v>8</v>
      </c>
      <c r="B21" s="407" t="str">
        <f>BE!B180</f>
        <v>Back Filling Work</v>
      </c>
      <c r="C21" s="329">
        <f>VLOOKUP(B21,BE!$B$5:$C$459,2,FALSE)</f>
        <v>34.96</v>
      </c>
      <c r="D21" s="329" t="str">
        <f>VLOOKUP(B21,BE!$B$5:$E$810,4,FALSE)</f>
        <v>%Fc</v>
      </c>
      <c r="E21" s="361">
        <f>G21/C21</f>
        <v>21780</v>
      </c>
      <c r="F21" s="302" t="str">
        <f t="shared" si="7"/>
        <v>%Fc</v>
      </c>
      <c r="G21" s="361">
        <f>VLOOKUP(B21,BE!$B$5:$H$810,7,FALSE)</f>
        <v>761428.8</v>
      </c>
      <c r="H21" s="846">
        <f>G21*1.3</f>
        <v>989857.44000000006</v>
      </c>
      <c r="I21" s="846">
        <f>ROUNDUP(H21,-4)</f>
        <v>990000</v>
      </c>
      <c r="J21" s="853">
        <f>[4]AC!$L$24</f>
        <v>1880000</v>
      </c>
      <c r="K21" s="848">
        <f>I21</f>
        <v>990000</v>
      </c>
      <c r="L21" s="848">
        <f>K21-J21</f>
        <v>-890000</v>
      </c>
      <c r="M21" s="848"/>
      <c r="N21" s="394">
        <f>BE!H179</f>
        <v>0</v>
      </c>
      <c r="O21" s="392">
        <f>G21-N21</f>
        <v>761428.8</v>
      </c>
      <c r="P21" s="856">
        <f t="shared" si="1"/>
        <v>2.941604448175047E-3</v>
      </c>
    </row>
    <row r="22" spans="1:16" s="396" customFormat="1" ht="22" customHeight="1">
      <c r="A22" s="302">
        <v>9</v>
      </c>
      <c r="B22" s="408" t="s">
        <v>341</v>
      </c>
      <c r="C22" s="329">
        <f>VLOOKUP(B22,BE!$B$5:$C$459,2,FALSE)</f>
        <v>20.39</v>
      </c>
      <c r="D22" s="329" t="str">
        <f>VLOOKUP(B22,BE!$B$5:$E$810,4,FALSE)</f>
        <v>%Fc</v>
      </c>
      <c r="E22" s="361"/>
      <c r="F22" s="302"/>
      <c r="G22" s="361"/>
      <c r="H22" s="846">
        <f t="shared" si="2"/>
        <v>0</v>
      </c>
      <c r="I22" s="846">
        <f t="shared" si="3"/>
        <v>0</v>
      </c>
      <c r="J22" s="853"/>
      <c r="K22" s="848">
        <f t="shared" si="0"/>
        <v>0</v>
      </c>
      <c r="L22" s="848">
        <f t="shared" si="4"/>
        <v>0</v>
      </c>
      <c r="M22" s="848"/>
      <c r="N22" s="393"/>
      <c r="O22" s="392">
        <f t="shared" si="9"/>
        <v>0</v>
      </c>
      <c r="P22" s="856">
        <f t="shared" si="1"/>
        <v>0</v>
      </c>
    </row>
    <row r="23" spans="1:16" ht="22" customHeight="1">
      <c r="A23" s="302"/>
      <c r="B23" s="408" t="str">
        <f>BE!B186</f>
        <v>Footing Concrete</v>
      </c>
      <c r="C23" s="329">
        <f>VLOOKUP(B23,BE!$B$5:$C$459,2,FALSE)</f>
        <v>3.96</v>
      </c>
      <c r="D23" s="329" t="str">
        <f>VLOOKUP(B23,BE!$B$5:$E$810,4,FALSE)</f>
        <v>%Fc</v>
      </c>
      <c r="E23" s="361">
        <f t="shared" si="8"/>
        <v>767148.61111111112</v>
      </c>
      <c r="F23" s="302" t="str">
        <f t="shared" ref="F23:F30" si="10">D23</f>
        <v>%Fc</v>
      </c>
      <c r="G23" s="361">
        <f>VLOOKUP(B23,BE!$B$5:$H$810,7,FALSE)</f>
        <v>3037908.5</v>
      </c>
      <c r="H23" s="846">
        <f t="shared" si="2"/>
        <v>3949281.0500000003</v>
      </c>
      <c r="I23" s="846">
        <f t="shared" si="3"/>
        <v>3950000</v>
      </c>
      <c r="J23" s="853">
        <f>[4]AC!$L$27</f>
        <v>5140000</v>
      </c>
      <c r="K23" s="848">
        <f>[5]AC!$L$33</f>
        <v>5140000</v>
      </c>
      <c r="L23" s="848">
        <f t="shared" si="4"/>
        <v>0</v>
      </c>
      <c r="M23" s="848"/>
      <c r="N23" s="392">
        <f>BE!H198</f>
        <v>3037908.5</v>
      </c>
      <c r="O23" s="392">
        <f t="shared" si="9"/>
        <v>0</v>
      </c>
      <c r="P23" s="856">
        <f t="shared" si="1"/>
        <v>1.1736258408860795E-2</v>
      </c>
    </row>
    <row r="24" spans="1:16" ht="22" customHeight="1">
      <c r="A24" s="302"/>
      <c r="B24" s="408" t="str">
        <f>BE!B200</f>
        <v>Short Column Concrete</v>
      </c>
      <c r="C24" s="329">
        <f>VLOOKUP(B24,BE!$B$5:$C$459,2,FALSE)</f>
        <v>1.07</v>
      </c>
      <c r="D24" s="329" t="str">
        <f>VLOOKUP(B24,BE!$B$5:$E$810,4,FALSE)</f>
        <v>%Fc</v>
      </c>
      <c r="E24" s="361">
        <f t="shared" si="8"/>
        <v>771229.06542056077</v>
      </c>
      <c r="F24" s="302" t="str">
        <f t="shared" si="10"/>
        <v>%Fc</v>
      </c>
      <c r="G24" s="361">
        <f>VLOOKUP(B24,BE!$B$5:$H$810,7,FALSE)</f>
        <v>825215.10000000009</v>
      </c>
      <c r="H24" s="846">
        <f t="shared" si="2"/>
        <v>1072779.6300000001</v>
      </c>
      <c r="I24" s="846">
        <f t="shared" si="3"/>
        <v>1080000</v>
      </c>
      <c r="J24" s="853">
        <f>[4]AC!$L$28</f>
        <v>820000</v>
      </c>
      <c r="K24" s="848">
        <f>[5]AC!$L$35</f>
        <v>1050000</v>
      </c>
      <c r="L24" s="848">
        <f t="shared" si="4"/>
        <v>230000</v>
      </c>
      <c r="M24" s="848"/>
      <c r="N24" s="392">
        <f>BE!H212</f>
        <v>825215.10000000009</v>
      </c>
      <c r="O24" s="392">
        <f t="shared" si="9"/>
        <v>0</v>
      </c>
      <c r="P24" s="856">
        <f t="shared" si="1"/>
        <v>3.1880280977830315E-3</v>
      </c>
    </row>
    <row r="25" spans="1:16" ht="22" customHeight="1">
      <c r="A25" s="302"/>
      <c r="B25" s="408" t="str">
        <f>BE!B214</f>
        <v>Ground Floor Column Concrete</v>
      </c>
      <c r="C25" s="329">
        <f>VLOOKUP(B25,BE!$B$5:$C$459,2,FALSE)</f>
        <v>2.68</v>
      </c>
      <c r="D25" s="329" t="str">
        <f>VLOOKUP(B25,BE!$B$5:$E$810,4,FALSE)</f>
        <v>%Fc</v>
      </c>
      <c r="E25" s="361">
        <f t="shared" ref="E25:E30" si="11">G25/C25</f>
        <v>787177.08955223882</v>
      </c>
      <c r="F25" s="302" t="str">
        <f t="shared" si="10"/>
        <v>%Fc</v>
      </c>
      <c r="G25" s="361">
        <f>VLOOKUP(B25,BE!$B$5:$H$810,7,FALSE)</f>
        <v>2109634.6</v>
      </c>
      <c r="H25" s="846">
        <f t="shared" si="2"/>
        <v>2742524.9800000004</v>
      </c>
      <c r="I25" s="846">
        <f t="shared" si="3"/>
        <v>2750000</v>
      </c>
      <c r="J25" s="853">
        <f>[4]AC!$L$29</f>
        <v>2020000</v>
      </c>
      <c r="K25" s="848">
        <f>[5]AC!$L$36</f>
        <v>2020000</v>
      </c>
      <c r="L25" s="848">
        <f t="shared" si="4"/>
        <v>0</v>
      </c>
      <c r="M25" s="848"/>
      <c r="N25" s="392">
        <f>BE!H227</f>
        <v>2109634.6</v>
      </c>
      <c r="O25" s="392">
        <f t="shared" si="9"/>
        <v>0</v>
      </c>
      <c r="P25" s="856">
        <f t="shared" si="1"/>
        <v>8.1500864209286365E-3</v>
      </c>
    </row>
    <row r="26" spans="1:16" ht="22" customHeight="1">
      <c r="A26" s="302"/>
      <c r="B26" s="408" t="str">
        <f>BE!B229</f>
        <v>Ground Beam Concrete</v>
      </c>
      <c r="C26" s="329">
        <f>VLOOKUP(B26,BE!$B$5:$C$459,2,FALSE)</f>
        <v>3.35</v>
      </c>
      <c r="D26" s="329" t="str">
        <f>VLOOKUP(B26,BE!$B$5:$E$810,4,FALSE)</f>
        <v>%Fc</v>
      </c>
      <c r="E26" s="361">
        <f t="shared" si="11"/>
        <v>769189.1641791045</v>
      </c>
      <c r="F26" s="302" t="str">
        <f t="shared" si="10"/>
        <v>%Fc</v>
      </c>
      <c r="G26" s="361">
        <f>VLOOKUP(B26,BE!$B$5:$H$810,7,FALSE)</f>
        <v>2576783.7000000002</v>
      </c>
      <c r="H26" s="846">
        <f t="shared" si="2"/>
        <v>3349818.8100000005</v>
      </c>
      <c r="I26" s="846">
        <f t="shared" si="3"/>
        <v>3350000</v>
      </c>
      <c r="J26" s="853">
        <f>[4]AC!$L$31</f>
        <v>2240000</v>
      </c>
      <c r="K26" s="848">
        <f>[5]AC!$L$38</f>
        <v>2240000</v>
      </c>
      <c r="L26" s="848">
        <f t="shared" si="4"/>
        <v>0</v>
      </c>
      <c r="M26" s="848"/>
      <c r="N26" s="392">
        <f>BE!H241</f>
        <v>2576783.7000000002</v>
      </c>
      <c r="O26" s="392">
        <f t="shared" si="9"/>
        <v>0</v>
      </c>
      <c r="P26" s="856">
        <f t="shared" si="1"/>
        <v>9.9548091612833099E-3</v>
      </c>
    </row>
    <row r="27" spans="1:16" ht="22" customHeight="1">
      <c r="A27" s="302"/>
      <c r="B27" s="408" t="str">
        <f>BE!B243</f>
        <v>Roof Beam Concrete</v>
      </c>
      <c r="C27" s="329">
        <f>VLOOKUP(B27,BE!$B$5:$C$459,2,FALSE)</f>
        <v>3.61</v>
      </c>
      <c r="D27" s="329" t="str">
        <f>VLOOKUP(B27,BE!$B$5:$E$810,4,FALSE)</f>
        <v>%Fc</v>
      </c>
      <c r="E27" s="361">
        <f t="shared" si="11"/>
        <v>846797.3684210527</v>
      </c>
      <c r="F27" s="302" t="str">
        <f t="shared" si="10"/>
        <v>%Fc</v>
      </c>
      <c r="G27" s="361">
        <f>VLOOKUP(B27,BE!$B$5:$H$810,7,FALSE)</f>
        <v>3056938.5</v>
      </c>
      <c r="H27" s="846">
        <f t="shared" si="2"/>
        <v>3974020.0500000003</v>
      </c>
      <c r="I27" s="846">
        <f t="shared" si="3"/>
        <v>3980000</v>
      </c>
      <c r="J27" s="853">
        <f>[4]AC!$L$32</f>
        <v>3140000</v>
      </c>
      <c r="K27" s="848">
        <f>[5]AC!$L$39</f>
        <v>3140000</v>
      </c>
      <c r="L27" s="848">
        <f t="shared" si="4"/>
        <v>0</v>
      </c>
      <c r="M27" s="848"/>
      <c r="N27" s="392">
        <f>BE!H256</f>
        <v>3056938.5</v>
      </c>
      <c r="O27" s="392">
        <f t="shared" si="9"/>
        <v>0</v>
      </c>
      <c r="P27" s="856">
        <f t="shared" si="1"/>
        <v>1.1809776422165219E-2</v>
      </c>
    </row>
    <row r="28" spans="1:16" ht="22" customHeight="1">
      <c r="A28" s="302"/>
      <c r="B28" s="408" t="str">
        <f>BE!B258</f>
        <v>Slab Concrete</v>
      </c>
      <c r="C28" s="329">
        <f>VLOOKUP(B28,BE!$B$5:$C$459,2,FALSE)</f>
        <v>3.26</v>
      </c>
      <c r="D28" s="329" t="str">
        <f>VLOOKUP(B28,BE!$B$5:$E$810,4,FALSE)</f>
        <v>%Fc</v>
      </c>
      <c r="E28" s="361">
        <f t="shared" si="11"/>
        <v>846981.07361963193</v>
      </c>
      <c r="F28" s="302" t="str">
        <f t="shared" si="10"/>
        <v>%Fc</v>
      </c>
      <c r="G28" s="361">
        <f>VLOOKUP(B28,BE!$B$5:$H$810,7,FALSE)</f>
        <v>2761158.3</v>
      </c>
      <c r="H28" s="846">
        <f t="shared" si="2"/>
        <v>3589505.79</v>
      </c>
      <c r="I28" s="846">
        <f t="shared" si="3"/>
        <v>3590000</v>
      </c>
      <c r="J28" s="853">
        <f>[4]AC!$L$36</f>
        <v>2780000</v>
      </c>
      <c r="K28" s="848">
        <f>[5]AC!$L$47</f>
        <v>2780000</v>
      </c>
      <c r="L28" s="848">
        <f t="shared" si="4"/>
        <v>0</v>
      </c>
      <c r="M28" s="848"/>
      <c r="N28" s="392">
        <f>BE!H271</f>
        <v>2761158.3</v>
      </c>
      <c r="O28" s="392">
        <f t="shared" si="9"/>
        <v>0</v>
      </c>
      <c r="P28" s="856">
        <f t="shared" si="1"/>
        <v>1.0667097878876463E-2</v>
      </c>
    </row>
    <row r="29" spans="1:16" ht="22" customHeight="1">
      <c r="A29" s="302"/>
      <c r="B29" s="408" t="str">
        <f>BE!B273</f>
        <v>Lintel &amp; Stiffener Concrete</v>
      </c>
      <c r="C29" s="329">
        <f>VLOOKUP(B29,BE!$B$5:$C$459,2,FALSE)</f>
        <v>2.15</v>
      </c>
      <c r="D29" s="329" t="str">
        <f>VLOOKUP(B29,BE!$B$5:$E$810,4,FALSE)</f>
        <v>%Fc</v>
      </c>
      <c r="E29" s="361">
        <f t="shared" si="11"/>
        <v>768228.83720930235</v>
      </c>
      <c r="F29" s="302" t="str">
        <f t="shared" si="10"/>
        <v>%Fc</v>
      </c>
      <c r="G29" s="361">
        <f>VLOOKUP(B29,BE!$B$5:$H$810,7,FALSE)</f>
        <v>1651692</v>
      </c>
      <c r="H29" s="846"/>
      <c r="I29" s="846"/>
      <c r="J29" s="853"/>
      <c r="K29" s="848"/>
      <c r="L29" s="848"/>
      <c r="M29" s="848"/>
      <c r="N29" s="392"/>
      <c r="O29" s="392"/>
      <c r="P29" s="856">
        <f t="shared" si="1"/>
        <v>6.38093086867103E-3</v>
      </c>
    </row>
    <row r="30" spans="1:16" ht="22" customHeight="1">
      <c r="A30" s="302"/>
      <c r="B30" s="408" t="str">
        <f>BE!B287</f>
        <v>Sunshade Concrete</v>
      </c>
      <c r="C30" s="329">
        <f>VLOOKUP(B30,BE!$B$5:$C$459,2,FALSE)</f>
        <v>0.3</v>
      </c>
      <c r="D30" s="329" t="str">
        <f>VLOOKUP(B30,BE!$B$5:$E$810,4,FALSE)</f>
        <v>%Fc</v>
      </c>
      <c r="E30" s="361">
        <f t="shared" si="11"/>
        <v>779510.66666666674</v>
      </c>
      <c r="F30" s="302" t="str">
        <f t="shared" si="10"/>
        <v>%Fc</v>
      </c>
      <c r="G30" s="361">
        <f>VLOOKUP(B30,BE!$B$5:$H$810,7,FALSE)</f>
        <v>233853.2</v>
      </c>
      <c r="H30" s="846"/>
      <c r="I30" s="846"/>
      <c r="J30" s="853"/>
      <c r="K30" s="848"/>
      <c r="L30" s="848"/>
      <c r="M30" s="848"/>
      <c r="N30" s="392"/>
      <c r="O30" s="392"/>
      <c r="P30" s="856">
        <f t="shared" si="1"/>
        <v>9.0343787014618958E-4</v>
      </c>
    </row>
    <row r="31" spans="1:16" ht="22" customHeight="1">
      <c r="A31" s="302">
        <v>10</v>
      </c>
      <c r="B31" s="397" t="s">
        <v>944</v>
      </c>
      <c r="C31" s="329">
        <f>VLOOKUP(B31,BE!$B$5:$C$459,2,FALSE)</f>
        <v>11.427551050340734</v>
      </c>
      <c r="D31" s="329" t="str">
        <f>VLOOKUP(B31,BE!$B$5:$E$810,4,FALSE)</f>
        <v>Ton</v>
      </c>
      <c r="E31" s="361"/>
      <c r="F31" s="302"/>
      <c r="G31" s="361"/>
      <c r="H31" s="846">
        <f t="shared" si="2"/>
        <v>0</v>
      </c>
      <c r="I31" s="846">
        <f t="shared" si="3"/>
        <v>0</v>
      </c>
      <c r="J31" s="853"/>
      <c r="K31" s="848">
        <f t="shared" ref="K31:K43" si="12">I31</f>
        <v>0</v>
      </c>
      <c r="L31" s="848">
        <f t="shared" si="4"/>
        <v>0</v>
      </c>
      <c r="M31" s="848"/>
      <c r="N31" s="393"/>
      <c r="O31" s="392">
        <f t="shared" si="9"/>
        <v>0</v>
      </c>
      <c r="P31" s="856">
        <f t="shared" si="1"/>
        <v>0</v>
      </c>
    </row>
    <row r="32" spans="1:16" ht="22" customHeight="1">
      <c r="A32" s="302"/>
      <c r="B32" s="397" t="str">
        <f>BE!B317</f>
        <v>Footing Rebar</v>
      </c>
      <c r="C32" s="329">
        <f>VLOOKUP(B32,BE!$B$5:$C$459,2,FALSE)</f>
        <v>1.1310671949608857</v>
      </c>
      <c r="D32" s="329" t="str">
        <f>VLOOKUP(B32,BE!$B$5:$E$810,4,FALSE)</f>
        <v>Ton</v>
      </c>
      <c r="E32" s="361">
        <f t="shared" ref="E32:E38" si="13">G32/C32</f>
        <v>3070800.3053520625</v>
      </c>
      <c r="F32" s="302" t="str">
        <f t="shared" ref="F32:F38" si="14">D32</f>
        <v>Ton</v>
      </c>
      <c r="G32" s="361">
        <f>VLOOKUP(B32,BE!$B$5:$H$810,7,FALSE)</f>
        <v>3473281.4876595885</v>
      </c>
      <c r="H32" s="846">
        <f t="shared" si="2"/>
        <v>4515265.933957465</v>
      </c>
      <c r="I32" s="846">
        <f t="shared" si="3"/>
        <v>4520000</v>
      </c>
      <c r="J32" s="853">
        <f>[4]AC!$L$42</f>
        <v>7590000</v>
      </c>
      <c r="K32" s="848">
        <f t="shared" si="12"/>
        <v>4520000</v>
      </c>
      <c r="L32" s="848">
        <f t="shared" si="4"/>
        <v>-3070000</v>
      </c>
      <c r="M32" s="848"/>
      <c r="N32" s="392">
        <f>BE!H329</f>
        <v>3473281.4876595885</v>
      </c>
      <c r="O32" s="392">
        <f t="shared" si="9"/>
        <v>0</v>
      </c>
      <c r="P32" s="856">
        <f t="shared" si="1"/>
        <v>1.341822147239964E-2</v>
      </c>
    </row>
    <row r="33" spans="1:16" ht="22" customHeight="1">
      <c r="A33" s="302"/>
      <c r="B33" s="397" t="str">
        <f>BE!B331</f>
        <v>Short Column Rebar</v>
      </c>
      <c r="C33" s="329">
        <f>VLOOKUP(B33,BE!$B$5:$C$459,2,FALSE)</f>
        <v>1.3135706827111575</v>
      </c>
      <c r="D33" s="329" t="str">
        <f>VLOOKUP(B33,BE!$B$5:$E$810,4,FALSE)</f>
        <v>Ton</v>
      </c>
      <c r="E33" s="361">
        <f t="shared" si="13"/>
        <v>3039976.961920985</v>
      </c>
      <c r="F33" s="302" t="str">
        <f t="shared" si="14"/>
        <v>Ton</v>
      </c>
      <c r="G33" s="361">
        <f>VLOOKUP(B33,BE!$B$5:$H$810,7,FALSE)</f>
        <v>3993224.6132967388</v>
      </c>
      <c r="H33" s="846">
        <f t="shared" si="2"/>
        <v>5191191.9972857609</v>
      </c>
      <c r="I33" s="846">
        <f t="shared" si="3"/>
        <v>5200000</v>
      </c>
      <c r="J33" s="853">
        <f>[4]AC!$L$43</f>
        <v>4700000</v>
      </c>
      <c r="K33" s="848">
        <f t="shared" si="12"/>
        <v>5200000</v>
      </c>
      <c r="L33" s="848">
        <f t="shared" si="4"/>
        <v>500000</v>
      </c>
      <c r="M33" s="848"/>
      <c r="N33" s="392">
        <f>BE!H343</f>
        <v>3993224.6132967388</v>
      </c>
      <c r="O33" s="392">
        <f t="shared" si="9"/>
        <v>0</v>
      </c>
      <c r="P33" s="856">
        <f t="shared" si="1"/>
        <v>1.542690174713088E-2</v>
      </c>
    </row>
    <row r="34" spans="1:16" ht="22" customHeight="1">
      <c r="A34" s="302"/>
      <c r="B34" s="397" t="str">
        <f>BE!B345</f>
        <v>Ground Floor Column Rebar</v>
      </c>
      <c r="C34" s="329">
        <f>VLOOKUP(B34,BE!$B$5:$C$459,2,FALSE)</f>
        <v>1.5798140363710249</v>
      </c>
      <c r="D34" s="329" t="str">
        <f>VLOOKUP(B34,BE!$B$5:$E$810,4,FALSE)</f>
        <v>Ton</v>
      </c>
      <c r="E34" s="361">
        <f t="shared" si="13"/>
        <v>2996963.1340293773</v>
      </c>
      <c r="F34" s="302" t="str">
        <f t="shared" si="14"/>
        <v>Ton</v>
      </c>
      <c r="G34" s="361">
        <f>VLOOKUP(B34,BE!$B$5:$H$810,7,FALSE)</f>
        <v>4734644.4256261075</v>
      </c>
      <c r="H34" s="846">
        <f t="shared" si="2"/>
        <v>6155037.75331394</v>
      </c>
      <c r="I34" s="846">
        <f t="shared" si="3"/>
        <v>6160000</v>
      </c>
      <c r="J34" s="853">
        <f>[4]AC!$L$44</f>
        <v>4360000</v>
      </c>
      <c r="K34" s="848">
        <f t="shared" si="12"/>
        <v>6160000</v>
      </c>
      <c r="L34" s="848">
        <f t="shared" si="4"/>
        <v>1800000</v>
      </c>
      <c r="M34" s="848"/>
      <c r="N34" s="392">
        <f>BE!H357</f>
        <v>4734644.4256261075</v>
      </c>
      <c r="O34" s="392">
        <f t="shared" si="9"/>
        <v>0</v>
      </c>
      <c r="P34" s="856">
        <f t="shared" si="1"/>
        <v>1.8291206089064333E-2</v>
      </c>
    </row>
    <row r="35" spans="1:16" ht="22" customHeight="1">
      <c r="A35" s="302"/>
      <c r="B35" s="397" t="str">
        <f>BE!B359</f>
        <v>Plinth Beam Rebar</v>
      </c>
      <c r="C35" s="329">
        <f>VLOOKUP(B35,BE!$B$5:$C$459,2,FALSE)</f>
        <v>2.1829888758897407</v>
      </c>
      <c r="D35" s="329" t="str">
        <f>VLOOKUP(B35,BE!$B$5:$E$810,4,FALSE)</f>
        <v>Ton</v>
      </c>
      <c r="E35" s="361">
        <f t="shared" si="13"/>
        <v>2907691.438795106</v>
      </c>
      <c r="F35" s="302" t="str">
        <f t="shared" si="14"/>
        <v>Ton</v>
      </c>
      <c r="G35" s="361">
        <f>VLOOKUP(B35,BE!$B$5:$H$810,7,FALSE)</f>
        <v>6347458.0654095514</v>
      </c>
      <c r="H35" s="846">
        <f t="shared" si="2"/>
        <v>8251695.4850324169</v>
      </c>
      <c r="I35" s="846">
        <f t="shared" si="3"/>
        <v>8260000</v>
      </c>
      <c r="J35" s="853">
        <f>[4]AC!$L$46</f>
        <v>6580000</v>
      </c>
      <c r="K35" s="848">
        <f t="shared" si="12"/>
        <v>8260000</v>
      </c>
      <c r="L35" s="848">
        <f t="shared" si="4"/>
        <v>1680000</v>
      </c>
      <c r="M35" s="848"/>
      <c r="N35" s="392">
        <f>BE!H371</f>
        <v>6347458.0654095514</v>
      </c>
      <c r="O35" s="392">
        <f t="shared" si="9"/>
        <v>0</v>
      </c>
      <c r="P35" s="856">
        <f t="shared" si="1"/>
        <v>2.4521939385288967E-2</v>
      </c>
    </row>
    <row r="36" spans="1:16" ht="22" customHeight="1">
      <c r="A36" s="302"/>
      <c r="B36" s="397" t="str">
        <f>BE!B373</f>
        <v>Roof Beam Rebar</v>
      </c>
      <c r="C36" s="329">
        <f>VLOOKUP(B36,BE!$B$5:$C$459,2,FALSE)</f>
        <v>2.329080009662817</v>
      </c>
      <c r="D36" s="329" t="str">
        <f>VLOOKUP(B36,BE!$B$5:$E$810,4,FALSE)</f>
        <v>Ton</v>
      </c>
      <c r="E36" s="361">
        <f t="shared" si="13"/>
        <v>2911922.4955264484</v>
      </c>
      <c r="F36" s="302" t="str">
        <f t="shared" si="14"/>
        <v>Ton</v>
      </c>
      <c r="G36" s="361">
        <f>VLOOKUP(B36,BE!$B$5:$H$810,7,FALSE)</f>
        <v>6782100.4740181146</v>
      </c>
      <c r="H36" s="846">
        <f t="shared" si="2"/>
        <v>8816730.6162235495</v>
      </c>
      <c r="I36" s="846">
        <f t="shared" si="3"/>
        <v>8820000</v>
      </c>
      <c r="J36" s="853">
        <f>[4]AC!$L$47</f>
        <v>7000000</v>
      </c>
      <c r="K36" s="848">
        <f t="shared" si="12"/>
        <v>8820000</v>
      </c>
      <c r="L36" s="848">
        <f t="shared" si="4"/>
        <v>1820000</v>
      </c>
      <c r="M36" s="848"/>
      <c r="N36" s="392">
        <f>BE!H385</f>
        <v>6782100.4740181146</v>
      </c>
      <c r="O36" s="392">
        <f t="shared" si="9"/>
        <v>0</v>
      </c>
      <c r="P36" s="856">
        <f t="shared" si="1"/>
        <v>2.6201080025265371E-2</v>
      </c>
    </row>
    <row r="37" spans="1:16" ht="22" customHeight="1">
      <c r="A37" s="302"/>
      <c r="B37" s="397" t="str">
        <f>BE!B387</f>
        <v>Slab Rebar</v>
      </c>
      <c r="C37" s="329">
        <f>VLOOKUP(B37,BE!$B$5:$C$459,2,FALSE)</f>
        <v>2.3148201845427674</v>
      </c>
      <c r="D37" s="329" t="str">
        <f>VLOOKUP(B37,BE!$B$5:$E$810,4,FALSE)</f>
        <v>Ton</v>
      </c>
      <c r="E37" s="361">
        <f t="shared" si="13"/>
        <v>2577235.5055649439</v>
      </c>
      <c r="F37" s="302" t="str">
        <f t="shared" si="14"/>
        <v>Ton</v>
      </c>
      <c r="G37" s="361">
        <f>VLOOKUP(B37,BE!$B$5:$H$810,7,FALSE)</f>
        <v>5965836.7686020155</v>
      </c>
      <c r="H37" s="846">
        <f t="shared" si="2"/>
        <v>7755587.7991826199</v>
      </c>
      <c r="I37" s="846">
        <f t="shared" si="3"/>
        <v>7760000</v>
      </c>
      <c r="J37" s="853">
        <f>[4]AC!$L$51</f>
        <v>4360000</v>
      </c>
      <c r="K37" s="848">
        <f t="shared" si="12"/>
        <v>7760000</v>
      </c>
      <c r="L37" s="848">
        <f t="shared" si="4"/>
        <v>3400000</v>
      </c>
      <c r="M37" s="848"/>
      <c r="N37" s="392">
        <f>BE!H399</f>
        <v>5965836.7686020155</v>
      </c>
      <c r="O37" s="392">
        <f t="shared" si="9"/>
        <v>0</v>
      </c>
      <c r="P37" s="856">
        <f t="shared" si="1"/>
        <v>2.3047633574676894E-2</v>
      </c>
    </row>
    <row r="38" spans="1:16" ht="22" customHeight="1">
      <c r="A38" s="302"/>
      <c r="B38" s="408" t="str">
        <f>BE!B401</f>
        <v>Lintel &amp; Stiffener Rebar</v>
      </c>
      <c r="C38" s="329">
        <f>VLOOKUP(B38,BE!$B$5:$C$459,2,FALSE)</f>
        <v>0.38549572085821465</v>
      </c>
      <c r="D38" s="329" t="str">
        <f>VLOOKUP(B38,BE!$B$5:$E$810,4,FALSE)</f>
        <v>Ton</v>
      </c>
      <c r="E38" s="361">
        <f t="shared" si="13"/>
        <v>2962117.1885353769</v>
      </c>
      <c r="F38" s="302" t="str">
        <f t="shared" si="14"/>
        <v>Ton</v>
      </c>
      <c r="G38" s="361">
        <f>VLOOKUP(B38,BE!$B$5:$H$810,7,FALSE)</f>
        <v>1141883.5008609532</v>
      </c>
      <c r="H38" s="846"/>
      <c r="I38" s="846"/>
      <c r="J38" s="853"/>
      <c r="K38" s="848"/>
      <c r="L38" s="848"/>
      <c r="M38" s="848"/>
      <c r="N38" s="392"/>
      <c r="O38" s="392"/>
      <c r="P38" s="856">
        <f t="shared" si="1"/>
        <v>4.4114033845715781E-3</v>
      </c>
    </row>
    <row r="39" spans="1:16" ht="22" customHeight="1">
      <c r="A39" s="302"/>
      <c r="B39" s="408" t="str">
        <f>BE!B415</f>
        <v>Sunshade Rebar</v>
      </c>
      <c r="C39" s="329">
        <f>VLOOKUP(B39,BE!$B$5:$C$459,2,FALSE)</f>
        <v>0.19071434534412499</v>
      </c>
      <c r="D39" s="329" t="str">
        <f>VLOOKUP(B39,BE!$B$5:$E$810,4,FALSE)</f>
        <v>Ton</v>
      </c>
      <c r="E39" s="361">
        <f>G39/C39</f>
        <v>2853945.2904819557</v>
      </c>
      <c r="F39" s="302" t="str">
        <f>D39</f>
        <v>Ton</v>
      </c>
      <c r="G39" s="361">
        <f>VLOOKUP(B39,BE!$B$5:$H$810,7,FALSE)</f>
        <v>544288.30772221484</v>
      </c>
      <c r="H39" s="846"/>
      <c r="I39" s="846"/>
      <c r="J39" s="853"/>
      <c r="K39" s="848"/>
      <c r="L39" s="848"/>
      <c r="M39" s="848"/>
      <c r="N39" s="392"/>
      <c r="O39" s="392"/>
      <c r="P39" s="856">
        <f t="shared" si="1"/>
        <v>2.1027322673969466E-3</v>
      </c>
    </row>
    <row r="40" spans="1:16" ht="22" customHeight="1">
      <c r="A40" s="302">
        <v>11</v>
      </c>
      <c r="B40" s="407" t="str">
        <f>BE!B429</f>
        <v>Curing Work for 14 Days</v>
      </c>
      <c r="C40" s="329">
        <f>VLOOKUP(B40,BE!$B$5:$C$459,2,FALSE)</f>
        <v>9.73</v>
      </c>
      <c r="D40" s="329" t="str">
        <f>VLOOKUP(B40,BE!$B$5:$E$810,4,FALSE)</f>
        <v>%Fs</v>
      </c>
      <c r="E40" s="361">
        <f>G40/C40</f>
        <v>21780</v>
      </c>
      <c r="F40" s="302" t="str">
        <f>D40</f>
        <v>%Fs</v>
      </c>
      <c r="G40" s="361">
        <f>VLOOKUP(B40,BE!$B$5:$H$810,7,FALSE)</f>
        <v>211919.40000000002</v>
      </c>
      <c r="H40" s="846">
        <f>G40*1.3</f>
        <v>275495.22000000003</v>
      </c>
      <c r="I40" s="846">
        <f>ROUNDUP(H40,-4)</f>
        <v>280000</v>
      </c>
      <c r="J40" s="853">
        <f>[4]AC!$L$39</f>
        <v>2650000</v>
      </c>
      <c r="K40" s="848">
        <f>I40</f>
        <v>280000</v>
      </c>
      <c r="L40" s="848">
        <f>K40-J40</f>
        <v>-2370000</v>
      </c>
      <c r="M40" s="848"/>
      <c r="N40" s="392">
        <f>BE!H445</f>
        <v>928529.8</v>
      </c>
      <c r="O40" s="392">
        <f>G40-N40</f>
        <v>-716610.4</v>
      </c>
      <c r="P40" s="856">
        <f t="shared" si="1"/>
        <v>8.1870169567343283E-4</v>
      </c>
    </row>
    <row r="41" spans="1:16" ht="22" customHeight="1">
      <c r="A41" s="302">
        <v>12</v>
      </c>
      <c r="B41" s="407" t="str">
        <f>BE!B435</f>
        <v>1.5" thk; ( 1:2:4) Concrete work (Floor Topping)</v>
      </c>
      <c r="C41" s="329">
        <f>VLOOKUP(B41,BE!$B$5:$C$459,2,FALSE)</f>
        <v>16.78</v>
      </c>
      <c r="D41" s="329" t="str">
        <f>VLOOKUP(B41,BE!$B$5:$E$810,4,FALSE)</f>
        <v>%Fs</v>
      </c>
      <c r="E41" s="361">
        <f>G41/C41</f>
        <v>133973.52800953513</v>
      </c>
      <c r="F41" s="302" t="str">
        <f>D41</f>
        <v>%Fs</v>
      </c>
      <c r="G41" s="361">
        <f>VLOOKUP(B41,BE!$B$5:$H$810,7,FALSE)</f>
        <v>2248075.7999999998</v>
      </c>
      <c r="H41" s="846">
        <f t="shared" si="2"/>
        <v>2922498.54</v>
      </c>
      <c r="I41" s="846">
        <f t="shared" si="3"/>
        <v>2930000</v>
      </c>
      <c r="J41" s="853">
        <f>[4]AC!$L$39</f>
        <v>2650000</v>
      </c>
      <c r="K41" s="848">
        <f t="shared" si="12"/>
        <v>2930000</v>
      </c>
      <c r="L41" s="848">
        <f t="shared" si="4"/>
        <v>280000</v>
      </c>
      <c r="M41" s="848"/>
      <c r="N41" s="392">
        <f>BE!H446</f>
        <v>2248075.7999999998</v>
      </c>
      <c r="O41" s="392">
        <f t="shared" si="9"/>
        <v>0</v>
      </c>
      <c r="P41" s="856">
        <f t="shared" si="1"/>
        <v>8.6849220480164097E-3</v>
      </c>
    </row>
    <row r="42" spans="1:16" ht="22" customHeight="1">
      <c r="A42" s="302">
        <v>13</v>
      </c>
      <c r="B42" s="820" t="str">
        <f>BE!B448</f>
        <v>Brick Work in (1:3) Cement Mortar</v>
      </c>
      <c r="C42" s="329">
        <f>VLOOKUP(B42,BE!$B$5:$C$459,2,FALSE)</f>
        <v>14.25</v>
      </c>
      <c r="D42" s="329" t="str">
        <f>VLOOKUP(B42,BE!$B$5:$E$810,4,FALSE)</f>
        <v>%Fc</v>
      </c>
      <c r="E42" s="361">
        <f>G42/C42</f>
        <v>901990.4561403509</v>
      </c>
      <c r="F42" s="302" t="str">
        <f>D42</f>
        <v>%Fc</v>
      </c>
      <c r="G42" s="361">
        <f>VLOOKUP(B42,BE!$B$5:$H$810,7,FALSE)</f>
        <v>12853364</v>
      </c>
      <c r="H42" s="846">
        <f t="shared" si="2"/>
        <v>16709373.200000001</v>
      </c>
      <c r="I42" s="846">
        <f t="shared" si="3"/>
        <v>16710000</v>
      </c>
      <c r="J42" s="853">
        <v>8390000</v>
      </c>
      <c r="K42" s="848">
        <f t="shared" si="12"/>
        <v>16710000</v>
      </c>
      <c r="L42" s="848"/>
      <c r="M42" s="848">
        <f>J42-K42</f>
        <v>-8320000</v>
      </c>
      <c r="N42" s="392"/>
      <c r="O42" s="392">
        <f t="shared" si="9"/>
        <v>12853364</v>
      </c>
      <c r="P42" s="856">
        <f t="shared" si="1"/>
        <v>4.9656005546957267E-2</v>
      </c>
    </row>
    <row r="43" spans="1:16" ht="22" customHeight="1">
      <c r="A43" s="302">
        <v>14</v>
      </c>
      <c r="B43" s="820" t="str">
        <f>BE!B460</f>
        <v>4½"thk; Brick Walling Work</v>
      </c>
      <c r="C43" s="329">
        <f>VLOOKUP(B43,BE!$B$5:$C$810,2,FALSE)</f>
        <v>34.58</v>
      </c>
      <c r="D43" s="329" t="str">
        <f>VLOOKUP(B43,BE!$B$5:$E$810,4,FALSE)</f>
        <v>%Fs</v>
      </c>
      <c r="E43" s="361"/>
      <c r="F43" s="302"/>
      <c r="G43" s="361"/>
      <c r="H43" s="846">
        <f>G43*1.3</f>
        <v>0</v>
      </c>
      <c r="I43" s="846">
        <f>ROUNDUP(H43,-4)</f>
        <v>0</v>
      </c>
      <c r="J43" s="853"/>
      <c r="K43" s="848">
        <f t="shared" si="12"/>
        <v>0</v>
      </c>
      <c r="L43" s="848">
        <f t="shared" si="4"/>
        <v>0</v>
      </c>
      <c r="M43" s="848"/>
      <c r="N43" s="392"/>
      <c r="O43" s="392">
        <f t="shared" si="9"/>
        <v>0</v>
      </c>
      <c r="P43" s="856">
        <f t="shared" si="1"/>
        <v>0</v>
      </c>
    </row>
    <row r="44" spans="1:16" ht="22" customHeight="1">
      <c r="A44" s="302"/>
      <c r="B44" s="820" t="str">
        <f>BE!B473</f>
        <v>Ground Floor Wall</v>
      </c>
      <c r="C44" s="329">
        <f>VLOOKUP(B44,BE!$B$5:$C$810,2,FALSE)</f>
        <v>34.58</v>
      </c>
      <c r="D44" s="329" t="str">
        <f>VLOOKUP(B44,BE!$B$5:$E$810,4,FALSE)</f>
        <v>%Fs</v>
      </c>
      <c r="E44" s="361">
        <f>G44/C44</f>
        <v>394661.66714864084</v>
      </c>
      <c r="F44" s="302" t="str">
        <f>D44</f>
        <v>%Fs</v>
      </c>
      <c r="G44" s="361">
        <f>VLOOKUP(B44,BE!$B$5:$H$810,7,FALSE)</f>
        <v>13647400.449999999</v>
      </c>
      <c r="H44" s="846">
        <f>G44*1.3</f>
        <v>17741620.585000001</v>
      </c>
      <c r="I44" s="846">
        <f>ROUNDUP(H44,-4)</f>
        <v>17750000</v>
      </c>
      <c r="J44" s="853">
        <f>[4]AC!$L$55</f>
        <v>5920000</v>
      </c>
      <c r="K44" s="848">
        <f>J44</f>
        <v>5920000</v>
      </c>
      <c r="L44" s="848">
        <f t="shared" si="4"/>
        <v>0</v>
      </c>
      <c r="M44" s="848"/>
      <c r="N44" s="392"/>
      <c r="O44" s="392"/>
      <c r="P44" s="856">
        <f t="shared" si="1"/>
        <v>5.2723582125795788E-2</v>
      </c>
    </row>
    <row r="45" spans="1:16" ht="22" customHeight="1">
      <c r="A45" s="302">
        <v>15</v>
      </c>
      <c r="B45" s="837" t="str">
        <f>BE!B487</f>
        <v>¾" thk; Plastering Work in (1:3) Cement Mortar</v>
      </c>
      <c r="C45" s="329">
        <f>VLOOKUP(B45,BE!$B$5:$C$810,2,FALSE)</f>
        <v>92.31</v>
      </c>
      <c r="D45" s="329" t="str">
        <f>VLOOKUP(B45,BE!$B$5:$E$810,4,FALSE)</f>
        <v>%Fs</v>
      </c>
      <c r="E45" s="361"/>
      <c r="F45" s="302"/>
      <c r="G45" s="361"/>
      <c r="H45" s="846">
        <f>G45*1.3</f>
        <v>0</v>
      </c>
      <c r="I45" s="846">
        <f>ROUNDUP(H45,-4)</f>
        <v>0</v>
      </c>
      <c r="J45" s="853"/>
      <c r="K45" s="848">
        <f>I45</f>
        <v>0</v>
      </c>
      <c r="L45" s="848">
        <f>K45-J45</f>
        <v>0</v>
      </c>
      <c r="M45" s="848"/>
      <c r="N45" s="392"/>
      <c r="O45" s="392">
        <f>G45-N45</f>
        <v>0</v>
      </c>
      <c r="P45" s="856">
        <f t="shared" si="1"/>
        <v>0</v>
      </c>
    </row>
    <row r="46" spans="1:16" ht="22" customHeight="1">
      <c r="A46" s="302"/>
      <c r="B46" s="837" t="str">
        <f>BE!B498</f>
        <v>Ground Floor Wall Plaster</v>
      </c>
      <c r="C46" s="329">
        <f>BE!C498</f>
        <v>76.61</v>
      </c>
      <c r="D46" s="329" t="str">
        <f>VLOOKUP(B46,BE!$B$5:$E$810,4,FALSE)</f>
        <v>%Fs</v>
      </c>
      <c r="E46" s="361">
        <f t="shared" ref="E46:E61" si="15">G46/C46</f>
        <v>158168.03811512858</v>
      </c>
      <c r="F46" s="302" t="str">
        <f t="shared" ref="F46:F61" si="16">D46</f>
        <v>%Fs</v>
      </c>
      <c r="G46" s="361">
        <f>VLOOKUP(B46,BE!$B$5:$H$810,7,FALSE)</f>
        <v>12117253.4</v>
      </c>
      <c r="H46" s="846">
        <f>G46*1.3</f>
        <v>15752429.420000002</v>
      </c>
      <c r="I46" s="846">
        <f>ROUNDUP(H46,-4)</f>
        <v>15760000</v>
      </c>
      <c r="J46" s="853">
        <f>[4]AC!$L$58</f>
        <v>5660000</v>
      </c>
      <c r="K46" s="848">
        <f>I46</f>
        <v>15760000</v>
      </c>
      <c r="L46" s="848">
        <f>K46-J46</f>
        <v>10100000</v>
      </c>
      <c r="M46" s="848"/>
      <c r="N46" s="392"/>
      <c r="O46" s="392"/>
      <c r="P46" s="856">
        <f t="shared" si="1"/>
        <v>4.681221212161165E-2</v>
      </c>
    </row>
    <row r="47" spans="1:16" ht="22" customHeight="1">
      <c r="A47" s="302"/>
      <c r="B47" s="820" t="str">
        <f>BE!B510</f>
        <v>Corner Plaster</v>
      </c>
      <c r="C47" s="329">
        <f>VLOOKUP(B47,BE!$B$5:$C$810,2,FALSE)</f>
        <v>15.7</v>
      </c>
      <c r="D47" s="329" t="str">
        <f>VLOOKUP(B47,BE!$B$5:$E$810,4,FALSE)</f>
        <v>%Fs</v>
      </c>
      <c r="E47" s="361">
        <f t="shared" si="15"/>
        <v>150335.63694267516</v>
      </c>
      <c r="F47" s="302" t="str">
        <f t="shared" si="16"/>
        <v>%Fs</v>
      </c>
      <c r="G47" s="361">
        <f>VLOOKUP(B47,BE!$B$5:$H$810,7,FALSE)</f>
        <v>2360269.5</v>
      </c>
      <c r="H47" s="846">
        <f>G47*1.3</f>
        <v>3068350.35</v>
      </c>
      <c r="I47" s="846">
        <f>ROUNDUP(H47,-4)</f>
        <v>3070000</v>
      </c>
      <c r="J47" s="853">
        <f>[4]AC!$L$56</f>
        <v>5790000</v>
      </c>
      <c r="K47" s="848">
        <f>I47</f>
        <v>3070000</v>
      </c>
      <c r="L47" s="848">
        <f>K47-J47</f>
        <v>-2720000</v>
      </c>
      <c r="M47" s="848"/>
      <c r="N47" s="392"/>
      <c r="O47" s="392"/>
      <c r="P47" s="856">
        <f t="shared" si="1"/>
        <v>9.1183565161862719E-3</v>
      </c>
    </row>
    <row r="48" spans="1:16" ht="22" customHeight="1">
      <c r="A48" s="302">
        <v>16</v>
      </c>
      <c r="B48" s="837" t="str">
        <f>BE!B521</f>
        <v>Surface Preparation Before Painting with Putty (Wall)</v>
      </c>
      <c r="C48" s="329">
        <f>VLOOKUP(B48,BE!$B$5:$C$810,2,FALSE)</f>
        <v>92.31</v>
      </c>
      <c r="D48" s="329" t="str">
        <f>VLOOKUP(B48,BE!$B$5:$E$810,4,FALSE)</f>
        <v>%Fs</v>
      </c>
      <c r="E48" s="361">
        <f t="shared" si="15"/>
        <v>100103.92481854621</v>
      </c>
      <c r="F48" s="302" t="str">
        <f t="shared" si="16"/>
        <v>%Fs</v>
      </c>
      <c r="G48" s="361">
        <f>VLOOKUP(B48,BE!$B$5:$H$810,7,FALSE)</f>
        <v>9240593.3000000007</v>
      </c>
      <c r="H48" s="846"/>
      <c r="I48" s="846"/>
      <c r="J48" s="853"/>
      <c r="K48" s="848"/>
      <c r="L48" s="848"/>
      <c r="M48" s="848"/>
      <c r="N48" s="392"/>
      <c r="O48" s="392"/>
      <c r="P48" s="856"/>
    </row>
    <row r="49" spans="1:16" ht="22" customHeight="1">
      <c r="A49" s="302">
        <v>17</v>
      </c>
      <c r="B49" s="837" t="str">
        <f>BE!B534</f>
        <v>Brick Wall Painting</v>
      </c>
      <c r="C49" s="329">
        <f>VLOOKUP(B49,BE!$B$5:$C$810,2,FALSE)</f>
        <v>92.31</v>
      </c>
      <c r="D49" s="329" t="str">
        <f>VLOOKUP(B49,BE!$B$5:$E$810,4,FALSE)</f>
        <v>%Fs</v>
      </c>
      <c r="E49" s="361">
        <f t="shared" si="15"/>
        <v>86631.107138988184</v>
      </c>
      <c r="F49" s="302" t="str">
        <f t="shared" si="16"/>
        <v>%Fs</v>
      </c>
      <c r="G49" s="361">
        <f>VLOOKUP(B49,BE!$B$5:$H$810,7,FALSE)</f>
        <v>7996917.5</v>
      </c>
      <c r="H49" s="846"/>
      <c r="I49" s="846"/>
      <c r="J49" s="853"/>
      <c r="K49" s="848"/>
      <c r="L49" s="848"/>
      <c r="M49" s="848"/>
      <c r="N49" s="392"/>
      <c r="O49" s="392"/>
      <c r="P49" s="856"/>
    </row>
    <row r="50" spans="1:16" ht="22" customHeight="1">
      <c r="A50" s="302">
        <v>18</v>
      </c>
      <c r="B50" s="837" t="str">
        <f>BE!B544</f>
        <v>False Work</v>
      </c>
      <c r="C50" s="329">
        <f>VLOOKUP(B50,BE!$B$5:$C$810,2,FALSE)</f>
        <v>185.5</v>
      </c>
      <c r="D50" s="329" t="str">
        <f>VLOOKUP(B50,BE!$B$5:$E$810,4,FALSE)</f>
        <v>Nos.</v>
      </c>
      <c r="E50" s="361">
        <f t="shared" si="15"/>
        <v>26394.474393530996</v>
      </c>
      <c r="F50" s="302" t="str">
        <f t="shared" si="16"/>
        <v>Nos.</v>
      </c>
      <c r="G50" s="361">
        <f>VLOOKUP(B50,BE!$B$5:$H$810,7,FALSE)</f>
        <v>4896175</v>
      </c>
      <c r="H50" s="846">
        <f>G50*1.3</f>
        <v>6365027.5</v>
      </c>
      <c r="I50" s="846">
        <f>ROUNDUP(H50,-4)</f>
        <v>6370000</v>
      </c>
      <c r="J50" s="853">
        <f>[4]AC!$L$60</f>
        <v>8072000</v>
      </c>
      <c r="K50" s="848">
        <f>J50</f>
        <v>8072000</v>
      </c>
      <c r="L50" s="848">
        <f>K50-J50</f>
        <v>0</v>
      </c>
      <c r="M50" s="848"/>
      <c r="N50" s="392"/>
      <c r="O50" s="392">
        <f>G50-N50</f>
        <v>4896175</v>
      </c>
      <c r="P50" s="856">
        <f>G50/$G$71</f>
        <v>1.8915242185537848E-2</v>
      </c>
    </row>
    <row r="51" spans="1:16" ht="22" customHeight="1">
      <c r="A51" s="302">
        <v>19</v>
      </c>
      <c r="B51" s="837" t="str">
        <f>BE!B555</f>
        <v>Bamboo Scaffolding Work (Double Layer)</v>
      </c>
      <c r="C51" s="329">
        <f>VLOOKUP(B51,BE!$B$5:$C$810,2,FALSE)</f>
        <v>36.6</v>
      </c>
      <c r="D51" s="329" t="str">
        <f>VLOOKUP(B51,BE!$B$5:$E$810,4,FALSE)</f>
        <v>%Fs</v>
      </c>
      <c r="E51" s="361">
        <f t="shared" si="15"/>
        <v>144978.83879781421</v>
      </c>
      <c r="F51" s="302" t="str">
        <f t="shared" si="16"/>
        <v>%Fs</v>
      </c>
      <c r="G51" s="361">
        <f>VLOOKUP(B51,BE!$B$5:$H$810,7,FALSE)</f>
        <v>5306225.5</v>
      </c>
      <c r="H51" s="846">
        <f>G51*1.3</f>
        <v>6898093.1500000004</v>
      </c>
      <c r="I51" s="846">
        <f>ROUNDUP(H51,-4)</f>
        <v>6900000</v>
      </c>
      <c r="J51" s="853">
        <f>[4]AC!$L$60</f>
        <v>8072000</v>
      </c>
      <c r="K51" s="848">
        <f>J51</f>
        <v>8072000</v>
      </c>
      <c r="L51" s="848">
        <f>K51-J51</f>
        <v>0</v>
      </c>
      <c r="M51" s="848"/>
      <c r="N51" s="392"/>
      <c r="O51" s="392">
        <f>G51-N51</f>
        <v>5306225.5</v>
      </c>
      <c r="P51" s="856">
        <f>G51/$G$71</f>
        <v>2.0499377661863938E-2</v>
      </c>
    </row>
    <row r="52" spans="1:16" ht="22.25" customHeight="1">
      <c r="A52" s="302">
        <v>20</v>
      </c>
      <c r="B52" s="911" t="s">
        <v>376</v>
      </c>
      <c r="C52" s="329">
        <f>VLOOKUP(B52,BE!$B$5:$C$810,2,FALSE)</f>
        <v>2271.56</v>
      </c>
      <c r="D52" s="329" t="str">
        <f>VLOOKUP(B52,BE!$B$5:$E$810,4,FALSE)</f>
        <v>Rft</v>
      </c>
      <c r="E52" s="361">
        <f t="shared" si="15"/>
        <v>5421.3404004296608</v>
      </c>
      <c r="F52" s="302" t="str">
        <f t="shared" si="16"/>
        <v>Rft</v>
      </c>
      <c r="G52" s="361">
        <f>VLOOKUP(B52,BE!$B$5:$H$810,7,FALSE)</f>
        <v>12314900</v>
      </c>
      <c r="H52" s="846"/>
      <c r="I52" s="846"/>
      <c r="J52" s="854"/>
      <c r="K52" s="849"/>
      <c r="L52" s="848"/>
      <c r="M52" s="849"/>
      <c r="N52" s="392"/>
      <c r="O52" s="392"/>
      <c r="P52" s="856"/>
    </row>
    <row r="53" spans="1:16" ht="22.25" customHeight="1">
      <c r="A53" s="302">
        <v>21</v>
      </c>
      <c r="B53" s="911" t="s">
        <v>705</v>
      </c>
      <c r="C53" s="329">
        <f>VLOOKUP(B53,BE!$B$5:$C$810,2,FALSE)</f>
        <v>25.21</v>
      </c>
      <c r="D53" s="329" t="str">
        <f>VLOOKUP(B53,BE!$B$5:$E$810,4,FALSE)</f>
        <v>%Fs</v>
      </c>
      <c r="E53" s="361">
        <f t="shared" si="15"/>
        <v>47113.804046013487</v>
      </c>
      <c r="F53" s="302" t="str">
        <f t="shared" si="16"/>
        <v>%Fs</v>
      </c>
      <c r="G53" s="361">
        <f>VLOOKUP(B53,BE!$B$5:$H$810,7,FALSE)</f>
        <v>1187739</v>
      </c>
      <c r="H53" s="846"/>
      <c r="I53" s="846"/>
      <c r="J53" s="854"/>
      <c r="K53" s="849"/>
      <c r="L53" s="848"/>
      <c r="M53" s="849"/>
      <c r="N53" s="392"/>
      <c r="O53" s="392"/>
      <c r="P53" s="856"/>
    </row>
    <row r="54" spans="1:16" ht="22.25" customHeight="1">
      <c r="A54" s="302">
        <v>22</v>
      </c>
      <c r="B54" s="911" t="s">
        <v>365</v>
      </c>
      <c r="C54" s="329">
        <f>VLOOKUP(B54,BE!$B$5:$C$810,2,FALSE)</f>
        <v>22.09</v>
      </c>
      <c r="D54" s="329" t="str">
        <f>VLOOKUP(B54,BE!$B$5:$E$810,4,FALSE)</f>
        <v>%Fs</v>
      </c>
      <c r="E54" s="361">
        <f t="shared" si="15"/>
        <v>325579.79628791311</v>
      </c>
      <c r="F54" s="302" t="str">
        <f t="shared" si="16"/>
        <v>%Fs</v>
      </c>
      <c r="G54" s="361">
        <f>VLOOKUP(B54,BE!$B$5:$H$810,7,FALSE)</f>
        <v>7192057.7000000002</v>
      </c>
      <c r="H54" s="846"/>
      <c r="I54" s="846"/>
      <c r="J54" s="854"/>
      <c r="K54" s="849"/>
      <c r="L54" s="848"/>
      <c r="M54" s="849"/>
      <c r="N54" s="392"/>
      <c r="O54" s="392"/>
      <c r="P54" s="856"/>
    </row>
    <row r="55" spans="1:16" ht="22.25" customHeight="1">
      <c r="A55" s="302">
        <v>23</v>
      </c>
      <c r="B55" s="911" t="str">
        <f>BE!B605</f>
        <v>Eave &amp; Verge Board Work</v>
      </c>
      <c r="C55" s="329">
        <f>VLOOKUP(B55,BE!$B$5:$C$810,2,FALSE)</f>
        <v>214.2</v>
      </c>
      <c r="D55" s="329" t="str">
        <f>VLOOKUP(B55,BE!$B$5:$E$810,4,FALSE)</f>
        <v>Rft</v>
      </c>
      <c r="E55" s="361">
        <f t="shared" si="15"/>
        <v>2400</v>
      </c>
      <c r="F55" s="302" t="str">
        <f t="shared" si="16"/>
        <v>Rft</v>
      </c>
      <c r="G55" s="361">
        <f>VLOOKUP(B55,BE!$B$5:$H$810,7,FALSE)</f>
        <v>514080</v>
      </c>
      <c r="H55" s="846"/>
      <c r="I55" s="846"/>
      <c r="J55" s="854"/>
      <c r="K55" s="849"/>
      <c r="L55" s="848"/>
      <c r="M55" s="849"/>
      <c r="N55" s="392"/>
      <c r="O55" s="392"/>
      <c r="P55" s="856"/>
    </row>
    <row r="56" spans="1:16" ht="22.25" customHeight="1">
      <c r="A56" s="302">
        <v>24</v>
      </c>
      <c r="B56" s="911" t="s">
        <v>411</v>
      </c>
      <c r="C56" s="329">
        <f>VLOOKUP(B56,BE!$B$5:$C$810,2,FALSE)</f>
        <v>192</v>
      </c>
      <c r="D56" s="329" t="str">
        <f>VLOOKUP(B56,BE!$B$5:$E$810,4,FALSE)</f>
        <v>Rft</v>
      </c>
      <c r="E56" s="361">
        <f t="shared" si="15"/>
        <v>4325.333333333333</v>
      </c>
      <c r="F56" s="302" t="str">
        <f t="shared" si="16"/>
        <v>Rft</v>
      </c>
      <c r="G56" s="361">
        <f>VLOOKUP(B56,BE!$B$5:$H$810,7,FALSE)</f>
        <v>830464</v>
      </c>
      <c r="H56" s="846"/>
      <c r="I56" s="846"/>
      <c r="J56" s="854"/>
      <c r="K56" s="849"/>
      <c r="L56" s="848"/>
      <c r="M56" s="849"/>
      <c r="N56" s="392"/>
      <c r="O56" s="392"/>
      <c r="P56" s="856"/>
    </row>
    <row r="57" spans="1:16" ht="22.25" customHeight="1">
      <c r="A57" s="302">
        <v>25</v>
      </c>
      <c r="B57" s="1069" t="str">
        <f>BE!B619</f>
        <v>Ceiling Work (Gypsum Board)</v>
      </c>
      <c r="C57" s="329">
        <f>VLOOKUP(B57,BE!$B$5:$C$810,2,FALSE)</f>
        <v>2259</v>
      </c>
      <c r="D57" s="329" t="str">
        <f>VLOOKUP(B57,BE!$B$5:$E$810,4,FALSE)</f>
        <v>Fs</v>
      </c>
      <c r="E57" s="361">
        <f t="shared" si="15"/>
        <v>3824.8959716688801</v>
      </c>
      <c r="F57" s="302" t="str">
        <f t="shared" si="16"/>
        <v>Fs</v>
      </c>
      <c r="G57" s="361">
        <f>VLOOKUP(B57,BE!$B$5:$H$810,7,FALSE)</f>
        <v>8640440</v>
      </c>
      <c r="H57" s="846"/>
      <c r="I57" s="846"/>
      <c r="J57" s="854"/>
      <c r="K57" s="849"/>
      <c r="L57" s="848"/>
      <c r="M57" s="849"/>
      <c r="N57" s="392"/>
      <c r="O57" s="392"/>
      <c r="P57" s="856"/>
    </row>
    <row r="58" spans="1:16" ht="22.25" customHeight="1">
      <c r="A58" s="302">
        <v>26</v>
      </c>
      <c r="B58" s="1069" t="str">
        <f>BE!B663</f>
        <v>Ceiling Work (Eco Wood)</v>
      </c>
      <c r="C58" s="329">
        <f>VLOOKUP(B58,BE!$B$5:$C$810,2,FALSE)</f>
        <v>55</v>
      </c>
      <c r="D58" s="329" t="str">
        <f>VLOOKUP(B58,BE!$B$5:$E$810,4,FALSE)</f>
        <v>Fs</v>
      </c>
      <c r="E58" s="361">
        <f t="shared" si="15"/>
        <v>10838.363636363636</v>
      </c>
      <c r="F58" s="302" t="str">
        <f t="shared" si="16"/>
        <v>Fs</v>
      </c>
      <c r="G58" s="361">
        <f>VLOOKUP(B58,BE!$B$5:$H$810,7,FALSE)</f>
        <v>596110</v>
      </c>
      <c r="H58" s="846"/>
      <c r="I58" s="846"/>
      <c r="J58" s="854"/>
      <c r="K58" s="849"/>
      <c r="L58" s="848"/>
      <c r="M58" s="849"/>
      <c r="N58" s="392"/>
      <c r="O58" s="392"/>
      <c r="P58" s="856"/>
    </row>
    <row r="59" spans="1:16" ht="22.25" customHeight="1">
      <c r="A59" s="302">
        <v>27</v>
      </c>
      <c r="B59" s="1069" t="str">
        <f>BE!B676</f>
        <v>Surface Preparation Before Painting with Putty (Ceiling)</v>
      </c>
      <c r="C59" s="329">
        <f>VLOOKUP(B59,BE!$B$5:$C$810,2,FALSE)</f>
        <v>22.59</v>
      </c>
      <c r="D59" s="329" t="str">
        <f>VLOOKUP(B59,BE!$B$5:$E$810,4,FALSE)</f>
        <v>%Fs</v>
      </c>
      <c r="E59" s="361">
        <f t="shared" si="15"/>
        <v>114931.72642762285</v>
      </c>
      <c r="F59" s="302" t="str">
        <f t="shared" si="16"/>
        <v>%Fs</v>
      </c>
      <c r="G59" s="361">
        <f>VLOOKUP(B59,BE!$B$5:$H$810,7,FALSE)</f>
        <v>2596307.7000000002</v>
      </c>
      <c r="H59" s="846"/>
      <c r="I59" s="846"/>
      <c r="J59" s="854"/>
      <c r="K59" s="849"/>
      <c r="L59" s="848"/>
      <c r="M59" s="849"/>
      <c r="N59" s="392"/>
      <c r="O59" s="392"/>
      <c r="P59" s="856"/>
    </row>
    <row r="60" spans="1:16" ht="22.25" customHeight="1">
      <c r="A60" s="302">
        <v>28</v>
      </c>
      <c r="B60" s="1069" t="str">
        <f>BE!B690</f>
        <v>Ceiling Painting</v>
      </c>
      <c r="C60" s="329">
        <f>VLOOKUP(B60,BE!$B$5:$C$810,2,FALSE)</f>
        <v>22.59</v>
      </c>
      <c r="D60" s="329" t="str">
        <f>VLOOKUP(B60,BE!$B$5:$E$810,4,FALSE)</f>
        <v>%Fs</v>
      </c>
      <c r="E60" s="361">
        <f t="shared" si="15"/>
        <v>72443.669765382918</v>
      </c>
      <c r="F60" s="302" t="str">
        <f t="shared" si="16"/>
        <v>%Fs</v>
      </c>
      <c r="G60" s="361">
        <f>VLOOKUP(B60,BE!$B$5:$H$810,7,FALSE)</f>
        <v>1636502.5</v>
      </c>
      <c r="H60" s="846"/>
      <c r="I60" s="846"/>
      <c r="J60" s="854"/>
      <c r="K60" s="849"/>
      <c r="L60" s="848"/>
      <c r="M60" s="849"/>
      <c r="N60" s="392"/>
      <c r="O60" s="392"/>
      <c r="P60" s="856"/>
    </row>
    <row r="61" spans="1:16" ht="22.25" customHeight="1">
      <c r="A61" s="302">
        <v>29</v>
      </c>
      <c r="B61" s="837" t="str">
        <f>BE!B700</f>
        <v>Wood Chowket Work</v>
      </c>
      <c r="C61" s="329">
        <f>VLOOKUP(B61,BE!$B$5:$C$810,2,FALSE)</f>
        <v>188.36</v>
      </c>
      <c r="D61" s="329" t="str">
        <f>VLOOKUP(B61,BE!$B$5:$E$810,4,FALSE)</f>
        <v>Rft</v>
      </c>
      <c r="E61" s="361">
        <f t="shared" si="15"/>
        <v>14215.815459757909</v>
      </c>
      <c r="F61" s="302" t="str">
        <f t="shared" si="16"/>
        <v>Rft</v>
      </c>
      <c r="G61" s="361">
        <f>VLOOKUP(B61,BE!$B$5:$H$810,7,FALSE)</f>
        <v>2677691</v>
      </c>
      <c r="H61" s="846">
        <f>G61*1.3</f>
        <v>3480998.3000000003</v>
      </c>
      <c r="I61" s="846">
        <f>ROUNDUP(H61,-4)</f>
        <v>3490000</v>
      </c>
      <c r="J61" s="853">
        <f>[4]AC!$L$61</f>
        <v>230000</v>
      </c>
      <c r="K61" s="848">
        <f>I61</f>
        <v>3490000</v>
      </c>
      <c r="L61" s="848">
        <f>K61-J61</f>
        <v>3260000</v>
      </c>
      <c r="M61" s="848"/>
      <c r="N61" s="392"/>
      <c r="O61" s="392">
        <f>G61-N61</f>
        <v>2677691</v>
      </c>
      <c r="P61" s="856">
        <f>G61/$G$71</f>
        <v>1.0344641227700199E-2</v>
      </c>
    </row>
    <row r="62" spans="1:16" ht="22.25" customHeight="1">
      <c r="A62" s="302">
        <v>30</v>
      </c>
      <c r="B62" s="837" t="str">
        <f>BE!B713</f>
        <v>Hardwood Door Work</v>
      </c>
      <c r="C62" s="329">
        <f>VLOOKUP(B62,BE!$B$5:$C$810,2,FALSE)</f>
        <v>249.7</v>
      </c>
      <c r="D62" s="329" t="str">
        <f>VLOOKUP(B62,BE!$B$5:$E$810,4,FALSE)</f>
        <v>Sft</v>
      </c>
      <c r="E62" s="361">
        <f t="shared" ref="E62:E69" si="17">G62/C62</f>
        <v>64424.809771726075</v>
      </c>
      <c r="F62" s="302" t="str">
        <f t="shared" ref="F62:F69" si="18">D62</f>
        <v>Sft</v>
      </c>
      <c r="G62" s="361">
        <f>VLOOKUP(B62,BE!$B$5:$H$810,7,FALSE)</f>
        <v>16086875</v>
      </c>
      <c r="H62" s="846"/>
      <c r="I62" s="846"/>
      <c r="J62" s="854"/>
      <c r="K62" s="849"/>
      <c r="L62" s="848"/>
      <c r="M62" s="849"/>
      <c r="N62" s="392"/>
      <c r="O62" s="392"/>
      <c r="P62" s="856"/>
    </row>
    <row r="63" spans="1:16" ht="22.25" customHeight="1">
      <c r="A63" s="302">
        <v>31</v>
      </c>
      <c r="B63" s="837" t="str">
        <f>BE!B728</f>
        <v>Wood Oiling Work</v>
      </c>
      <c r="C63" s="329">
        <f>VLOOKUP(B63,BE!$B$5:$C$810,2,FALSE)</f>
        <v>651.47</v>
      </c>
      <c r="D63" s="329" t="str">
        <f>VLOOKUP(B63,BE!$B$5:$E$810,4,FALSE)</f>
        <v>Sft</v>
      </c>
      <c r="E63" s="361">
        <f t="shared" si="17"/>
        <v>2312.4744040400938</v>
      </c>
      <c r="F63" s="302" t="str">
        <f t="shared" si="18"/>
        <v>Sft</v>
      </c>
      <c r="G63" s="361">
        <f>VLOOKUP(B63,BE!$B$5:$H$810,7,FALSE)</f>
        <v>1506507.7</v>
      </c>
      <c r="H63" s="846"/>
      <c r="I63" s="846"/>
      <c r="J63" s="854"/>
      <c r="K63" s="849"/>
      <c r="L63" s="848"/>
      <c r="M63" s="849"/>
      <c r="N63" s="392"/>
      <c r="O63" s="392"/>
      <c r="P63" s="856"/>
    </row>
    <row r="64" spans="1:16" ht="22.25" customHeight="1">
      <c r="A64" s="302">
        <v>32</v>
      </c>
      <c r="B64" s="837" t="str">
        <f>BE!B741</f>
        <v>Aluminium Window Work</v>
      </c>
      <c r="C64" s="329">
        <f>VLOOKUP(B64,BE!$B$5:$C$810,2,FALSE)</f>
        <v>309.66000000000003</v>
      </c>
      <c r="D64" s="329" t="str">
        <f>VLOOKUP(B64,BE!$B$5:$E$810,4,FALSE)</f>
        <v>Sft</v>
      </c>
      <c r="E64" s="361">
        <f t="shared" si="17"/>
        <v>46000</v>
      </c>
      <c r="F64" s="302" t="str">
        <f t="shared" si="18"/>
        <v>Sft</v>
      </c>
      <c r="G64" s="361">
        <f>VLOOKUP(B64,BE!$B$5:$H$810,7,FALSE)</f>
        <v>14244360.000000002</v>
      </c>
      <c r="H64" s="846"/>
      <c r="I64" s="846"/>
      <c r="J64" s="854"/>
      <c r="K64" s="849"/>
      <c r="L64" s="848"/>
      <c r="M64" s="849"/>
      <c r="N64" s="392"/>
      <c r="O64" s="392"/>
      <c r="P64" s="856"/>
    </row>
    <row r="65" spans="1:18" ht="22.25" customHeight="1">
      <c r="A65" s="302">
        <v>33</v>
      </c>
      <c r="B65" s="837" t="str">
        <f>BE!B746</f>
        <v>Tiling Work</v>
      </c>
      <c r="C65" s="329">
        <f>VLOOKUP(B65,BE!$B$5:$C$810,2,FALSE)</f>
        <v>12.84</v>
      </c>
      <c r="D65" s="329" t="str">
        <f>VLOOKUP(B65,BE!$B$5:$E$810,4,FALSE)</f>
        <v>%Sft</v>
      </c>
      <c r="E65" s="361">
        <f t="shared" si="17"/>
        <v>617830.24922118383</v>
      </c>
      <c r="F65" s="302" t="str">
        <f t="shared" si="18"/>
        <v>%Sft</v>
      </c>
      <c r="G65" s="361">
        <f>VLOOKUP(B65,BE!$B$5:$H$810,7,FALSE)</f>
        <v>7932940.4000000004</v>
      </c>
      <c r="H65" s="846"/>
      <c r="I65" s="846"/>
      <c r="J65" s="854"/>
      <c r="K65" s="849"/>
      <c r="L65" s="848"/>
      <c r="M65" s="849"/>
      <c r="N65" s="392"/>
      <c r="O65" s="392"/>
      <c r="P65" s="856"/>
    </row>
    <row r="66" spans="1:18" ht="22.25" customHeight="1">
      <c r="A66" s="302">
        <v>34</v>
      </c>
      <c r="B66" s="837" t="str">
        <f>BE!B765</f>
        <v>Golden-Silver Flag Stone Work</v>
      </c>
      <c r="C66" s="329">
        <f>VLOOKUP(B66,BE!$B$5:$C$810,2,FALSE)</f>
        <v>142</v>
      </c>
      <c r="D66" s="329" t="str">
        <f>VLOOKUP(B66,BE!$B$5:$E$810,4,FALSE)</f>
        <v>Sft</v>
      </c>
      <c r="E66" s="361">
        <f t="shared" si="17"/>
        <v>11260.03661971831</v>
      </c>
      <c r="F66" s="302" t="str">
        <f t="shared" si="18"/>
        <v>Sft</v>
      </c>
      <c r="G66" s="361">
        <f>VLOOKUP(B66,BE!$B$5:$H$810,7,FALSE)</f>
        <v>1598925.2</v>
      </c>
      <c r="H66" s="846"/>
      <c r="I66" s="846"/>
      <c r="J66" s="854"/>
      <c r="K66" s="849"/>
      <c r="L66" s="848"/>
      <c r="M66" s="849"/>
      <c r="N66" s="392"/>
      <c r="O66" s="392"/>
      <c r="P66" s="856"/>
    </row>
    <row r="67" spans="1:18" ht="22.25" hidden="1" customHeight="1">
      <c r="A67" s="302">
        <v>35</v>
      </c>
      <c r="B67" s="837" t="str">
        <f>BE!B777</f>
        <v>Parquet Flooring Work</v>
      </c>
      <c r="C67" s="329">
        <f>VLOOKUP(B67,BE!$B$5:$C$810,2,FALSE)</f>
        <v>0</v>
      </c>
      <c r="D67" s="329" t="str">
        <f>VLOOKUP(B67,BE!$B$5:$E$810,4,FALSE)</f>
        <v>%Fs</v>
      </c>
      <c r="E67" s="361" t="e">
        <f t="shared" si="17"/>
        <v>#DIV/0!</v>
      </c>
      <c r="F67" s="302" t="str">
        <f t="shared" si="18"/>
        <v>%Fs</v>
      </c>
      <c r="G67" s="361">
        <f>VLOOKUP(B67,BE!$B$5:$H$810,7,FALSE)</f>
        <v>0</v>
      </c>
      <c r="H67" s="846"/>
      <c r="I67" s="846"/>
      <c r="J67" s="854"/>
      <c r="K67" s="849"/>
      <c r="L67" s="848"/>
      <c r="M67" s="849"/>
      <c r="N67" s="392"/>
      <c r="O67" s="392"/>
      <c r="P67" s="856"/>
    </row>
    <row r="68" spans="1:18" ht="22.25" customHeight="1">
      <c r="A68" s="302">
        <v>35</v>
      </c>
      <c r="B68" s="837" t="str">
        <f>BE!B796</f>
        <v>SPC Flooring Work</v>
      </c>
      <c r="C68" s="329">
        <f>VLOOKUP(B68,BE!$B$5:$C$810,2,FALSE)</f>
        <v>12.24</v>
      </c>
      <c r="D68" s="329" t="str">
        <f>VLOOKUP(B68,BE!$B$5:$E$810,4,FALSE)</f>
        <v>%Fs</v>
      </c>
      <c r="E68" s="361">
        <f>G68/C68</f>
        <v>780000</v>
      </c>
      <c r="F68" s="302" t="str">
        <f>D68</f>
        <v>%Fs</v>
      </c>
      <c r="G68" s="361">
        <f>VLOOKUP(B68,BE!$B$5:$H$810,7,FALSE)</f>
        <v>9547200</v>
      </c>
      <c r="H68" s="846"/>
      <c r="I68" s="846"/>
      <c r="J68" s="854"/>
      <c r="K68" s="849"/>
      <c r="L68" s="848"/>
      <c r="M68" s="849"/>
      <c r="N68" s="392"/>
      <c r="O68" s="392"/>
      <c r="P68" s="856"/>
    </row>
    <row r="69" spans="1:18" ht="22.25" customHeight="1">
      <c r="A69" s="302">
        <v>36</v>
      </c>
      <c r="B69" s="837" t="str">
        <f>BE!B805</f>
        <v>Architrave Work</v>
      </c>
      <c r="C69" s="329">
        <f>VLOOKUP(B69,BE!$B$5:$C$810,2,FALSE)</f>
        <v>45.68</v>
      </c>
      <c r="D69" s="329" t="str">
        <f>VLOOKUP(B69,BE!$B$5:$E$810,4,FALSE)</f>
        <v>Rft</v>
      </c>
      <c r="E69" s="361">
        <f t="shared" si="17"/>
        <v>41996.497373029772</v>
      </c>
      <c r="F69" s="302" t="str">
        <f t="shared" si="18"/>
        <v>Rft</v>
      </c>
      <c r="G69" s="361">
        <f>VLOOKUP(B69,BE!$B$5:$H$810,7,FALSE)</f>
        <v>1918400</v>
      </c>
      <c r="H69" s="846"/>
      <c r="I69" s="846"/>
      <c r="J69" s="854"/>
      <c r="K69" s="849"/>
      <c r="L69" s="848"/>
      <c r="M69" s="849"/>
      <c r="N69" s="392"/>
      <c r="O69" s="392"/>
      <c r="P69" s="856"/>
    </row>
    <row r="70" spans="1:18" ht="22.25" customHeight="1" thickBot="1">
      <c r="A70" s="326"/>
      <c r="B70" s="326"/>
      <c r="C70" s="330"/>
      <c r="D70" s="326"/>
      <c r="E70" s="364"/>
      <c r="F70" s="326"/>
      <c r="G70" s="363"/>
      <c r="H70" s="846">
        <f>G70*1.3</f>
        <v>0</v>
      </c>
      <c r="I70" s="846">
        <f>ROUNDUP(H70,-4)</f>
        <v>0</v>
      </c>
      <c r="J70" s="854"/>
      <c r="K70" s="849">
        <f>I70</f>
        <v>0</v>
      </c>
      <c r="L70" s="848">
        <f>K70-J70</f>
        <v>0</v>
      </c>
      <c r="M70" s="849"/>
      <c r="N70" s="392"/>
      <c r="O70" s="392">
        <f>G70-N70</f>
        <v>0</v>
      </c>
      <c r="P70" s="856">
        <f>G70/$G$71</f>
        <v>0</v>
      </c>
    </row>
    <row r="71" spans="1:18" ht="24.65" customHeight="1" thickBot="1">
      <c r="A71" s="559"/>
      <c r="B71" s="1100" t="s">
        <v>320</v>
      </c>
      <c r="C71" s="1101"/>
      <c r="D71" s="1101"/>
      <c r="E71" s="1101"/>
      <c r="F71" s="560"/>
      <c r="G71" s="561">
        <f t="shared" ref="G71:M71" si="19">SUM(G5:G70)</f>
        <v>258848126.39319527</v>
      </c>
      <c r="H71" s="396">
        <f t="shared" si="19"/>
        <v>187860080.82999581</v>
      </c>
      <c r="I71" s="396">
        <f t="shared" si="19"/>
        <v>188010000</v>
      </c>
      <c r="J71" s="855">
        <f t="shared" si="19"/>
        <v>129144000</v>
      </c>
      <c r="K71" s="850">
        <f t="shared" si="19"/>
        <v>176724000</v>
      </c>
      <c r="L71" s="850">
        <f t="shared" si="19"/>
        <v>37650000</v>
      </c>
      <c r="M71" s="850">
        <f t="shared" si="19"/>
        <v>-9810000</v>
      </c>
      <c r="N71" s="398">
        <f>BE!H811</f>
        <v>258848126.39319527</v>
      </c>
      <c r="O71" s="399">
        <f>N71-G71</f>
        <v>0</v>
      </c>
      <c r="P71" s="400"/>
    </row>
    <row r="72" spans="1:18" ht="24.65" customHeight="1" thickBot="1">
      <c r="A72" s="559"/>
      <c r="B72" s="1100" t="s">
        <v>529</v>
      </c>
      <c r="C72" s="1101"/>
      <c r="D72" s="1101"/>
      <c r="E72" s="1101"/>
      <c r="F72" s="902">
        <v>0.03</v>
      </c>
      <c r="G72" s="561">
        <f>G71*F72</f>
        <v>7765443.7917958582</v>
      </c>
      <c r="H72" s="396">
        <f t="shared" ref="H72:M73" si="20">SUM(H6:H71)</f>
        <v>375544897.9999916</v>
      </c>
      <c r="I72" s="396">
        <f t="shared" si="20"/>
        <v>375840000</v>
      </c>
      <c r="J72" s="855">
        <f t="shared" si="20"/>
        <v>258178000</v>
      </c>
      <c r="K72" s="850">
        <f t="shared" si="20"/>
        <v>353268000</v>
      </c>
      <c r="L72" s="850">
        <f t="shared" si="20"/>
        <v>75300000</v>
      </c>
      <c r="M72" s="850">
        <f t="shared" si="20"/>
        <v>-19620000</v>
      </c>
      <c r="N72" s="398"/>
      <c r="O72" s="399"/>
      <c r="P72" s="400"/>
    </row>
    <row r="73" spans="1:18" ht="24.65" customHeight="1" thickBot="1">
      <c r="A73" s="559"/>
      <c r="B73" s="1100" t="s">
        <v>649</v>
      </c>
      <c r="C73" s="1101"/>
      <c r="D73" s="1101"/>
      <c r="E73" s="1101"/>
      <c r="F73" s="902">
        <v>0.05</v>
      </c>
      <c r="G73" s="561">
        <f>(G71+G72)*F73</f>
        <v>13330678.509249557</v>
      </c>
      <c r="H73" s="396">
        <f t="shared" si="20"/>
        <v>750963724.72998321</v>
      </c>
      <c r="I73" s="396">
        <f t="shared" si="20"/>
        <v>751550000</v>
      </c>
      <c r="J73" s="855">
        <f t="shared" si="20"/>
        <v>516276000</v>
      </c>
      <c r="K73" s="850">
        <f t="shared" si="20"/>
        <v>706406000</v>
      </c>
      <c r="L73" s="850">
        <f t="shared" si="20"/>
        <v>150600000</v>
      </c>
      <c r="M73" s="850">
        <f t="shared" si="20"/>
        <v>-39240000</v>
      </c>
      <c r="N73" s="398"/>
      <c r="O73" s="399"/>
      <c r="P73" s="400"/>
    </row>
    <row r="74" spans="1:18" ht="24.65" customHeight="1" thickBot="1">
      <c r="A74" s="559"/>
      <c r="B74" s="1100" t="s">
        <v>530</v>
      </c>
      <c r="C74" s="1101"/>
      <c r="D74" s="1101"/>
      <c r="E74" s="1101"/>
      <c r="F74" s="902">
        <v>0.1</v>
      </c>
      <c r="G74" s="561">
        <f>(G73+G72+G71)*F74</f>
        <v>27994424.869424071</v>
      </c>
      <c r="H74" s="396">
        <f t="shared" ref="H74:M75" si="21">SUM(H9:H73)</f>
        <v>1498752317.4999664</v>
      </c>
      <c r="I74" s="396">
        <f t="shared" si="21"/>
        <v>1499920000</v>
      </c>
      <c r="J74" s="855">
        <f t="shared" si="21"/>
        <v>1031022000</v>
      </c>
      <c r="K74" s="850">
        <f t="shared" si="21"/>
        <v>1409632000</v>
      </c>
      <c r="L74" s="850">
        <f t="shared" si="21"/>
        <v>299550000</v>
      </c>
      <c r="M74" s="850">
        <f t="shared" si="21"/>
        <v>-78480000</v>
      </c>
      <c r="N74" s="398"/>
      <c r="O74" s="399"/>
      <c r="P74" s="400"/>
    </row>
    <row r="75" spans="1:18" ht="24.65" customHeight="1" thickBot="1">
      <c r="A75" s="559"/>
      <c r="B75" s="1100" t="s">
        <v>658</v>
      </c>
      <c r="C75" s="1101"/>
      <c r="D75" s="1101"/>
      <c r="E75" s="1101"/>
      <c r="F75" s="902"/>
      <c r="G75" s="561">
        <f>SUM(G71:G74)</f>
        <v>307938673.56366473</v>
      </c>
      <c r="H75" s="396">
        <f t="shared" si="21"/>
        <v>2994691481.1499329</v>
      </c>
      <c r="I75" s="396">
        <f t="shared" si="21"/>
        <v>2997020000</v>
      </c>
      <c r="J75" s="855">
        <f t="shared" si="21"/>
        <v>2058734000</v>
      </c>
      <c r="K75" s="850">
        <f t="shared" si="21"/>
        <v>2816444000</v>
      </c>
      <c r="L75" s="850">
        <f t="shared" si="21"/>
        <v>599590000</v>
      </c>
      <c r="M75" s="850">
        <f t="shared" si="21"/>
        <v>-156960000</v>
      </c>
      <c r="N75" s="398">
        <f>BQ!G126</f>
        <v>307938673.56366473</v>
      </c>
      <c r="O75" s="399">
        <f>G75-N75</f>
        <v>0</v>
      </c>
      <c r="P75" s="400"/>
    </row>
    <row r="76" spans="1:18" ht="24" customHeight="1">
      <c r="R76" s="400"/>
    </row>
    <row r="77" spans="1:18" ht="25.25" customHeight="1">
      <c r="P77" s="400"/>
    </row>
  </sheetData>
  <mergeCells count="8">
    <mergeCell ref="B74:E74"/>
    <mergeCell ref="B75:E75"/>
    <mergeCell ref="B71:E71"/>
    <mergeCell ref="A1:M1"/>
    <mergeCell ref="A2:M2"/>
    <mergeCell ref="A3:M3"/>
    <mergeCell ref="B72:E72"/>
    <mergeCell ref="B73:E73"/>
  </mergeCells>
  <printOptions horizontalCentered="1"/>
  <pageMargins left="0.5" right="0" top="0.5" bottom="0" header="0" footer="0"/>
  <pageSetup paperSize="9" scale="80" orientation="portrait" horizontalDpi="360" verticalDpi="360" r:id="rId1"/>
  <headerFooter>
    <oddHeader>Page &amp;P of &amp;N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5736-3292-4323-887D-03F30B95770F}">
  <dimension ref="A1:K198"/>
  <sheetViews>
    <sheetView view="pageBreakPreview" topLeftCell="A113" zoomScaleNormal="100" zoomScaleSheetLayoutView="100" workbookViewId="0">
      <selection activeCell="E115" sqref="E115"/>
    </sheetView>
  </sheetViews>
  <sheetFormatPr defaultColWidth="9.36328125" defaultRowHeight="15.5"/>
  <cols>
    <col min="1" max="1" width="5.54296875" style="409" customWidth="1"/>
    <col min="2" max="2" width="36.36328125" style="415" customWidth="1"/>
    <col min="3" max="3" width="12.36328125" style="416" customWidth="1"/>
    <col min="4" max="4" width="7.90625" style="409" customWidth="1"/>
    <col min="5" max="5" width="15.54296875" style="417" customWidth="1"/>
    <col min="6" max="6" width="7.90625" style="409" customWidth="1"/>
    <col min="7" max="7" width="17.36328125" style="417" customWidth="1"/>
    <col min="8" max="8" width="12.90625" style="418" customWidth="1"/>
    <col min="9" max="9" width="15.453125" style="409" bestFit="1" customWidth="1"/>
    <col min="10" max="11" width="14.36328125" style="409" bestFit="1" customWidth="1"/>
    <col min="12" max="16384" width="9.36328125" style="409"/>
  </cols>
  <sheetData>
    <row r="1" spans="1:10" s="420" customFormat="1" ht="27.75" customHeight="1">
      <c r="A1" s="1105" t="str">
        <f>Detail!A1</f>
        <v>One Storeyed RCC Building, Myat Lay Street</v>
      </c>
      <c r="B1" s="1105"/>
      <c r="C1" s="1105"/>
      <c r="D1" s="1105"/>
      <c r="E1" s="1105"/>
      <c r="F1" s="1105"/>
      <c r="G1" s="1105"/>
      <c r="H1" s="1105"/>
    </row>
    <row r="2" spans="1:10" s="420" customFormat="1" ht="27.75" customHeight="1">
      <c r="A2" s="1105" t="str">
        <f>Detail!A2</f>
        <v>35'-0"x45'-0"x13'-0" Ht;</v>
      </c>
      <c r="B2" s="1105"/>
      <c r="C2" s="1105"/>
      <c r="D2" s="1105"/>
      <c r="E2" s="1105"/>
      <c r="F2" s="1105"/>
      <c r="G2" s="1105"/>
      <c r="H2" s="1105"/>
    </row>
    <row r="3" spans="1:10" ht="27.75" customHeight="1" thickBot="1">
      <c r="A3" s="1106" t="s">
        <v>663</v>
      </c>
      <c r="B3" s="1106"/>
      <c r="C3" s="1106"/>
      <c r="D3" s="1106"/>
      <c r="E3" s="1106"/>
      <c r="F3" s="1106"/>
      <c r="G3" s="1106"/>
      <c r="H3" s="1106"/>
    </row>
    <row r="4" spans="1:10" ht="45.65" customHeight="1" thickBot="1">
      <c r="A4" s="591" t="s">
        <v>317</v>
      </c>
      <c r="B4" s="583" t="s">
        <v>31</v>
      </c>
      <c r="C4" s="584" t="s">
        <v>32</v>
      </c>
      <c r="D4" s="583" t="s">
        <v>0</v>
      </c>
      <c r="E4" s="592" t="s">
        <v>215</v>
      </c>
      <c r="F4" s="583" t="s">
        <v>34</v>
      </c>
      <c r="G4" s="593" t="s">
        <v>78</v>
      </c>
      <c r="H4" s="592" t="s">
        <v>308</v>
      </c>
    </row>
    <row r="5" spans="1:10" s="411" customFormat="1" ht="34.75" customHeight="1">
      <c r="A5" s="321"/>
      <c r="B5" s="319" t="s">
        <v>309</v>
      </c>
      <c r="C5" s="320"/>
      <c r="D5" s="318"/>
      <c r="E5" s="356"/>
      <c r="F5" s="318"/>
      <c r="G5" s="356"/>
      <c r="H5" s="590"/>
      <c r="I5" s="859" t="e">
        <f>G6-I6</f>
        <v>#REF!</v>
      </c>
    </row>
    <row r="6" spans="1:10" s="411" customFormat="1" ht="22.25" customHeight="1">
      <c r="A6" s="300">
        <v>1</v>
      </c>
      <c r="B6" s="304" t="s">
        <v>14</v>
      </c>
      <c r="C6" s="301">
        <f>SUMIF(BE!$B$5:$B$810,B6,BE!$C$5:$C$810)</f>
        <v>953.34</v>
      </c>
      <c r="D6" s="329" t="str">
        <f>VLOOKUP(B6,BE!$B$5:$E$810,4,FALSE)</f>
        <v>Bags</v>
      </c>
      <c r="E6" s="301">
        <f>VLOOKUP(B6,'M&amp;L Rate'!$B$7:$J$159,4,FALSE)</f>
        <v>18600</v>
      </c>
      <c r="F6" s="329" t="str">
        <f>D6</f>
        <v>Bags</v>
      </c>
      <c r="G6" s="352">
        <f t="shared" ref="G6:G24" si="0">E6*C6</f>
        <v>17732124</v>
      </c>
      <c r="H6" s="677" t="s">
        <v>424</v>
      </c>
      <c r="I6" s="816" t="e">
        <f>BE!H159+BE!#REF!+BE!H188+BE!H202+BE!H231+BE!H245+BE!#REF!+BE!#REF!+BE!#REF!+BE!#REF!+BE!#REF!+BE!H260+BE!#REF!+BE!#REF!+BE!#REF!+BE!#REF!+BE!H437+BE!H450+BE!H462+BE!H489</f>
        <v>#REF!</v>
      </c>
    </row>
    <row r="7" spans="1:10" s="411" customFormat="1" ht="22.25" customHeight="1">
      <c r="A7" s="300">
        <v>2</v>
      </c>
      <c r="B7" s="304" t="s">
        <v>16</v>
      </c>
      <c r="C7" s="301">
        <f>SUMIF(BE!$B$5:$B$810,B7,BE!$C$5:$C$810)</f>
        <v>82.429999999999993</v>
      </c>
      <c r="D7" s="329" t="str">
        <f>VLOOKUP(B7,BE!$B$5:$E$810,4,FALSE)</f>
        <v>Sud</v>
      </c>
      <c r="E7" s="301">
        <f>VLOOKUP(B7,'M&amp;L Rate'!$B$7:$J$159,4,FALSE)</f>
        <v>30000</v>
      </c>
      <c r="F7" s="329" t="str">
        <f t="shared" ref="F7:F24" si="1">D7</f>
        <v>Sud</v>
      </c>
      <c r="G7" s="352">
        <f t="shared" si="0"/>
        <v>2472900</v>
      </c>
      <c r="H7" s="677" t="s">
        <v>582</v>
      </c>
    </row>
    <row r="8" spans="1:10" s="411" customFormat="1" ht="22.25" customHeight="1">
      <c r="A8" s="300">
        <v>3</v>
      </c>
      <c r="B8" s="304" t="s">
        <v>303</v>
      </c>
      <c r="C8" s="301">
        <f>SUMIF(BE!$B$5:$B$810,B8,BE!$C$5:$C$810)</f>
        <v>31.1</v>
      </c>
      <c r="D8" s="329" t="str">
        <f>VLOOKUP(B8,BE!$B$5:$E$810,4,FALSE)</f>
        <v>Sud</v>
      </c>
      <c r="E8" s="301">
        <f>VLOOKUP(B8,'M&amp;L Rate'!$B$7:$J$159,4,FALSE)</f>
        <v>110000</v>
      </c>
      <c r="F8" s="329" t="str">
        <f t="shared" si="1"/>
        <v>Sud</v>
      </c>
      <c r="G8" s="352">
        <f t="shared" si="0"/>
        <v>3421000</v>
      </c>
      <c r="H8" s="677" t="s">
        <v>583</v>
      </c>
      <c r="J8" s="858" t="e">
        <f>#REF!+#REF!+#REF!+#REF!</f>
        <v>#REF!</v>
      </c>
    </row>
    <row r="9" spans="1:10" s="411" customFormat="1" ht="22.25" customHeight="1">
      <c r="A9" s="300">
        <v>4</v>
      </c>
      <c r="B9" s="304" t="s">
        <v>537</v>
      </c>
      <c r="C9" s="301">
        <f>SUMIF(BE!$B$5:$B$810,B9,BE!$C$5:$C$810)</f>
        <v>2.34</v>
      </c>
      <c r="D9" s="329" t="str">
        <f>VLOOKUP(B9,BE!$B$5:$E$810,4,FALSE)</f>
        <v>Sud</v>
      </c>
      <c r="E9" s="301">
        <f>VLOOKUP(B9,'M&amp;L Rate'!$B$7:$J$159,4,FALSE)</f>
        <v>230000</v>
      </c>
      <c r="F9" s="329" t="str">
        <f t="shared" si="1"/>
        <v>Sud</v>
      </c>
      <c r="G9" s="352">
        <f t="shared" si="0"/>
        <v>538200</v>
      </c>
      <c r="H9" s="677" t="s">
        <v>584</v>
      </c>
      <c r="J9" s="858" t="e">
        <f>#REF!</f>
        <v>#REF!</v>
      </c>
    </row>
    <row r="10" spans="1:10" s="411" customFormat="1" ht="22.25" customHeight="1">
      <c r="A10" s="300">
        <v>5</v>
      </c>
      <c r="B10" s="304" t="s">
        <v>535</v>
      </c>
      <c r="C10" s="301">
        <f>SUMIF(BE!$B$5:$B$810,B10,BE!$C$5:$C$810)</f>
        <v>62.44</v>
      </c>
      <c r="D10" s="329" t="str">
        <f>VLOOKUP(B10,BE!$B$5:$E$810,4,FALSE)</f>
        <v>Gal</v>
      </c>
      <c r="E10" s="301">
        <f>VLOOKUP(B10,'M&amp;L Rate'!$B$7:$J$159,4,FALSE)</f>
        <v>18800</v>
      </c>
      <c r="F10" s="329" t="str">
        <f t="shared" si="1"/>
        <v>Gal</v>
      </c>
      <c r="G10" s="352">
        <f>E10*C10</f>
        <v>1173872</v>
      </c>
      <c r="H10" s="677" t="s">
        <v>585</v>
      </c>
      <c r="J10" s="858" t="e">
        <f>#REF!</f>
        <v>#REF!</v>
      </c>
    </row>
    <row r="11" spans="1:10" s="411" customFormat="1" ht="22.25" customHeight="1">
      <c r="A11" s="300">
        <v>6</v>
      </c>
      <c r="B11" s="304" t="s">
        <v>26</v>
      </c>
      <c r="C11" s="301">
        <f>SUMIF(BE!$B$5:$B$810,B11,BE!$C$5:$C$810)</f>
        <v>9.9039999999999999</v>
      </c>
      <c r="D11" s="329" t="str">
        <f>VLOOKUP(B11,BE!$B$5:$E$810,4,FALSE)</f>
        <v>Ton</v>
      </c>
      <c r="E11" s="301">
        <f>VLOOKUP(B11,'M&amp;L Rate'!$B$7:$J$159,4,FALSE)</f>
        <v>1250000</v>
      </c>
      <c r="F11" s="329" t="str">
        <f t="shared" si="1"/>
        <v>Ton</v>
      </c>
      <c r="G11" s="352">
        <f t="shared" si="0"/>
        <v>12380000</v>
      </c>
      <c r="H11" s="677" t="s">
        <v>586</v>
      </c>
      <c r="I11" s="413">
        <f>G11+G12</f>
        <v>18270530</v>
      </c>
      <c r="J11" s="858">
        <f>I11*40%</f>
        <v>7308212</v>
      </c>
    </row>
    <row r="12" spans="1:10" s="411" customFormat="1" ht="22.25" customHeight="1">
      <c r="A12" s="300">
        <v>7</v>
      </c>
      <c r="B12" s="304" t="s">
        <v>27</v>
      </c>
      <c r="C12" s="301">
        <f>SUMIF(BE!$B$5:$B$810,B12,BE!$C$5:$C$810)</f>
        <v>85.36999999999999</v>
      </c>
      <c r="D12" s="329" t="str">
        <f>VLOOKUP(B12,BE!$B$5:$E$810,4,FALSE)</f>
        <v>Sheet</v>
      </c>
      <c r="E12" s="301">
        <f>VLOOKUP(B12,'M&amp;L Rate'!$B$7:$J$159,4,FALSE)</f>
        <v>69000</v>
      </c>
      <c r="F12" s="329" t="str">
        <f t="shared" si="1"/>
        <v>Sheet</v>
      </c>
      <c r="G12" s="352">
        <f t="shared" si="0"/>
        <v>5890529.9999999991</v>
      </c>
      <c r="H12" s="677" t="s">
        <v>587</v>
      </c>
    </row>
    <row r="13" spans="1:10" s="411" customFormat="1" ht="22.25" customHeight="1">
      <c r="A13" s="300">
        <v>8</v>
      </c>
      <c r="B13" s="304" t="s">
        <v>21</v>
      </c>
      <c r="C13" s="301">
        <f>SUMIF(BE!$B$5:$B$810,B13,BE!$C$5:$C$810)</f>
        <v>101.61</v>
      </c>
      <c r="D13" s="329" t="str">
        <f>VLOOKUP(B13,BE!$B$5:$E$810,4,FALSE)</f>
        <v>viss</v>
      </c>
      <c r="E13" s="301">
        <f>VLOOKUP(B13,'M&amp;L Rate'!$B$7:$J$159,4,FALSE)</f>
        <v>11600</v>
      </c>
      <c r="F13" s="329" t="str">
        <f t="shared" si="1"/>
        <v>viss</v>
      </c>
      <c r="G13" s="352">
        <f t="shared" si="0"/>
        <v>1178676</v>
      </c>
      <c r="H13" s="677" t="s">
        <v>588</v>
      </c>
    </row>
    <row r="14" spans="1:10" s="411" customFormat="1" ht="22.25" customHeight="1">
      <c r="A14" s="300">
        <v>9</v>
      </c>
      <c r="B14" s="303" t="s">
        <v>24</v>
      </c>
      <c r="C14" s="301">
        <f>SUMIF(BE!$B$5:$B$810,B14,BE!$C$5:$C$810)</f>
        <v>38256</v>
      </c>
      <c r="D14" s="329" t="str">
        <f>VLOOKUP(B14,BE!$B$5:$E$810,4,FALSE)</f>
        <v>Nos</v>
      </c>
      <c r="E14" s="301">
        <f>VLOOKUP(B14,'M&amp;L Rate'!$B$7:$J$159,4,FALSE)</f>
        <v>380</v>
      </c>
      <c r="F14" s="329" t="str">
        <f t="shared" si="1"/>
        <v>Nos</v>
      </c>
      <c r="G14" s="352">
        <f t="shared" si="0"/>
        <v>14537280</v>
      </c>
      <c r="H14" s="865"/>
      <c r="I14" s="864">
        <f>500/550</f>
        <v>0.90909090909090906</v>
      </c>
    </row>
    <row r="15" spans="1:10" s="411" customFormat="1" ht="22.25" customHeight="1">
      <c r="A15" s="300">
        <v>10</v>
      </c>
      <c r="B15" s="303" t="s">
        <v>409</v>
      </c>
      <c r="C15" s="301">
        <f>SUMIF(BE!$B$5:$B$810,B15,BE!$C$5:$C$810)</f>
        <v>3977.03</v>
      </c>
      <c r="D15" s="329" t="str">
        <f>VLOOKUP(B15,BE!$B$5:$E$810,4,FALSE)</f>
        <v>Rft</v>
      </c>
      <c r="E15" s="301">
        <f>VLOOKUP(B15,'M&amp;L Rate'!$B$7:$J$159,4,FALSE)</f>
        <v>65</v>
      </c>
      <c r="F15" s="329" t="str">
        <f>D15</f>
        <v>Rft</v>
      </c>
      <c r="G15" s="352">
        <f>E15*C15</f>
        <v>258506.95</v>
      </c>
      <c r="H15" s="677" t="s">
        <v>589</v>
      </c>
    </row>
    <row r="16" spans="1:10" s="411" customFormat="1" ht="22.25" customHeight="1">
      <c r="A16" s="300">
        <v>11</v>
      </c>
      <c r="B16" s="303" t="s">
        <v>571</v>
      </c>
      <c r="C16" s="301">
        <f>SUMIF(BE!$B$5:$B$810,B16,BE!$C$5:$C$810)</f>
        <v>63.51</v>
      </c>
      <c r="D16" s="329" t="str">
        <f>VLOOKUP(B16,BE!$B$5:$E$810,4,FALSE)</f>
        <v>Lit</v>
      </c>
      <c r="E16" s="301">
        <f>VLOOKUP(B16,'M&amp;L Rate'!$B$7:$J$159,4,FALSE)</f>
        <v>8500</v>
      </c>
      <c r="F16" s="329" t="str">
        <f>D16</f>
        <v>Lit</v>
      </c>
      <c r="G16" s="352">
        <f>E16*C16</f>
        <v>539835</v>
      </c>
      <c r="H16" s="677" t="s">
        <v>590</v>
      </c>
    </row>
    <row r="17" spans="1:11" s="411" customFormat="1" ht="22.25" customHeight="1">
      <c r="A17" s="300">
        <v>12</v>
      </c>
      <c r="B17" s="303" t="s">
        <v>573</v>
      </c>
      <c r="C17" s="301">
        <f>SUMIF(BE!$B$5:$B$810,B17,BE!$C$5:$C$810)</f>
        <v>3</v>
      </c>
      <c r="D17" s="329" t="str">
        <f>VLOOKUP(B17,BE!$B$5:$E$810,4,FALSE)</f>
        <v>Lit</v>
      </c>
      <c r="E17" s="301">
        <f>VLOOKUP(B17,'M&amp;L Rate'!$B$7:$J$159,4,FALSE)</f>
        <v>17000</v>
      </c>
      <c r="F17" s="329" t="str">
        <f>D17</f>
        <v>Lit</v>
      </c>
      <c r="G17" s="352">
        <f>E17*C17</f>
        <v>51000</v>
      </c>
      <c r="H17" s="677" t="s">
        <v>591</v>
      </c>
    </row>
    <row r="18" spans="1:11" s="411" customFormat="1" ht="22.25" customHeight="1">
      <c r="A18" s="300">
        <v>13</v>
      </c>
      <c r="B18" s="303" t="s">
        <v>565</v>
      </c>
      <c r="C18" s="301">
        <f>SUMIF(BE!$B$5:$B$810,B18,BE!$C$5:$C$810)</f>
        <v>297.45999999999998</v>
      </c>
      <c r="D18" s="329" t="str">
        <f>VLOOKUP(B18,BE!$B$5:$E$810,4,FALSE)</f>
        <v>Rft</v>
      </c>
      <c r="E18" s="301">
        <f>VLOOKUP(B18,'M&amp;L Rate'!$B$7:$J$159,4,FALSE)</f>
        <v>1200</v>
      </c>
      <c r="F18" s="329" t="str">
        <f>D18</f>
        <v>Rft</v>
      </c>
      <c r="G18" s="352">
        <f>E18*C18</f>
        <v>356952</v>
      </c>
      <c r="H18" s="677" t="s">
        <v>592</v>
      </c>
      <c r="K18" s="411" t="e">
        <f>#REF!/3.6</f>
        <v>#REF!</v>
      </c>
    </row>
    <row r="19" spans="1:11" s="411" customFormat="1" ht="22.25" customHeight="1">
      <c r="A19" s="300">
        <v>14</v>
      </c>
      <c r="B19" s="303" t="str">
        <f>BE!B502</f>
        <v>Plaster Fibre Mesh</v>
      </c>
      <c r="C19" s="301">
        <f>SUMIF(BE!$B$5:$B$810,B19,BE!$C$5:$C$810)</f>
        <v>6</v>
      </c>
      <c r="D19" s="329" t="str">
        <f>VLOOKUP(B19,BE!$B$5:$E$810,4,FALSE)</f>
        <v>Coil</v>
      </c>
      <c r="E19" s="301">
        <f>VLOOKUP(B19,'M&amp;L Rate'!$B$7:$J$159,4,FALSE)</f>
        <v>100000</v>
      </c>
      <c r="F19" s="329" t="str">
        <f>D19</f>
        <v>Coil</v>
      </c>
      <c r="G19" s="352">
        <f>E19*C19</f>
        <v>600000</v>
      </c>
      <c r="H19" s="677"/>
      <c r="K19" s="411" t="e">
        <f>K18/30</f>
        <v>#REF!</v>
      </c>
    </row>
    <row r="20" spans="1:11" s="411" customFormat="1" ht="22.25" customHeight="1">
      <c r="A20" s="300">
        <v>15</v>
      </c>
      <c r="B20" s="421" t="str">
        <f>BE!B319</f>
        <v>Ø16mm (1.58 Kg/m)(⅝")</v>
      </c>
      <c r="C20" s="301">
        <f>SUMIF(BE!$B$5:$B$810,B20,BE!$C$5:$C$810)</f>
        <v>6.4567644185565225</v>
      </c>
      <c r="D20" s="329" t="str">
        <f>VLOOKUP(B20,BE!$B$5:$E$810,4,FALSE)</f>
        <v>Ton</v>
      </c>
      <c r="E20" s="301">
        <f>VLOOKUP(B20,'M&amp;L Rate'!$B$7:$J$159,4,FALSE)</f>
        <v>2130000</v>
      </c>
      <c r="F20" s="329" t="str">
        <f t="shared" si="1"/>
        <v>Ton</v>
      </c>
      <c r="G20" s="352">
        <f t="shared" si="0"/>
        <v>13752908.211525394</v>
      </c>
      <c r="H20" s="677" t="s">
        <v>593</v>
      </c>
    </row>
    <row r="21" spans="1:11" s="411" customFormat="1" ht="22.25" customHeight="1">
      <c r="A21" s="300">
        <v>16</v>
      </c>
      <c r="B21" s="421" t="str">
        <f>BE!B320</f>
        <v>Ø12mm (0.89Kg/m)(½")</v>
      </c>
      <c r="C21" s="301">
        <f>SUMIF(BE!$B$5:$B$810,B21,BE!$C$5:$C$810)</f>
        <v>0.17745233119983744</v>
      </c>
      <c r="D21" s="329" t="str">
        <f>VLOOKUP(B21,BE!$B$5:$E$810,4,FALSE)</f>
        <v>Ton</v>
      </c>
      <c r="E21" s="301">
        <f>VLOOKUP(B21,'M&amp;L Rate'!$B$7:$J$159,4,FALSE)</f>
        <v>1930000</v>
      </c>
      <c r="F21" s="329" t="str">
        <f>D21</f>
        <v>Ton</v>
      </c>
      <c r="G21" s="352">
        <f>E21*C21</f>
        <v>342482.99921568629</v>
      </c>
      <c r="H21" s="677" t="s">
        <v>594</v>
      </c>
    </row>
    <row r="22" spans="1:11" s="411" customFormat="1" ht="22.25" customHeight="1">
      <c r="A22" s="300">
        <v>17</v>
      </c>
      <c r="B22" s="421" t="str">
        <f>BE!B321</f>
        <v>Ø10mm (0.62 Kg/m)(⅜")</v>
      </c>
      <c r="C22" s="301">
        <f>SUMIF(BE!$B$5:$B$810,B22,BE!$C$5:$C$810)</f>
        <v>5.0567239413152567</v>
      </c>
      <c r="D22" s="329" t="str">
        <f>VLOOKUP(B22,BE!$B$5:$E$810,4,FALSE)</f>
        <v>Ton</v>
      </c>
      <c r="E22" s="301">
        <f>VLOOKUP(B22,'M&amp;L Rate'!$B$7:$J$159,4,FALSE)</f>
        <v>1640000</v>
      </c>
      <c r="F22" s="329" t="str">
        <f t="shared" si="1"/>
        <v>Ton</v>
      </c>
      <c r="G22" s="352">
        <f t="shared" si="0"/>
        <v>8293027.2637570212</v>
      </c>
      <c r="H22" s="677" t="s">
        <v>595</v>
      </c>
    </row>
    <row r="23" spans="1:11" s="411" customFormat="1" ht="22.25" customHeight="1">
      <c r="A23" s="300">
        <v>18</v>
      </c>
      <c r="B23" s="421" t="str">
        <f>BE!B406</f>
        <v>Ø6.5mm (0.26 Kg/m)(¼")</v>
      </c>
      <c r="C23" s="301">
        <f>SUMIF(BE!$B$5:$B$810,B23,BE!$C$5:$C$810)</f>
        <v>0.3079879117861537</v>
      </c>
      <c r="D23" s="329" t="str">
        <f>VLOOKUP(B23,BE!$B$5:$E$810,4,FALSE)</f>
        <v>Ton</v>
      </c>
      <c r="E23" s="301">
        <f>VLOOKUP(B23,'M&amp;L Rate'!$B$7:$J$159,4,FALSE)</f>
        <v>3450000</v>
      </c>
      <c r="F23" s="329" t="str">
        <f>D23</f>
        <v>Ton</v>
      </c>
      <c r="G23" s="352">
        <f>E23*C23</f>
        <v>1062558.2956622303</v>
      </c>
      <c r="H23" s="677"/>
    </row>
    <row r="24" spans="1:11" s="411" customFormat="1" ht="22.25" customHeight="1">
      <c r="A24" s="300">
        <v>19</v>
      </c>
      <c r="B24" s="421" t="s">
        <v>20</v>
      </c>
      <c r="C24" s="301">
        <f>SUMIF(BE!$B$5:$B$810,B24,BE!$C$5:$C$810)</f>
        <v>74.780714460320937</v>
      </c>
      <c r="D24" s="329" t="str">
        <f>VLOOKUP(B24,BE!$B$5:$E$810,4,FALSE)</f>
        <v>Viss</v>
      </c>
      <c r="E24" s="301">
        <f>VLOOKUP(B24,'M&amp;L Rate'!$B$7:$J$159,4,FALSE)</f>
        <v>9200</v>
      </c>
      <c r="F24" s="329" t="str">
        <f t="shared" si="1"/>
        <v>Viss</v>
      </c>
      <c r="G24" s="352">
        <f t="shared" si="0"/>
        <v>687982.57303495263</v>
      </c>
      <c r="H24" s="677" t="s">
        <v>596</v>
      </c>
    </row>
    <row r="25" spans="1:11" s="411" customFormat="1" ht="22.25" customHeight="1">
      <c r="A25" s="300">
        <v>20</v>
      </c>
      <c r="B25" s="676" t="s">
        <v>374</v>
      </c>
      <c r="C25" s="301">
        <f>SUMIF(BE!$B$5:$B$810,B25,BE!$C$5:$C$810)</f>
        <v>37</v>
      </c>
      <c r="D25" s="329" t="str">
        <f>VLOOKUP(B25,BE!$B$5:$E$810,4,FALSE)</f>
        <v>Bags</v>
      </c>
      <c r="E25" s="301">
        <f>VLOOKUP(B25,'M&amp;L Rate'!$B$7:$J$159,4,FALSE)</f>
        <v>24000</v>
      </c>
      <c r="F25" s="329" t="str">
        <f t="shared" ref="F25:F34" si="2">D25</f>
        <v>Bags</v>
      </c>
      <c r="G25" s="352">
        <f t="shared" ref="G25:G34" si="3">E25*C25</f>
        <v>888000</v>
      </c>
      <c r="H25" s="677"/>
    </row>
    <row r="26" spans="1:11" s="411" customFormat="1" ht="22.25" customHeight="1">
      <c r="A26" s="300">
        <v>21</v>
      </c>
      <c r="B26" s="676" t="s">
        <v>869</v>
      </c>
      <c r="C26" s="301">
        <f>SUMIF(BE!$B$5:$B$810,B26,BE!$C$5:$C$810)</f>
        <v>28.729999999999997</v>
      </c>
      <c r="D26" s="329" t="str">
        <f>VLOOKUP(B26,BE!$B$5:$E$810,4,FALSE)</f>
        <v>Gal</v>
      </c>
      <c r="E26" s="301">
        <f>VLOOKUP(B26,'M&amp;L Rate'!$B$7:$J$159,4,FALSE)</f>
        <v>130200</v>
      </c>
      <c r="F26" s="329" t="str">
        <f t="shared" si="2"/>
        <v>Gal</v>
      </c>
      <c r="G26" s="352">
        <f t="shared" si="3"/>
        <v>3740645.9999999995</v>
      </c>
      <c r="H26" s="677"/>
    </row>
    <row r="27" spans="1:11" s="411" customFormat="1" ht="22.25" customHeight="1">
      <c r="A27" s="300">
        <v>22</v>
      </c>
      <c r="B27" s="676" t="s">
        <v>73</v>
      </c>
      <c r="C27" s="301">
        <f>SUMIF(BE!$B$5:$B$810,B27,BE!$C$5:$C$810)</f>
        <v>34.379999999999995</v>
      </c>
      <c r="D27" s="329" t="str">
        <f>VLOOKUP(B27,BE!$B$5:$E$810,4,FALSE)</f>
        <v>Doz</v>
      </c>
      <c r="E27" s="301">
        <f>VLOOKUP(B27,'M&amp;L Rate'!$B$7:$J$159,4,FALSE)</f>
        <v>21600</v>
      </c>
      <c r="F27" s="329" t="str">
        <f t="shared" si="2"/>
        <v>Doz</v>
      </c>
      <c r="G27" s="352">
        <f t="shared" si="3"/>
        <v>742607.99999999988</v>
      </c>
      <c r="H27" s="677"/>
    </row>
    <row r="28" spans="1:11" s="411" customFormat="1" ht="22.25" customHeight="1">
      <c r="A28" s="300">
        <v>23</v>
      </c>
      <c r="B28" s="676" t="s">
        <v>155</v>
      </c>
      <c r="C28" s="301">
        <f>SUMIF(BE!$B$5:$B$810,B28,BE!$C$5:$C$810)</f>
        <v>28.729999999999997</v>
      </c>
      <c r="D28" s="329" t="str">
        <f>VLOOKUP(B28,BE!$B$5:$E$810,4,FALSE)</f>
        <v>Nos.</v>
      </c>
      <c r="E28" s="301">
        <f>VLOOKUP(B28,'M&amp;L Rate'!$B$7:$J$159,4,FALSE)</f>
        <v>2000</v>
      </c>
      <c r="F28" s="329" t="str">
        <f t="shared" si="2"/>
        <v>Nos.</v>
      </c>
      <c r="G28" s="352">
        <f t="shared" si="3"/>
        <v>57459.999999999993</v>
      </c>
      <c r="H28" s="677"/>
    </row>
    <row r="29" spans="1:11" s="411" customFormat="1" ht="22.25" customHeight="1">
      <c r="A29" s="300">
        <v>24</v>
      </c>
      <c r="B29" s="421" t="s">
        <v>152</v>
      </c>
      <c r="C29" s="301">
        <f>SUMIF(BE!$B$5:$B$810,B29,BE!$C$5:$C$810)</f>
        <v>46.16</v>
      </c>
      <c r="D29" s="329" t="str">
        <f>VLOOKUP(B29,BE!$B$5:$E$810,4,FALSE)</f>
        <v>Gal</v>
      </c>
      <c r="E29" s="301">
        <f>VLOOKUP(B29,'M&amp;L Rate'!$B$7:$J$159,4,FALSE)</f>
        <v>109000</v>
      </c>
      <c r="F29" s="329" t="str">
        <f t="shared" si="2"/>
        <v>Gal</v>
      </c>
      <c r="G29" s="352">
        <f t="shared" si="3"/>
        <v>5031440</v>
      </c>
      <c r="H29" s="677"/>
    </row>
    <row r="30" spans="1:11" s="411" customFormat="1" ht="22.25" customHeight="1">
      <c r="A30" s="300">
        <v>25</v>
      </c>
      <c r="B30" s="421" t="s">
        <v>72</v>
      </c>
      <c r="C30" s="301">
        <f>SUMIF(BE!$B$5:$B$810,B30,BE!$C$5:$C$810)</f>
        <v>35.03</v>
      </c>
      <c r="D30" s="329" t="str">
        <f>VLOOKUP(B30,BE!$B$5:$E$810,4,FALSE)</f>
        <v>Nos.</v>
      </c>
      <c r="E30" s="301">
        <f>VLOOKUP(B30,'M&amp;L Rate'!$B$7:$J$159,4,FALSE)</f>
        <v>7500</v>
      </c>
      <c r="F30" s="329" t="str">
        <f t="shared" si="2"/>
        <v>Nos.</v>
      </c>
      <c r="G30" s="352">
        <f t="shared" si="3"/>
        <v>262725</v>
      </c>
      <c r="H30" s="677"/>
    </row>
    <row r="31" spans="1:11" s="411" customFormat="1" ht="22.25" customHeight="1">
      <c r="A31" s="300">
        <v>26</v>
      </c>
      <c r="B31" s="421" t="s">
        <v>652</v>
      </c>
      <c r="C31" s="301">
        <f>SUMIF(BE!$B$5:$B$810,B31,BE!$C$5:$C$810)</f>
        <v>185.5</v>
      </c>
      <c r="D31" s="329" t="str">
        <f>VLOOKUP(B31,BE!$B$5:$E$810,4,FALSE)</f>
        <v>Nos.</v>
      </c>
      <c r="E31" s="301">
        <f>VLOOKUP(B31,'M&amp;L Rate'!$B$7:$J$159,4,FALSE)</f>
        <v>90</v>
      </c>
      <c r="F31" s="329" t="str">
        <f t="shared" si="2"/>
        <v>Nos.</v>
      </c>
      <c r="G31" s="352">
        <f t="shared" si="3"/>
        <v>16695</v>
      </c>
      <c r="H31" s="677"/>
    </row>
    <row r="32" spans="1:11" s="411" customFormat="1" ht="22.25" customHeight="1">
      <c r="A32" s="300">
        <v>27</v>
      </c>
      <c r="B32" s="421" t="s">
        <v>656</v>
      </c>
      <c r="C32" s="301">
        <f>SUMIF(BE!$B$5:$B$810,B32,BE!$C$5:$C$810)</f>
        <v>12.37</v>
      </c>
      <c r="D32" s="329" t="str">
        <f>VLOOKUP(B32,BE!$B$5:$E$810,4,FALSE)</f>
        <v>Box</v>
      </c>
      <c r="E32" s="301">
        <f>VLOOKUP(B32,'M&amp;L Rate'!$B$7:$J$159,4,FALSE)</f>
        <v>8500</v>
      </c>
      <c r="F32" s="329" t="str">
        <f t="shared" si="2"/>
        <v>Box</v>
      </c>
      <c r="G32" s="352">
        <f t="shared" si="3"/>
        <v>105145</v>
      </c>
      <c r="H32" s="677"/>
    </row>
    <row r="33" spans="1:9" s="411" customFormat="1" ht="22.25" customHeight="1">
      <c r="A33" s="300">
        <v>28</v>
      </c>
      <c r="B33" s="421" t="s">
        <v>296</v>
      </c>
      <c r="C33" s="301">
        <f>SUMIF(BE!$B$5:$B$810,B33,BE!$C$5:$C$810)</f>
        <v>406.67</v>
      </c>
      <c r="D33" s="329" t="str">
        <f>VLOOKUP(B33,BE!$B$5:$E$810,4,FALSE)</f>
        <v>Nos.</v>
      </c>
      <c r="E33" s="301">
        <f>VLOOKUP(B33,'M&amp;L Rate'!$B$7:$J$159,4,FALSE)</f>
        <v>1750</v>
      </c>
      <c r="F33" s="329" t="str">
        <f t="shared" si="2"/>
        <v>Nos.</v>
      </c>
      <c r="G33" s="352">
        <f t="shared" si="3"/>
        <v>711672.5</v>
      </c>
      <c r="H33" s="677" t="s">
        <v>597</v>
      </c>
    </row>
    <row r="34" spans="1:9" s="411" customFormat="1" ht="22.25" customHeight="1">
      <c r="A34" s="300">
        <v>29</v>
      </c>
      <c r="B34" s="421" t="s">
        <v>51</v>
      </c>
      <c r="C34" s="301">
        <f>SUMIF(BE!$B$5:$B$810,B34,BE!$C$5:$C$810)</f>
        <v>29.23</v>
      </c>
      <c r="D34" s="329" t="str">
        <f>VLOOKUP(B34,BE!$B$5:$E$810,4,FALSE)</f>
        <v>Viss</v>
      </c>
      <c r="E34" s="301">
        <f>VLOOKUP(B34,'M&amp;L Rate'!$B$7:$J$159,4,FALSE)</f>
        <v>16000</v>
      </c>
      <c r="F34" s="329" t="str">
        <f t="shared" si="2"/>
        <v>Viss</v>
      </c>
      <c r="G34" s="352">
        <f t="shared" si="3"/>
        <v>467680</v>
      </c>
      <c r="H34" s="677" t="s">
        <v>598</v>
      </c>
    </row>
    <row r="35" spans="1:9" s="411" customFormat="1" ht="22.25" customHeight="1">
      <c r="A35" s="300">
        <v>30</v>
      </c>
      <c r="B35" s="676" t="s">
        <v>533</v>
      </c>
      <c r="C35" s="301">
        <f>SUMIF(BE!$B$5:$B$810,B35,BE!$C$5:$C$810)</f>
        <v>55</v>
      </c>
      <c r="D35" s="329" t="str">
        <f>VLOOKUP(B35,BE!$B$5:$E$810,4,FALSE)</f>
        <v>Nos.</v>
      </c>
      <c r="E35" s="301">
        <f>VLOOKUP(B35,'M&amp;L Rate'!$B$7:$J$159,4,FALSE)</f>
        <v>61500</v>
      </c>
      <c r="F35" s="329" t="str">
        <f t="shared" ref="F35:F47" si="4">D35</f>
        <v>Nos.</v>
      </c>
      <c r="G35" s="352">
        <f t="shared" ref="G35:G47" si="5">E35*C35</f>
        <v>3382500</v>
      </c>
      <c r="H35" s="677"/>
      <c r="I35" s="413">
        <f>C35/20</f>
        <v>2.75</v>
      </c>
    </row>
    <row r="36" spans="1:9" s="411" customFormat="1" ht="22.25" customHeight="1">
      <c r="A36" s="300">
        <v>31</v>
      </c>
      <c r="B36" s="676" t="s">
        <v>534</v>
      </c>
      <c r="C36" s="301">
        <f>SUMIF(BE!$B$5:$B$810,B36,BE!$C$5:$C$810)</f>
        <v>67</v>
      </c>
      <c r="D36" s="329" t="str">
        <f>VLOOKUP(B36,BE!$B$5:$E$810,4,FALSE)</f>
        <v>Nos.</v>
      </c>
      <c r="E36" s="301">
        <f>VLOOKUP(B36,'M&amp;L Rate'!$B$7:$J$159,4,FALSE)</f>
        <v>45000</v>
      </c>
      <c r="F36" s="329" t="str">
        <f t="shared" si="4"/>
        <v>Nos.</v>
      </c>
      <c r="G36" s="352">
        <f t="shared" si="5"/>
        <v>3015000</v>
      </c>
      <c r="H36" s="677"/>
      <c r="I36" s="413">
        <f>C36/20</f>
        <v>3.35</v>
      </c>
    </row>
    <row r="37" spans="1:9" s="411" customFormat="1" ht="22.25" customHeight="1">
      <c r="A37" s="300">
        <v>32</v>
      </c>
      <c r="B37" s="676" t="s">
        <v>488</v>
      </c>
      <c r="C37" s="301">
        <f>SUMIF(BE!$B$5:$B$810,B37,BE!$C$5:$C$810)</f>
        <v>2</v>
      </c>
      <c r="D37" s="329" t="str">
        <f>VLOOKUP(B37,BE!$B$5:$E$810,4,FALSE)</f>
        <v>Nos.</v>
      </c>
      <c r="E37" s="301">
        <f>VLOOKUP(B37,'M&amp;L Rate'!$B$7:$J$159,4,FALSE)</f>
        <v>57000</v>
      </c>
      <c r="F37" s="329" t="str">
        <f t="shared" si="4"/>
        <v>Nos.</v>
      </c>
      <c r="G37" s="352">
        <f t="shared" si="5"/>
        <v>114000</v>
      </c>
      <c r="H37" s="677"/>
    </row>
    <row r="38" spans="1:9" s="411" customFormat="1" ht="22.25" customHeight="1">
      <c r="A38" s="300">
        <v>33</v>
      </c>
      <c r="B38" s="676" t="s">
        <v>720</v>
      </c>
      <c r="C38" s="301">
        <f>SUMIF(BE!$B$5:$B$810,B38,BE!$C$5:$C$810)</f>
        <v>24</v>
      </c>
      <c r="D38" s="329" t="str">
        <f>VLOOKUP(B38,BE!$B$5:$E$810,4,FALSE)</f>
        <v>Pkt.</v>
      </c>
      <c r="E38" s="301">
        <f>VLOOKUP(B38,'M&amp;L Rate'!$B$7:$J$159,4,FALSE)</f>
        <v>27000</v>
      </c>
      <c r="F38" s="329" t="str">
        <f t="shared" si="4"/>
        <v>Pkt.</v>
      </c>
      <c r="G38" s="352">
        <f t="shared" si="5"/>
        <v>648000</v>
      </c>
      <c r="H38" s="677"/>
    </row>
    <row r="39" spans="1:9" s="411" customFormat="1" ht="22.25" customHeight="1">
      <c r="A39" s="300">
        <v>34</v>
      </c>
      <c r="B39" s="676" t="s">
        <v>721</v>
      </c>
      <c r="C39" s="301">
        <f>SUMIF(BE!$B$5:$B$810,B39,BE!$C$5:$C$810)</f>
        <v>156</v>
      </c>
      <c r="D39" s="329" t="str">
        <f>VLOOKUP(B39,BE!$B$5:$E$810,4,FALSE)</f>
        <v>Nos.</v>
      </c>
      <c r="E39" s="301">
        <f>VLOOKUP(B39,'M&amp;L Rate'!$B$7:$J$159,4,FALSE)</f>
        <v>2000</v>
      </c>
      <c r="F39" s="329" t="str">
        <f t="shared" si="4"/>
        <v>Nos.</v>
      </c>
      <c r="G39" s="352">
        <f t="shared" si="5"/>
        <v>312000</v>
      </c>
      <c r="H39" s="677"/>
    </row>
    <row r="40" spans="1:9" s="411" customFormat="1" ht="22.25" customHeight="1">
      <c r="A40" s="300">
        <v>35</v>
      </c>
      <c r="B40" s="676" t="s">
        <v>942</v>
      </c>
      <c r="C40" s="301">
        <f>SUMIF(BE!$B$5:$B$810,B40,BE!$C$5:$C$810)</f>
        <v>16</v>
      </c>
      <c r="D40" s="329" t="str">
        <f>VLOOKUP(B40,BE!$B$5:$E$810,4,FALSE)</f>
        <v>Nos.</v>
      </c>
      <c r="E40" s="301">
        <f>VLOOKUP(B40,'M&amp;L Rate'!$B$7:$J$159,4,FALSE)</f>
        <v>7400</v>
      </c>
      <c r="F40" s="329" t="str">
        <f>D40</f>
        <v>Nos.</v>
      </c>
      <c r="G40" s="352">
        <f>E40*C40</f>
        <v>118400</v>
      </c>
      <c r="H40" s="677"/>
    </row>
    <row r="41" spans="1:9" s="411" customFormat="1" ht="22.25" customHeight="1">
      <c r="A41" s="300">
        <v>36</v>
      </c>
      <c r="B41" s="676" t="s">
        <v>508</v>
      </c>
      <c r="C41" s="301">
        <f>SUMIF(BE!$B$5:$B$810,B41,BE!$C$5:$C$810)</f>
        <v>6.3</v>
      </c>
      <c r="D41" s="329" t="str">
        <f>VLOOKUP(B41,BE!$B$5:$E$810,4,FALSE)</f>
        <v>Gal</v>
      </c>
      <c r="E41" s="301">
        <f>VLOOKUP(B41,'M&amp;L Rate'!$B$7:$J$159,4,FALSE)</f>
        <v>95000</v>
      </c>
      <c r="F41" s="329" t="str">
        <f t="shared" si="4"/>
        <v>Gal</v>
      </c>
      <c r="G41" s="352">
        <f t="shared" si="5"/>
        <v>598500</v>
      </c>
      <c r="H41" s="677"/>
    </row>
    <row r="42" spans="1:9" s="411" customFormat="1" ht="22.25" customHeight="1">
      <c r="A42" s="300">
        <v>37</v>
      </c>
      <c r="B42" s="676" t="s">
        <v>509</v>
      </c>
      <c r="C42" s="301">
        <f>SUMIF(BE!$B$5:$B$810,B42,BE!$C$5:$C$810)</f>
        <v>6.3</v>
      </c>
      <c r="D42" s="329" t="str">
        <f>VLOOKUP(B42,BE!$B$5:$E$810,4,FALSE)</f>
        <v>Gal</v>
      </c>
      <c r="E42" s="301">
        <f>VLOOKUP(B42,'M&amp;L Rate'!$B$7:$J$159,4,FALSE)</f>
        <v>34000</v>
      </c>
      <c r="F42" s="329" t="str">
        <f t="shared" si="4"/>
        <v>Gal</v>
      </c>
      <c r="G42" s="352">
        <f t="shared" si="5"/>
        <v>214200</v>
      </c>
      <c r="H42" s="677"/>
    </row>
    <row r="43" spans="1:9" s="411" customFormat="1" ht="22.25" customHeight="1">
      <c r="A43" s="300">
        <v>38</v>
      </c>
      <c r="B43" s="676" t="s">
        <v>379</v>
      </c>
      <c r="C43" s="301">
        <f>SUMIF(BE!$B$5:$B$810,B43,BE!$C$5:$C$810)</f>
        <v>1104.5</v>
      </c>
      <c r="D43" s="329" t="str">
        <f>VLOOKUP(B43,BE!$B$5:$E$810,4,FALSE)</f>
        <v>Rft</v>
      </c>
      <c r="E43" s="301">
        <f>VLOOKUP(B43,'M&amp;L Rate'!$B$7:$J$159,4,FALSE)</f>
        <v>4945</v>
      </c>
      <c r="F43" s="329" t="str">
        <f t="shared" si="4"/>
        <v>Rft</v>
      </c>
      <c r="G43" s="352">
        <f t="shared" si="5"/>
        <v>5461752.5</v>
      </c>
      <c r="H43" s="677"/>
    </row>
    <row r="44" spans="1:9" s="411" customFormat="1" ht="22.25" customHeight="1">
      <c r="A44" s="300">
        <v>39</v>
      </c>
      <c r="B44" s="676" t="s">
        <v>380</v>
      </c>
      <c r="C44" s="301">
        <f>SUMIF(BE!$B$5:$B$810,B44,BE!$C$5:$C$810)</f>
        <v>9.1999999999999993</v>
      </c>
      <c r="D44" s="329" t="str">
        <f>VLOOKUP(B44,BE!$B$5:$E$810,4,FALSE)</f>
        <v>Viss</v>
      </c>
      <c r="E44" s="301">
        <f>VLOOKUP(B44,'M&amp;L Rate'!$B$7:$J$159,4,FALSE)</f>
        <v>18500</v>
      </c>
      <c r="F44" s="329" t="str">
        <f t="shared" si="4"/>
        <v>Viss</v>
      </c>
      <c r="G44" s="352">
        <f t="shared" si="5"/>
        <v>170200</v>
      </c>
      <c r="H44" s="677"/>
    </row>
    <row r="45" spans="1:9" s="411" customFormat="1" ht="22.25" customHeight="1">
      <c r="A45" s="300">
        <v>40</v>
      </c>
      <c r="B45" s="676" t="s">
        <v>49</v>
      </c>
      <c r="C45" s="301">
        <f>SUMIF(BE!$B$5:$B$810,B45,BE!$C$5:$C$810)</f>
        <v>9</v>
      </c>
      <c r="D45" s="329" t="str">
        <f>VLOOKUP(B45,BE!$B$5:$E$810,4,FALSE)</f>
        <v>Nos.</v>
      </c>
      <c r="E45" s="301">
        <f>VLOOKUP(B45,'M&amp;L Rate'!$B$7:$J$159,4,FALSE)</f>
        <v>8500</v>
      </c>
      <c r="F45" s="329" t="str">
        <f>D45</f>
        <v>Nos.</v>
      </c>
      <c r="G45" s="352">
        <f>E45*C45</f>
        <v>76500</v>
      </c>
      <c r="H45" s="677"/>
    </row>
    <row r="46" spans="1:9" s="411" customFormat="1" ht="22.25" customHeight="1">
      <c r="A46" s="300">
        <v>41</v>
      </c>
      <c r="B46" s="676" t="s">
        <v>419</v>
      </c>
      <c r="C46" s="301">
        <f>SUMIF(BE!$B$5:$B$810,B46,BE!$C$5:$C$810)</f>
        <v>214.2</v>
      </c>
      <c r="D46" s="329" t="str">
        <f>VLOOKUP(B46,BE!$B$5:$E$810,4,FALSE)</f>
        <v>Rft</v>
      </c>
      <c r="E46" s="301">
        <f>VLOOKUP(B46,'M&amp;L Rate'!$B$7:$J$159,4,FALSE)</f>
        <v>2400</v>
      </c>
      <c r="F46" s="329" t="str">
        <f>D46</f>
        <v>Rft</v>
      </c>
      <c r="G46" s="352">
        <f>E46*C46</f>
        <v>514080</v>
      </c>
      <c r="H46" s="677"/>
      <c r="I46" s="411">
        <f>19*12</f>
        <v>228</v>
      </c>
    </row>
    <row r="47" spans="1:9" s="411" customFormat="1" ht="22.25" customHeight="1">
      <c r="A47" s="300">
        <v>42</v>
      </c>
      <c r="B47" s="676" t="s">
        <v>412</v>
      </c>
      <c r="C47" s="301">
        <f>SUMIF(BE!$B$5:$B$810,B47,BE!$C$5:$C$810)</f>
        <v>205.44</v>
      </c>
      <c r="D47" s="329" t="str">
        <f>VLOOKUP(B47,BE!$B$5:$E$810,4,FALSE)</f>
        <v>Rft</v>
      </c>
      <c r="E47" s="301">
        <f>VLOOKUP(B47,'M&amp;L Rate'!$B$7:$J$159,4,FALSE)</f>
        <v>3100</v>
      </c>
      <c r="F47" s="329" t="str">
        <f t="shared" si="4"/>
        <v>Rft</v>
      </c>
      <c r="G47" s="352">
        <f t="shared" si="5"/>
        <v>636864</v>
      </c>
      <c r="H47" s="677"/>
    </row>
    <row r="48" spans="1:9" s="411" customFormat="1" ht="22.25" customHeight="1">
      <c r="A48" s="300">
        <v>43</v>
      </c>
      <c r="B48" s="676" t="s">
        <v>840</v>
      </c>
      <c r="C48" s="301">
        <f>SUMIF(BE!$B$5:$B$810,B48,BE!$C$5:$C$810)</f>
        <v>24.58</v>
      </c>
      <c r="D48" s="329" t="str">
        <f>VLOOKUP(B48,BE!$B$5:$E$810,4,FALSE)</f>
        <v>Sht</v>
      </c>
      <c r="E48" s="301">
        <f>VLOOKUP(B48,'M&amp;L Rate'!$B$7:$J$159,4,FALSE)</f>
        <v>72500</v>
      </c>
      <c r="F48" s="329" t="str">
        <f t="shared" ref="F48:F55" si="6">D48</f>
        <v>Sht</v>
      </c>
      <c r="G48" s="352">
        <f t="shared" ref="G48:G55" si="7">E48*C48</f>
        <v>1782049.9999999998</v>
      </c>
      <c r="H48" s="677"/>
    </row>
    <row r="49" spans="1:8" s="411" customFormat="1" ht="22.25" customHeight="1">
      <c r="A49" s="300">
        <v>44</v>
      </c>
      <c r="B49" s="676" t="s">
        <v>489</v>
      </c>
      <c r="C49" s="301">
        <f>SUMIF(BE!$B$5:$B$810,B49,BE!$C$5:$C$810)</f>
        <v>56.6</v>
      </c>
      <c r="D49" s="329" t="str">
        <f>VLOOKUP(B49,BE!$B$5:$E$810,4,FALSE)</f>
        <v>Sht</v>
      </c>
      <c r="E49" s="301">
        <f>VLOOKUP(B49,'M&amp;L Rate'!$B$7:$J$159,4,FALSE)</f>
        <v>40000</v>
      </c>
      <c r="F49" s="329" t="str">
        <f t="shared" si="6"/>
        <v>Sht</v>
      </c>
      <c r="G49" s="352">
        <f t="shared" si="7"/>
        <v>2264000</v>
      </c>
      <c r="H49" s="677"/>
    </row>
    <row r="50" spans="1:8" s="411" customFormat="1" ht="22.25" customHeight="1">
      <c r="A50" s="300">
        <v>45</v>
      </c>
      <c r="B50" s="676" t="s">
        <v>842</v>
      </c>
      <c r="C50" s="301">
        <f>SUMIF(BE!$B$5:$B$810,B50,BE!$C$5:$C$810)</f>
        <v>80</v>
      </c>
      <c r="D50" s="329" t="str">
        <f>VLOOKUP(B50,BE!$B$5:$E$810,4,FALSE)</f>
        <v>Nos.</v>
      </c>
      <c r="E50" s="301">
        <f>VLOOKUP(B50,'M&amp;L Rate'!$B$7:$J$159,4,FALSE)</f>
        <v>1550</v>
      </c>
      <c r="F50" s="329" t="str">
        <f t="shared" si="6"/>
        <v>Nos.</v>
      </c>
      <c r="G50" s="352">
        <f t="shared" si="7"/>
        <v>124000</v>
      </c>
      <c r="H50" s="677"/>
    </row>
    <row r="51" spans="1:8" s="411" customFormat="1" ht="22.25" customHeight="1">
      <c r="A51" s="300">
        <v>46</v>
      </c>
      <c r="B51" s="676" t="s">
        <v>843</v>
      </c>
      <c r="C51" s="301">
        <f>SUMIF(BE!$B$5:$B$810,B51,BE!$C$5:$C$810)</f>
        <v>481.95</v>
      </c>
      <c r="D51" s="329" t="str">
        <f>VLOOKUP(B51,BE!$B$5:$E$810,4,FALSE)</f>
        <v>Nos.</v>
      </c>
      <c r="E51" s="301">
        <f>VLOOKUP(B51,'M&amp;L Rate'!$B$7:$J$159,4,FALSE)</f>
        <v>3500</v>
      </c>
      <c r="F51" s="329" t="str">
        <f t="shared" si="6"/>
        <v>Nos.</v>
      </c>
      <c r="G51" s="352">
        <f t="shared" si="7"/>
        <v>1686825</v>
      </c>
      <c r="H51" s="677"/>
    </row>
    <row r="52" spans="1:8" s="411" customFormat="1" ht="22.25" customHeight="1">
      <c r="A52" s="300">
        <v>47</v>
      </c>
      <c r="B52" s="676" t="s">
        <v>844</v>
      </c>
      <c r="C52" s="301">
        <f>SUMIF(BE!$B$5:$B$810,B52,BE!$C$5:$C$810)</f>
        <v>1.9500000000000002</v>
      </c>
      <c r="D52" s="329" t="str">
        <f>VLOOKUP(B52,BE!$B$5:$E$810,4,FALSE)</f>
        <v>Box</v>
      </c>
      <c r="E52" s="301">
        <f>VLOOKUP(B52,'M&amp;L Rate'!$B$7:$J$159,4,FALSE)</f>
        <v>8000</v>
      </c>
      <c r="F52" s="329" t="str">
        <f t="shared" si="6"/>
        <v>Box</v>
      </c>
      <c r="G52" s="352">
        <f t="shared" si="7"/>
        <v>15600.000000000002</v>
      </c>
      <c r="H52" s="677"/>
    </row>
    <row r="53" spans="1:8" s="411" customFormat="1" ht="22.25" customHeight="1">
      <c r="A53" s="300">
        <v>48</v>
      </c>
      <c r="B53" s="676" t="s">
        <v>845</v>
      </c>
      <c r="C53" s="301">
        <f>SUMIF(BE!$B$5:$B$810,B53,BE!$C$5:$C$810)</f>
        <v>21</v>
      </c>
      <c r="D53" s="329" t="str">
        <f>VLOOKUP(B53,BE!$B$5:$E$810,4,FALSE)</f>
        <v>Box</v>
      </c>
      <c r="E53" s="301">
        <f>VLOOKUP(B53,'M&amp;L Rate'!$B$7:$J$159,4,FALSE)</f>
        <v>16000</v>
      </c>
      <c r="F53" s="329" t="str">
        <f t="shared" si="6"/>
        <v>Box</v>
      </c>
      <c r="G53" s="352">
        <f t="shared" si="7"/>
        <v>336000</v>
      </c>
      <c r="H53" s="677"/>
    </row>
    <row r="54" spans="1:8" s="411" customFormat="1" ht="22.25" customHeight="1">
      <c r="A54" s="300">
        <v>49</v>
      </c>
      <c r="B54" s="676" t="s">
        <v>867</v>
      </c>
      <c r="C54" s="301">
        <f>SUMIF(BE!$B$5:$B$810,B54,BE!$C$5:$C$810)</f>
        <v>3.55</v>
      </c>
      <c r="D54" s="329" t="str">
        <f>VLOOKUP(B54,BE!$B$5:$E$810,4,FALSE)</f>
        <v>Box</v>
      </c>
      <c r="E54" s="301">
        <f>VLOOKUP(B54,'M&amp;L Rate'!$B$7:$J$159,4,FALSE)</f>
        <v>37500</v>
      </c>
      <c r="F54" s="329" t="str">
        <f t="shared" si="6"/>
        <v>Box</v>
      </c>
      <c r="G54" s="352">
        <f t="shared" si="7"/>
        <v>133125</v>
      </c>
      <c r="H54" s="677"/>
    </row>
    <row r="55" spans="1:8" s="411" customFormat="1" ht="22.25" customHeight="1">
      <c r="A55" s="300">
        <v>50</v>
      </c>
      <c r="B55" s="676" t="s">
        <v>846</v>
      </c>
      <c r="C55" s="301">
        <f>SUMIF(BE!$B$5:$B$810,B55,BE!$C$5:$C$810)</f>
        <v>1.9500000000000002</v>
      </c>
      <c r="D55" s="329" t="str">
        <f>VLOOKUP(B55,BE!$B$5:$E$810,4,FALSE)</f>
        <v>Box</v>
      </c>
      <c r="E55" s="301">
        <f>VLOOKUP(B55,'M&amp;L Rate'!$B$7:$J$159,4,FALSE)</f>
        <v>34000</v>
      </c>
      <c r="F55" s="329" t="str">
        <f t="shared" si="6"/>
        <v>Box</v>
      </c>
      <c r="G55" s="352">
        <f t="shared" si="7"/>
        <v>66300</v>
      </c>
      <c r="H55" s="677"/>
    </row>
    <row r="56" spans="1:8" s="411" customFormat="1" ht="22.25" customHeight="1">
      <c r="A56" s="300">
        <v>51</v>
      </c>
      <c r="B56" s="676" t="s">
        <v>864</v>
      </c>
      <c r="C56" s="301">
        <f>SUMIF(BE!$B$5:$B$810,B56,BE!$C$5:$C$810)</f>
        <v>12.16</v>
      </c>
      <c r="D56" s="329" t="str">
        <f>VLOOKUP(B56,BE!$B$5:$E$810,4,FALSE)</f>
        <v>Nos.</v>
      </c>
      <c r="E56" s="301">
        <f>VLOOKUP(B56,'M&amp;L Rate'!$B$7:$J$159,4,FALSE)</f>
        <v>30000</v>
      </c>
      <c r="F56" s="329" t="str">
        <f t="shared" ref="F56:F80" si="8">D56</f>
        <v>Nos.</v>
      </c>
      <c r="G56" s="352">
        <f t="shared" ref="G56:G80" si="9">E56*C56</f>
        <v>364800</v>
      </c>
      <c r="H56" s="677"/>
    </row>
    <row r="57" spans="1:8" s="411" customFormat="1" ht="22.25" customHeight="1">
      <c r="A57" s="300">
        <v>52</v>
      </c>
      <c r="B57" s="676" t="s">
        <v>865</v>
      </c>
      <c r="C57" s="301">
        <f>SUMIF(BE!$B$5:$B$810,B57,BE!$C$5:$C$810)</f>
        <v>6</v>
      </c>
      <c r="D57" s="329" t="str">
        <f>VLOOKUP(B57,BE!$B$5:$E$810,4,FALSE)</f>
        <v>Nos.</v>
      </c>
      <c r="E57" s="301">
        <f>VLOOKUP(B57,'M&amp;L Rate'!$B$7:$J$159,4,FALSE)</f>
        <v>15000</v>
      </c>
      <c r="F57" s="329" t="str">
        <f t="shared" si="8"/>
        <v>Nos.</v>
      </c>
      <c r="G57" s="352">
        <f t="shared" si="9"/>
        <v>90000</v>
      </c>
      <c r="H57" s="677"/>
    </row>
    <row r="58" spans="1:8" s="411" customFormat="1" ht="22.25" customHeight="1">
      <c r="A58" s="300">
        <v>53</v>
      </c>
      <c r="B58" s="676" t="s">
        <v>930</v>
      </c>
      <c r="C58" s="301">
        <f>SUMIF(BE!$B$5:$B$810,B58,BE!$C$5:$C$810)</f>
        <v>72.95</v>
      </c>
      <c r="D58" s="329" t="str">
        <f>VLOOKUP(B58,BE!$B$5:$E$810,4,FALSE)</f>
        <v>Nos.</v>
      </c>
      <c r="E58" s="301">
        <f>VLOOKUP(B58,'M&amp;L Rate'!$B$7:$J$159,4,FALSE)</f>
        <v>500</v>
      </c>
      <c r="F58" s="329" t="str">
        <f t="shared" si="8"/>
        <v>Nos.</v>
      </c>
      <c r="G58" s="352">
        <f t="shared" si="9"/>
        <v>36475</v>
      </c>
      <c r="H58" s="677"/>
    </row>
    <row r="59" spans="1:8" s="411" customFormat="1" ht="22.25" customHeight="1">
      <c r="A59" s="300">
        <v>54</v>
      </c>
      <c r="B59" s="676" t="s">
        <v>931</v>
      </c>
      <c r="C59" s="301">
        <f>SUMIF(BE!$B$5:$B$810,B59,BE!$C$5:$C$810)</f>
        <v>27.5</v>
      </c>
      <c r="D59" s="329" t="str">
        <f>VLOOKUP(B59,BE!$B$5:$E$810,4,FALSE)</f>
        <v>Nos.</v>
      </c>
      <c r="E59" s="301">
        <f>VLOOKUP(B59,'M&amp;L Rate'!$B$7:$J$159,4,FALSE)</f>
        <v>150</v>
      </c>
      <c r="F59" s="329" t="str">
        <f t="shared" si="8"/>
        <v>Nos.</v>
      </c>
      <c r="G59" s="352">
        <f t="shared" si="9"/>
        <v>4125</v>
      </c>
      <c r="H59" s="677"/>
    </row>
    <row r="60" spans="1:8" s="411" customFormat="1" ht="22.25" customHeight="1">
      <c r="A60" s="300">
        <v>55</v>
      </c>
      <c r="B60" s="676" t="s">
        <v>868</v>
      </c>
      <c r="C60" s="301">
        <f>SUMIF(BE!$B$5:$B$810,B60,BE!$C$5:$C$810)</f>
        <v>5.65</v>
      </c>
      <c r="D60" s="329" t="str">
        <f>VLOOKUP(B60,BE!$B$5:$E$810,4,FALSE)</f>
        <v>Bag</v>
      </c>
      <c r="E60" s="301">
        <f>VLOOKUP(B60,'M&amp;L Rate'!$B$7:$J$159,4,FALSE)</f>
        <v>67600</v>
      </c>
      <c r="F60" s="329" t="str">
        <f t="shared" si="8"/>
        <v>Bag</v>
      </c>
      <c r="G60" s="352">
        <f t="shared" si="9"/>
        <v>381940</v>
      </c>
      <c r="H60" s="677"/>
    </row>
    <row r="61" spans="1:8" s="411" customFormat="1" ht="22.25" customHeight="1">
      <c r="A61" s="300">
        <v>56</v>
      </c>
      <c r="B61" s="676" t="s">
        <v>870</v>
      </c>
      <c r="C61" s="301">
        <f>SUMIF(BE!$B$5:$B$810,B61,BE!$C$5:$C$810)</f>
        <v>12</v>
      </c>
      <c r="D61" s="329" t="str">
        <f>VLOOKUP(B61,BE!$B$5:$E$810,4,FALSE)</f>
        <v>Coil</v>
      </c>
      <c r="E61" s="301">
        <f>VLOOKUP(B61,'M&amp;L Rate'!$B$7:$J$159,4,FALSE)</f>
        <v>4000</v>
      </c>
      <c r="F61" s="329" t="str">
        <f t="shared" si="8"/>
        <v>Coil</v>
      </c>
      <c r="G61" s="352">
        <f t="shared" si="9"/>
        <v>48000</v>
      </c>
      <c r="H61" s="677"/>
    </row>
    <row r="62" spans="1:8" s="411" customFormat="1" ht="22.25" customHeight="1">
      <c r="A62" s="300">
        <v>57</v>
      </c>
      <c r="B62" s="676" t="s">
        <v>872</v>
      </c>
      <c r="C62" s="301">
        <f>SUMIF(BE!$B$5:$B$810,B62,BE!$C$5:$C$810)</f>
        <v>11.3</v>
      </c>
      <c r="D62" s="329" t="str">
        <f>VLOOKUP(B62,BE!$B$5:$E$810,4,FALSE)</f>
        <v>Gal</v>
      </c>
      <c r="E62" s="301">
        <f>VLOOKUP(B62,'M&amp;L Rate'!$B$7:$J$159,4,FALSE)</f>
        <v>80600</v>
      </c>
      <c r="F62" s="329" t="str">
        <f t="shared" si="8"/>
        <v>Gal</v>
      </c>
      <c r="G62" s="352">
        <f t="shared" si="9"/>
        <v>910780</v>
      </c>
      <c r="H62" s="677"/>
    </row>
    <row r="63" spans="1:8" s="411" customFormat="1" ht="22.25" customHeight="1">
      <c r="A63" s="300">
        <v>58</v>
      </c>
      <c r="B63" s="421" t="str">
        <f>BE!B702</f>
        <v>5"x3" Chowket</v>
      </c>
      <c r="C63" s="301">
        <f>SUMIF(BE!$B$5:$B$810,B63,BE!$C$5:$C$810)</f>
        <v>58.46</v>
      </c>
      <c r="D63" s="329" t="str">
        <f>VLOOKUP(B63,BE!$B$5:$E$810,4,FALSE)</f>
        <v>Rft</v>
      </c>
      <c r="E63" s="301">
        <f>VLOOKUP(B63,'M&amp;L Rate'!$B$7:$J$159,4,FALSE)</f>
        <v>16500</v>
      </c>
      <c r="F63" s="329" t="str">
        <f t="shared" si="8"/>
        <v>Rft</v>
      </c>
      <c r="G63" s="352">
        <f t="shared" si="9"/>
        <v>964590</v>
      </c>
      <c r="H63" s="677" t="s">
        <v>599</v>
      </c>
    </row>
    <row r="64" spans="1:8" s="411" customFormat="1" ht="22.25" customHeight="1">
      <c r="A64" s="300">
        <v>59</v>
      </c>
      <c r="B64" s="421" t="str">
        <f>BE!B703</f>
        <v>5"x2" Chowket</v>
      </c>
      <c r="C64" s="301">
        <f>SUMIF(BE!$B$5:$B$810,B64,BE!$C$5:$C$810)</f>
        <v>139.31</v>
      </c>
      <c r="D64" s="329" t="str">
        <f>VLOOKUP(B64,BE!$B$5:$E$810,4,FALSE)</f>
        <v>Rft</v>
      </c>
      <c r="E64" s="301">
        <f>VLOOKUP(B64,'M&amp;L Rate'!$B$7:$J$159,4,FALSE)</f>
        <v>10500</v>
      </c>
      <c r="F64" s="329" t="str">
        <f t="shared" si="8"/>
        <v>Rft</v>
      </c>
      <c r="G64" s="352">
        <f t="shared" si="9"/>
        <v>1462755</v>
      </c>
      <c r="H64" s="677" t="s">
        <v>599</v>
      </c>
    </row>
    <row r="65" spans="1:8" s="411" customFormat="1" ht="22.25" customHeight="1">
      <c r="A65" s="300">
        <v>60</v>
      </c>
      <c r="B65" s="421" t="s">
        <v>646</v>
      </c>
      <c r="C65" s="301">
        <f>SUMIF(BE!$B$5:$B$810,B65,BE!$C$5:$C$810)</f>
        <v>120</v>
      </c>
      <c r="D65" s="329" t="str">
        <f>VLOOKUP(B65,BE!$B$5:$E$810,4,FALSE)</f>
        <v>Nos.</v>
      </c>
      <c r="E65" s="301">
        <f>VLOOKUP(B65,'M&amp;L Rate'!$B$7:$J$159,4,FALSE)</f>
        <v>350</v>
      </c>
      <c r="F65" s="329" t="str">
        <f t="shared" si="8"/>
        <v>Nos.</v>
      </c>
      <c r="G65" s="352">
        <f t="shared" si="9"/>
        <v>42000</v>
      </c>
      <c r="H65" s="677"/>
    </row>
    <row r="66" spans="1:8" s="411" customFormat="1" ht="22.25" customHeight="1">
      <c r="A66" s="300">
        <v>61</v>
      </c>
      <c r="B66" s="421" t="s">
        <v>647</v>
      </c>
      <c r="C66" s="301">
        <f>SUMIF(BE!$B$5:$B$810,B66,BE!$C$5:$C$810)</f>
        <v>1.88</v>
      </c>
      <c r="D66" s="329" t="str">
        <f>VLOOKUP(B66,BE!$B$5:$E$810,4,FALSE)</f>
        <v>Nos.</v>
      </c>
      <c r="E66" s="301">
        <f>VLOOKUP(B66,'M&amp;L Rate'!$B$7:$J$159,4,FALSE)</f>
        <v>7800</v>
      </c>
      <c r="F66" s="329" t="str">
        <f t="shared" si="8"/>
        <v>Nos.</v>
      </c>
      <c r="G66" s="352">
        <f t="shared" si="9"/>
        <v>14664</v>
      </c>
      <c r="H66" s="677"/>
    </row>
    <row r="67" spans="1:8" s="411" customFormat="1" ht="22.25" customHeight="1">
      <c r="A67" s="300">
        <v>62</v>
      </c>
      <c r="B67" s="676" t="s">
        <v>874</v>
      </c>
      <c r="C67" s="301">
        <f>SUMIF(BE!$B$5:$B$810,B67,BE!$C$5:$C$810)</f>
        <v>267.18</v>
      </c>
      <c r="D67" s="329" t="str">
        <f>VLOOKUP(B67,BE!$B$5:$E$810,4,FALSE)</f>
        <v>Sft</v>
      </c>
      <c r="E67" s="301">
        <f>VLOOKUP(B67,'M&amp;L Rate'!$B$7:$J$159,4,FALSE)</f>
        <v>43000</v>
      </c>
      <c r="F67" s="329" t="str">
        <f t="shared" si="8"/>
        <v>Sft</v>
      </c>
      <c r="G67" s="352">
        <f t="shared" si="9"/>
        <v>11488740</v>
      </c>
      <c r="H67" s="677"/>
    </row>
    <row r="68" spans="1:8" s="411" customFormat="1" ht="22.25" customHeight="1">
      <c r="A68" s="300">
        <v>63</v>
      </c>
      <c r="B68" s="676" t="s">
        <v>875</v>
      </c>
      <c r="C68" s="301">
        <f>SUMIF(BE!$B$5:$B$810,B68,BE!$C$5:$C$810)</f>
        <v>48</v>
      </c>
      <c r="D68" s="329" t="str">
        <f>VLOOKUP(B68,BE!$B$5:$E$810,4,FALSE)</f>
        <v>Nos.</v>
      </c>
      <c r="E68" s="301">
        <f>VLOOKUP(B68,'M&amp;L Rate'!$B$7:$J$159,4,FALSE)</f>
        <v>3900</v>
      </c>
      <c r="F68" s="329" t="str">
        <f t="shared" si="8"/>
        <v>Nos.</v>
      </c>
      <c r="G68" s="352">
        <f t="shared" si="9"/>
        <v>187200</v>
      </c>
      <c r="H68" s="677"/>
    </row>
    <row r="69" spans="1:8" s="411" customFormat="1" ht="22.25" customHeight="1">
      <c r="A69" s="300">
        <v>64</v>
      </c>
      <c r="B69" s="676" t="s">
        <v>191</v>
      </c>
      <c r="C69" s="301">
        <f>SUMIF(BE!$B$5:$B$810,B69,BE!$C$5:$C$810)</f>
        <v>192</v>
      </c>
      <c r="D69" s="329" t="str">
        <f>VLOOKUP(B69,BE!$B$5:$E$810,4,FALSE)</f>
        <v>Nos.</v>
      </c>
      <c r="E69" s="301">
        <f>VLOOKUP(B69,'M&amp;L Rate'!$B$7:$J$159,4,FALSE)</f>
        <v>100</v>
      </c>
      <c r="F69" s="329" t="str">
        <f t="shared" si="8"/>
        <v>Nos.</v>
      </c>
      <c r="G69" s="352">
        <f t="shared" si="9"/>
        <v>19200</v>
      </c>
      <c r="H69" s="677"/>
    </row>
    <row r="70" spans="1:8" s="411" customFormat="1" ht="22.25" customHeight="1">
      <c r="A70" s="300">
        <v>65</v>
      </c>
      <c r="B70" s="676" t="s">
        <v>876</v>
      </c>
      <c r="C70" s="301">
        <f>SUMIF(BE!$B$5:$B$810,B70,BE!$C$5:$C$810)</f>
        <v>8</v>
      </c>
      <c r="D70" s="329" t="str">
        <f>VLOOKUP(B70,BE!$B$5:$E$810,4,FALSE)</f>
        <v>Nos.</v>
      </c>
      <c r="E70" s="301">
        <f>VLOOKUP(B70,'M&amp;L Rate'!$B$7:$J$159,4,FALSE)</f>
        <v>85000</v>
      </c>
      <c r="F70" s="329" t="str">
        <f t="shared" si="8"/>
        <v>Nos.</v>
      </c>
      <c r="G70" s="352">
        <f t="shared" si="9"/>
        <v>680000</v>
      </c>
      <c r="H70" s="677"/>
    </row>
    <row r="71" spans="1:8" s="411" customFormat="1" ht="22.25" customHeight="1">
      <c r="A71" s="300">
        <v>66</v>
      </c>
      <c r="B71" s="676" t="s">
        <v>932</v>
      </c>
      <c r="C71" s="301">
        <f>SUMIF(BE!$B$5:$B$810,B71,BE!$C$5:$C$810)</f>
        <v>2</v>
      </c>
      <c r="D71" s="329" t="str">
        <f>VLOOKUP(B71,BE!$B$5:$E$810,4,FALSE)</f>
        <v>Set</v>
      </c>
      <c r="E71" s="301">
        <f>VLOOKUP(B71,'M&amp;L Rate'!$B$7:$J$159,4,FALSE)</f>
        <v>1400000</v>
      </c>
      <c r="F71" s="329" t="str">
        <f t="shared" si="8"/>
        <v>Set</v>
      </c>
      <c r="G71" s="352">
        <f t="shared" si="9"/>
        <v>2800000</v>
      </c>
      <c r="H71" s="677"/>
    </row>
    <row r="72" spans="1:8" s="411" customFormat="1" ht="22.25" customHeight="1">
      <c r="A72" s="300">
        <v>67</v>
      </c>
      <c r="B72" s="676" t="s">
        <v>496</v>
      </c>
      <c r="C72" s="301">
        <f>SUMIF(BE!$B$5:$B$810,B72,BE!$C$5:$C$810)</f>
        <v>23.45</v>
      </c>
      <c r="D72" s="329" t="str">
        <f>VLOOKUP(B72,BE!$B$5:$E$810,4,FALSE)</f>
        <v>Lit</v>
      </c>
      <c r="E72" s="301">
        <f>VLOOKUP(B72,'M&amp;L Rate'!$B$7:$J$159,4,FALSE)</f>
        <v>6500</v>
      </c>
      <c r="F72" s="329" t="str">
        <f t="shared" si="8"/>
        <v>Lit</v>
      </c>
      <c r="G72" s="352">
        <f t="shared" si="9"/>
        <v>152425</v>
      </c>
      <c r="H72" s="677"/>
    </row>
    <row r="73" spans="1:8" s="411" customFormat="1" ht="22.25" customHeight="1">
      <c r="A73" s="300">
        <v>68</v>
      </c>
      <c r="B73" s="676" t="s">
        <v>881</v>
      </c>
      <c r="C73" s="301">
        <f>SUMIF(BE!$B$5:$B$810,B73,BE!$C$5:$C$810)</f>
        <v>1</v>
      </c>
      <c r="D73" s="329" t="str">
        <f>VLOOKUP(B73,BE!$B$5:$E$810,4,FALSE)</f>
        <v>Lit</v>
      </c>
      <c r="E73" s="301">
        <f>VLOOKUP(B73,'M&amp;L Rate'!$B$7:$J$159,4,FALSE)</f>
        <v>19500</v>
      </c>
      <c r="F73" s="329" t="str">
        <f t="shared" si="8"/>
        <v>Lit</v>
      </c>
      <c r="G73" s="352">
        <f t="shared" si="9"/>
        <v>19500</v>
      </c>
      <c r="H73" s="677"/>
    </row>
    <row r="74" spans="1:8" s="411" customFormat="1" ht="22.25" customHeight="1">
      <c r="A74" s="300">
        <v>69</v>
      </c>
      <c r="B74" s="676" t="s">
        <v>882</v>
      </c>
      <c r="C74" s="301">
        <f>SUMIF(BE!$B$5:$B$810,B74,BE!$C$5:$C$810)</f>
        <v>16.29</v>
      </c>
      <c r="D74" s="329" t="str">
        <f>VLOOKUP(B74,BE!$B$5:$E$810,4,FALSE)</f>
        <v>Lit</v>
      </c>
      <c r="E74" s="301">
        <f>VLOOKUP(B74,'M&amp;L Rate'!$B$7:$J$159,4,FALSE)</f>
        <v>60900</v>
      </c>
      <c r="F74" s="329" t="str">
        <f t="shared" si="8"/>
        <v>Lit</v>
      </c>
      <c r="G74" s="352">
        <f t="shared" si="9"/>
        <v>992061</v>
      </c>
      <c r="H74" s="677"/>
    </row>
    <row r="75" spans="1:8" s="411" customFormat="1" ht="22.25" customHeight="1">
      <c r="A75" s="300">
        <v>70</v>
      </c>
      <c r="B75" s="676" t="s">
        <v>510</v>
      </c>
      <c r="C75" s="301">
        <f>SUMIF(BE!$B$5:$B$810,B75,BE!$C$5:$C$810)</f>
        <v>13.03</v>
      </c>
      <c r="D75" s="329" t="str">
        <f>VLOOKUP(B75,BE!$B$5:$E$810,4,FALSE)</f>
        <v>Nos.</v>
      </c>
      <c r="E75" s="301">
        <f>VLOOKUP(B75,'M&amp;L Rate'!$B$7:$J$159,4,FALSE)</f>
        <v>3000</v>
      </c>
      <c r="F75" s="329" t="str">
        <f t="shared" si="8"/>
        <v>Nos.</v>
      </c>
      <c r="G75" s="352">
        <f t="shared" si="9"/>
        <v>39090</v>
      </c>
      <c r="H75" s="677"/>
    </row>
    <row r="76" spans="1:8" s="411" customFormat="1" ht="22.25" customHeight="1">
      <c r="A76" s="300">
        <v>71</v>
      </c>
      <c r="B76" s="676" t="s">
        <v>883</v>
      </c>
      <c r="C76" s="301">
        <f>SUMIF(BE!$B$5:$B$810,B76,BE!$C$5:$C$810)</f>
        <v>309.66000000000003</v>
      </c>
      <c r="D76" s="329" t="str">
        <f>VLOOKUP(B76,BE!$B$5:$E$810,4,FALSE)</f>
        <v>Sft</v>
      </c>
      <c r="E76" s="301">
        <f>VLOOKUP(B76,'M&amp;L Rate'!$B$7:$J$159,4,FALSE)</f>
        <v>46000</v>
      </c>
      <c r="F76" s="329" t="str">
        <f t="shared" si="8"/>
        <v>Sft</v>
      </c>
      <c r="G76" s="352">
        <f t="shared" si="9"/>
        <v>14244360.000000002</v>
      </c>
      <c r="H76" s="677"/>
    </row>
    <row r="77" spans="1:8" s="411" customFormat="1" ht="22.25" customHeight="1">
      <c r="A77" s="300">
        <v>72</v>
      </c>
      <c r="B77" s="676" t="s">
        <v>806</v>
      </c>
      <c r="C77" s="301">
        <f>SUMIF(BE!$B$5:$B$810,B77,BE!$C$5:$C$810)</f>
        <v>138</v>
      </c>
      <c r="D77" s="329" t="str">
        <f>VLOOKUP(B77,BE!$B$5:$E$810,4,FALSE)</f>
        <v>Sht</v>
      </c>
      <c r="E77" s="301">
        <f>VLOOKUP(B77,'M&amp;L Rate'!$B$7:$J$159,4,FALSE)</f>
        <v>2700</v>
      </c>
      <c r="F77" s="329" t="str">
        <f t="shared" si="8"/>
        <v>Sht</v>
      </c>
      <c r="G77" s="352">
        <f t="shared" si="9"/>
        <v>372600</v>
      </c>
      <c r="H77" s="677"/>
    </row>
    <row r="78" spans="1:8" s="411" customFormat="1" ht="22.25" customHeight="1">
      <c r="A78" s="300">
        <v>73</v>
      </c>
      <c r="B78" s="676" t="s">
        <v>807</v>
      </c>
      <c r="C78" s="301">
        <f>SUMIF(BE!$B$5:$B$810,B78,BE!$C$5:$C$810)</f>
        <v>37</v>
      </c>
      <c r="D78" s="329" t="str">
        <f>VLOOKUP(B78,BE!$B$5:$E$810,4,FALSE)</f>
        <v>Sht</v>
      </c>
      <c r="E78" s="301">
        <f>VLOOKUP(B78,'M&amp;L Rate'!$B$7:$J$159,4,FALSE)</f>
        <v>14600</v>
      </c>
      <c r="F78" s="329" t="str">
        <f t="shared" si="8"/>
        <v>Sht</v>
      </c>
      <c r="G78" s="352">
        <f t="shared" si="9"/>
        <v>540200</v>
      </c>
      <c r="H78" s="677"/>
    </row>
    <row r="79" spans="1:8" s="411" customFormat="1" ht="22.25" customHeight="1">
      <c r="A79" s="300">
        <v>74</v>
      </c>
      <c r="B79" s="676" t="s">
        <v>809</v>
      </c>
      <c r="C79" s="301">
        <f>SUMIF(BE!$B$5:$B$810,B79,BE!$C$5:$C$810)</f>
        <v>554</v>
      </c>
      <c r="D79" s="329" t="str">
        <f>VLOOKUP(B79,BE!$B$5:$E$810,4,FALSE)</f>
        <v>Sht</v>
      </c>
      <c r="E79" s="301">
        <f>VLOOKUP(B79,'M&amp;L Rate'!$B$7:$J$159,4,FALSE)</f>
        <v>4600</v>
      </c>
      <c r="F79" s="329" t="str">
        <f t="shared" si="8"/>
        <v>Sht</v>
      </c>
      <c r="G79" s="352">
        <f t="shared" si="9"/>
        <v>2548400</v>
      </c>
      <c r="H79" s="677"/>
    </row>
    <row r="80" spans="1:8" s="411" customFormat="1" ht="22.25" customHeight="1">
      <c r="A80" s="300">
        <v>75</v>
      </c>
      <c r="B80" s="676" t="s">
        <v>812</v>
      </c>
      <c r="C80" s="301">
        <f>SUMIF(BE!$B$5:$B$810,B80,BE!$C$5:$C$810)</f>
        <v>18</v>
      </c>
      <c r="D80" s="329" t="str">
        <f>VLOOKUP(B80,BE!$B$5:$E$810,4,FALSE)</f>
        <v>Sht</v>
      </c>
      <c r="E80" s="301">
        <f>VLOOKUP(B80,'M&amp;L Rate'!$B$7:$J$159,4,FALSE)</f>
        <v>4900</v>
      </c>
      <c r="F80" s="329" t="str">
        <f t="shared" si="8"/>
        <v>Sht</v>
      </c>
      <c r="G80" s="352">
        <f t="shared" si="9"/>
        <v>88200</v>
      </c>
      <c r="H80" s="677"/>
    </row>
    <row r="81" spans="1:8" s="411" customFormat="1" ht="22.25" customHeight="1">
      <c r="A81" s="300">
        <v>76</v>
      </c>
      <c r="B81" s="676" t="s">
        <v>810</v>
      </c>
      <c r="C81" s="301">
        <f>SUMIF(BE!$B$5:$B$810,B81,BE!$C$5:$C$810)</f>
        <v>5</v>
      </c>
      <c r="D81" s="329" t="str">
        <f>VLOOKUP(B81,BE!$B$5:$E$810,4,FALSE)</f>
        <v>Sht</v>
      </c>
      <c r="E81" s="301">
        <f>VLOOKUP(B81,'M&amp;L Rate'!$B$7:$J$159,4,FALSE)</f>
        <v>280000</v>
      </c>
      <c r="F81" s="329" t="str">
        <f t="shared" ref="F81:F88" si="10">D81</f>
        <v>Sht</v>
      </c>
      <c r="G81" s="352">
        <f t="shared" ref="G81:G88" si="11">E81*C81</f>
        <v>1400000</v>
      </c>
      <c r="H81" s="677"/>
    </row>
    <row r="82" spans="1:8" s="411" customFormat="1" ht="22.25" customHeight="1">
      <c r="A82" s="300">
        <v>77</v>
      </c>
      <c r="B82" s="676" t="s">
        <v>888</v>
      </c>
      <c r="C82" s="301">
        <f>SUMIF(BE!$B$5:$B$810,B82,BE!$C$5:$C$810)</f>
        <v>18</v>
      </c>
      <c r="D82" s="329" t="str">
        <f>VLOOKUP(B82,BE!$B$5:$E$810,4,FALSE)</f>
        <v>Set</v>
      </c>
      <c r="E82" s="301">
        <f>VLOOKUP(B82,'M&amp;L Rate'!$B$7:$J$159,4,FALSE)</f>
        <v>24500</v>
      </c>
      <c r="F82" s="329" t="str">
        <f t="shared" si="10"/>
        <v>Set</v>
      </c>
      <c r="G82" s="352">
        <f t="shared" si="11"/>
        <v>441000</v>
      </c>
      <c r="H82" s="677"/>
    </row>
    <row r="83" spans="1:8" s="411" customFormat="1" ht="22.25" customHeight="1">
      <c r="A83" s="300">
        <v>78</v>
      </c>
      <c r="B83" s="676" t="s">
        <v>889</v>
      </c>
      <c r="C83" s="301">
        <f>SUMIF(BE!$B$5:$B$810,B83,BE!$C$5:$C$810)</f>
        <v>12</v>
      </c>
      <c r="D83" s="329" t="str">
        <f>VLOOKUP(B83,BE!$B$5:$E$810,4,FALSE)</f>
        <v>Set</v>
      </c>
      <c r="E83" s="301">
        <f>VLOOKUP(B83,'M&amp;L Rate'!$B$7:$J$159,4,FALSE)</f>
        <v>18000</v>
      </c>
      <c r="F83" s="329" t="str">
        <f t="shared" si="10"/>
        <v>Set</v>
      </c>
      <c r="G83" s="352">
        <f t="shared" si="11"/>
        <v>216000</v>
      </c>
      <c r="H83" s="677"/>
    </row>
    <row r="84" spans="1:8" s="411" customFormat="1" ht="22.25" customHeight="1">
      <c r="A84" s="300">
        <v>79</v>
      </c>
      <c r="B84" s="676" t="s">
        <v>887</v>
      </c>
      <c r="C84" s="301">
        <f>SUMIF(BE!$B$5:$B$810,B84,BE!$C$5:$C$810)</f>
        <v>10</v>
      </c>
      <c r="D84" s="329" t="str">
        <f>VLOOKUP(B84,BE!$B$5:$E$810,4,FALSE)</f>
        <v>Bag</v>
      </c>
      <c r="E84" s="301">
        <f>VLOOKUP(B84,'M&amp;L Rate'!$B$7:$J$159,4,FALSE)</f>
        <v>5000</v>
      </c>
      <c r="F84" s="329" t="str">
        <f t="shared" si="10"/>
        <v>Bag</v>
      </c>
      <c r="G84" s="352">
        <f t="shared" si="11"/>
        <v>50000</v>
      </c>
      <c r="H84" s="677"/>
    </row>
    <row r="85" spans="1:8" s="411" customFormat="1" ht="22.25" customHeight="1">
      <c r="A85" s="300">
        <v>80</v>
      </c>
      <c r="B85" s="676" t="s">
        <v>623</v>
      </c>
      <c r="C85" s="301">
        <f>SUMIF(BE!$B$5:$B$810,B85,BE!$C$5:$C$810)</f>
        <v>238</v>
      </c>
      <c r="D85" s="329" t="str">
        <f>VLOOKUP(B85,BE!$B$5:$E$810,4,FALSE)</f>
        <v>Rft</v>
      </c>
      <c r="E85" s="301">
        <f>VLOOKUP(B85,'M&amp;L Rate'!$B$7:$J$159,4,FALSE)</f>
        <v>600</v>
      </c>
      <c r="F85" s="329" t="str">
        <f t="shared" si="10"/>
        <v>Rft</v>
      </c>
      <c r="G85" s="352">
        <f t="shared" si="11"/>
        <v>142800</v>
      </c>
      <c r="H85" s="677"/>
    </row>
    <row r="86" spans="1:8" s="411" customFormat="1" ht="22.25" customHeight="1">
      <c r="A86" s="300">
        <v>81</v>
      </c>
      <c r="B86" s="676" t="s">
        <v>890</v>
      </c>
      <c r="C86" s="301">
        <f>SUMIF(BE!$B$5:$B$810,B86,BE!$C$5:$C$810)</f>
        <v>4999</v>
      </c>
      <c r="D86" s="329" t="str">
        <f>VLOOKUP(B86,BE!$B$5:$E$810,4,FALSE)</f>
        <v>Nos.</v>
      </c>
      <c r="E86" s="301">
        <f>VLOOKUP(B86,'M&amp;L Rate'!$B$7:$J$159,4,FALSE)</f>
        <v>250</v>
      </c>
      <c r="F86" s="329" t="str">
        <f>D86</f>
        <v>Nos.</v>
      </c>
      <c r="G86" s="352">
        <f>E86*C86</f>
        <v>1249750</v>
      </c>
      <c r="H86" s="677"/>
    </row>
    <row r="87" spans="1:8" s="411" customFormat="1" ht="22.25" customHeight="1">
      <c r="A87" s="300">
        <v>82</v>
      </c>
      <c r="B87" s="676" t="s">
        <v>891</v>
      </c>
      <c r="C87" s="301">
        <f>SUMIF(BE!$B$5:$B$810,B87,BE!$C$5:$C$810)</f>
        <v>3</v>
      </c>
      <c r="D87" s="329" t="str">
        <f>VLOOKUP(B87,BE!$B$5:$E$810,4,FALSE)</f>
        <v>Bot</v>
      </c>
      <c r="E87" s="301">
        <f>VLOOKUP(B87,'M&amp;L Rate'!$B$7:$J$159,4,FALSE)</f>
        <v>38500</v>
      </c>
      <c r="F87" s="329" t="str">
        <f>D87</f>
        <v>Bot</v>
      </c>
      <c r="G87" s="352">
        <f>E87*C87</f>
        <v>115500</v>
      </c>
      <c r="H87" s="677"/>
    </row>
    <row r="88" spans="1:8" s="411" customFormat="1" ht="22.25" hidden="1" customHeight="1">
      <c r="A88" s="300">
        <v>83</v>
      </c>
      <c r="B88" s="676" t="s">
        <v>894</v>
      </c>
      <c r="C88" s="301">
        <f>SUMIF(BE!$B$5:$B$810,B88,BE!$C$5:$C$810)</f>
        <v>0</v>
      </c>
      <c r="D88" s="329" t="str">
        <f>VLOOKUP(B88,BE!$B$5:$E$810,4,FALSE)</f>
        <v>Nos.</v>
      </c>
      <c r="E88" s="301">
        <f>VLOOKUP(B88,'M&amp;L Rate'!$B$7:$J$159,4,FALSE)</f>
        <v>3500</v>
      </c>
      <c r="F88" s="329" t="str">
        <f t="shared" si="10"/>
        <v>Nos.</v>
      </c>
      <c r="G88" s="352">
        <f t="shared" si="11"/>
        <v>0</v>
      </c>
      <c r="H88" s="677"/>
    </row>
    <row r="89" spans="1:8" s="411" customFormat="1" ht="22.25" hidden="1" customHeight="1">
      <c r="A89" s="300">
        <v>84</v>
      </c>
      <c r="B89" s="676" t="s">
        <v>895</v>
      </c>
      <c r="C89" s="301"/>
      <c r="D89" s="329" t="str">
        <f>VLOOKUP(B89,BE!$B$5:$E$810,4,FALSE)</f>
        <v>Rft</v>
      </c>
      <c r="E89" s="301">
        <f>VLOOKUP(B89,'M&amp;L Rate'!$B$7:$J$159,4,FALSE)</f>
        <v>3600</v>
      </c>
      <c r="F89" s="329" t="str">
        <f t="shared" ref="F89:F98" si="12">D89</f>
        <v>Rft</v>
      </c>
      <c r="G89" s="352">
        <f t="shared" ref="G89:G98" si="13">E89*C89</f>
        <v>0</v>
      </c>
      <c r="H89" s="677"/>
    </row>
    <row r="90" spans="1:8" s="411" customFormat="1" ht="22.25" hidden="1" customHeight="1">
      <c r="A90" s="300">
        <v>85</v>
      </c>
      <c r="B90" s="676" t="s">
        <v>897</v>
      </c>
      <c r="C90" s="301">
        <f>SUMIF(BE!$B$5:$B$810,B90,BE!$C$5:$C$810)</f>
        <v>0</v>
      </c>
      <c r="D90" s="329" t="str">
        <f>VLOOKUP(B90,BE!$B$5:$E$810,4,FALSE)</f>
        <v>Lit</v>
      </c>
      <c r="E90" s="301">
        <f>VLOOKUP(B90,'M&amp;L Rate'!$B$7:$J$159,4,FALSE)</f>
        <v>71600</v>
      </c>
      <c r="F90" s="329" t="str">
        <f t="shared" si="12"/>
        <v>Lit</v>
      </c>
      <c r="G90" s="352">
        <f t="shared" si="13"/>
        <v>0</v>
      </c>
      <c r="H90" s="677"/>
    </row>
    <row r="91" spans="1:8" s="411" customFormat="1" ht="22.25" hidden="1" customHeight="1">
      <c r="A91" s="300">
        <v>86</v>
      </c>
      <c r="B91" s="676" t="s">
        <v>898</v>
      </c>
      <c r="C91" s="301">
        <f>SUMIF(BE!$B$5:$B$810,B91,BE!$C$5:$C$810)</f>
        <v>0</v>
      </c>
      <c r="D91" s="329" t="str">
        <f>VLOOKUP(B91,BE!$B$5:$E$810,4,FALSE)</f>
        <v>LIt</v>
      </c>
      <c r="E91" s="301">
        <f>VLOOKUP(B91,'M&amp;L Rate'!$B$7:$J$159,4,FALSE)</f>
        <v>304500</v>
      </c>
      <c r="F91" s="329" t="str">
        <f t="shared" si="12"/>
        <v>LIt</v>
      </c>
      <c r="G91" s="352">
        <f t="shared" si="13"/>
        <v>0</v>
      </c>
      <c r="H91" s="677"/>
    </row>
    <row r="92" spans="1:8" s="411" customFormat="1" ht="22.25" hidden="1" customHeight="1">
      <c r="A92" s="300">
        <v>87</v>
      </c>
      <c r="B92" s="676" t="s">
        <v>899</v>
      </c>
      <c r="C92" s="301">
        <f>SUMIF(BE!$B$5:$B$810,B92,BE!$C$5:$C$810)</f>
        <v>0</v>
      </c>
      <c r="D92" s="329" t="str">
        <f>VLOOKUP(B92,BE!$B$5:$E$810,4,FALSE)</f>
        <v>Box</v>
      </c>
      <c r="E92" s="301">
        <f>VLOOKUP(B92,'M&amp;L Rate'!$B$7:$J$159,4,FALSE)</f>
        <v>148000</v>
      </c>
      <c r="F92" s="329" t="str">
        <f t="shared" si="12"/>
        <v>Box</v>
      </c>
      <c r="G92" s="352">
        <f t="shared" si="13"/>
        <v>0</v>
      </c>
      <c r="H92" s="677"/>
    </row>
    <row r="93" spans="1:8" s="411" customFormat="1" ht="22.25" hidden="1" customHeight="1">
      <c r="A93" s="300">
        <v>88</v>
      </c>
      <c r="B93" s="676" t="s">
        <v>900</v>
      </c>
      <c r="C93" s="301">
        <f>SUMIF(BE!$B$5:$B$810,B93,BE!$C$5:$C$810)</f>
        <v>0</v>
      </c>
      <c r="D93" s="329" t="str">
        <f>VLOOKUP(B93,BE!$B$5:$E$810,4,FALSE)</f>
        <v>Box</v>
      </c>
      <c r="E93" s="301">
        <f>VLOOKUP(B93,'M&amp;L Rate'!$B$7:$J$159,4,FALSE)</f>
        <v>45200</v>
      </c>
      <c r="F93" s="329" t="str">
        <f t="shared" si="12"/>
        <v>Box</v>
      </c>
      <c r="G93" s="352">
        <f t="shared" si="13"/>
        <v>0</v>
      </c>
      <c r="H93" s="677"/>
    </row>
    <row r="94" spans="1:8" s="411" customFormat="1" ht="22.25" hidden="1" customHeight="1">
      <c r="A94" s="300">
        <v>89</v>
      </c>
      <c r="B94" s="676" t="s">
        <v>901</v>
      </c>
      <c r="C94" s="301">
        <f>SUMIF(BE!$B$5:$B$810,B94,BE!$C$5:$C$810)</f>
        <v>0</v>
      </c>
      <c r="D94" s="329" t="str">
        <f>VLOOKUP(B94,BE!$B$5:$E$810,4,FALSE)</f>
        <v>Box</v>
      </c>
      <c r="E94" s="301">
        <f>VLOOKUP(B94,'M&amp;L Rate'!$B$7:$J$159,4,FALSE)</f>
        <v>260000</v>
      </c>
      <c r="F94" s="329" t="str">
        <f t="shared" si="12"/>
        <v>Box</v>
      </c>
      <c r="G94" s="352">
        <f t="shared" si="13"/>
        <v>0</v>
      </c>
      <c r="H94" s="677"/>
    </row>
    <row r="95" spans="1:8" s="411" customFormat="1" ht="22.25" hidden="1" customHeight="1">
      <c r="A95" s="300">
        <v>90</v>
      </c>
      <c r="B95" s="676" t="s">
        <v>902</v>
      </c>
      <c r="C95" s="301">
        <f>SUMIF(BE!$B$5:$B$810,B95,BE!$C$5:$C$810)</f>
        <v>0</v>
      </c>
      <c r="D95" s="329" t="str">
        <f>VLOOKUP(B95,BE!$B$5:$E$810,4,FALSE)</f>
        <v>Buck</v>
      </c>
      <c r="E95" s="301">
        <f>VLOOKUP(B95,'M&amp;L Rate'!$B$7:$J$159,4,FALSE)</f>
        <v>380000</v>
      </c>
      <c r="F95" s="329" t="str">
        <f t="shared" si="12"/>
        <v>Buck</v>
      </c>
      <c r="G95" s="352">
        <f t="shared" si="13"/>
        <v>0</v>
      </c>
      <c r="H95" s="677"/>
    </row>
    <row r="96" spans="1:8" s="411" customFormat="1" ht="22.25" hidden="1" customHeight="1">
      <c r="A96" s="300">
        <v>91</v>
      </c>
      <c r="B96" s="676" t="s">
        <v>903</v>
      </c>
      <c r="C96" s="301">
        <f>SUMIF(BE!$B$5:$B$810,B96,BE!$C$5:$C$810)</f>
        <v>0</v>
      </c>
      <c r="D96" s="329" t="str">
        <f>VLOOKUP(B96,BE!$B$5:$E$810,4,FALSE)</f>
        <v>Box</v>
      </c>
      <c r="E96" s="301">
        <f>VLOOKUP(B96,'M&amp;L Rate'!$B$7:$J$159,4,FALSE)</f>
        <v>2000</v>
      </c>
      <c r="F96" s="329" t="str">
        <f t="shared" si="12"/>
        <v>Box</v>
      </c>
      <c r="G96" s="352">
        <f t="shared" si="13"/>
        <v>0</v>
      </c>
      <c r="H96" s="677"/>
    </row>
    <row r="97" spans="1:10" s="411" customFormat="1" ht="22.25" hidden="1" customHeight="1">
      <c r="A97" s="300">
        <v>92</v>
      </c>
      <c r="B97" s="676" t="s">
        <v>904</v>
      </c>
      <c r="C97" s="301">
        <f>SUMIF(BE!$B$5:$B$810,B97,BE!$C$5:$C$810)</f>
        <v>0</v>
      </c>
      <c r="D97" s="329" t="str">
        <f>VLOOKUP(B97,BE!$B$5:$E$810,4,FALSE)</f>
        <v>Sht</v>
      </c>
      <c r="E97" s="301">
        <f>VLOOKUP(B97,'M&amp;L Rate'!$B$7:$J$159,4,FALSE)</f>
        <v>1500</v>
      </c>
      <c r="F97" s="329" t="str">
        <f t="shared" si="12"/>
        <v>Sht</v>
      </c>
      <c r="G97" s="352">
        <f t="shared" si="13"/>
        <v>0</v>
      </c>
      <c r="H97" s="677"/>
    </row>
    <row r="98" spans="1:10" s="411" customFormat="1" ht="22.25" hidden="1" customHeight="1">
      <c r="A98" s="300">
        <v>93</v>
      </c>
      <c r="B98" s="676" t="s">
        <v>905</v>
      </c>
      <c r="C98" s="301">
        <f>SUMIF(BE!$B$5:$B$810,B98,BE!$C$5:$C$810)</f>
        <v>0</v>
      </c>
      <c r="D98" s="329" t="str">
        <f>VLOOKUP(B98,BE!$B$5:$E$810,4,FALSE)</f>
        <v>Nos.</v>
      </c>
      <c r="E98" s="301">
        <f>VLOOKUP(B98,'M&amp;L Rate'!$B$7:$J$159,4,FALSE)</f>
        <v>2500</v>
      </c>
      <c r="F98" s="329" t="str">
        <f t="shared" si="12"/>
        <v>Nos.</v>
      </c>
      <c r="G98" s="352">
        <f t="shared" si="13"/>
        <v>0</v>
      </c>
      <c r="H98" s="677"/>
    </row>
    <row r="99" spans="1:10" s="411" customFormat="1" ht="22.25" customHeight="1">
      <c r="A99" s="300">
        <v>94</v>
      </c>
      <c r="B99" s="676" t="s">
        <v>947</v>
      </c>
      <c r="C99" s="301">
        <f>SUMIF(BE!$B$5:$B$810,B99,BE!$C$5:$C$810)</f>
        <v>12.24</v>
      </c>
      <c r="D99" s="329" t="str">
        <f>VLOOKUP(B99,BE!$B$5:$E$810,4,FALSE)</f>
        <v>%Fs</v>
      </c>
      <c r="E99" s="301">
        <f>VLOOKUP(B99,'M&amp;L Rate'!$B$7:$J$159,4,FALSE)</f>
        <v>630000</v>
      </c>
      <c r="F99" s="329" t="str">
        <f>D99</f>
        <v>%Fs</v>
      </c>
      <c r="G99" s="352">
        <f>E99*C99</f>
        <v>7711200</v>
      </c>
      <c r="H99" s="677"/>
    </row>
    <row r="100" spans="1:10" s="411" customFormat="1" ht="22.25" customHeight="1">
      <c r="A100" s="300">
        <v>95</v>
      </c>
      <c r="B100" s="676" t="s">
        <v>933</v>
      </c>
      <c r="C100" s="301">
        <f>SUMIF(BE!$B$5:$B$810,B100,BE!$C$5:$C$810)</f>
        <v>47.96</v>
      </c>
      <c r="D100" s="329" t="str">
        <f>VLOOKUP(B100,BE!$B$5:$E$810,4,FALSE)</f>
        <v>Rft</v>
      </c>
      <c r="E100" s="301">
        <f>VLOOKUP(B100,'M&amp;L Rate'!$B$7:$J$159,4,FALSE)</f>
        <v>40000</v>
      </c>
      <c r="F100" s="329" t="str">
        <f>D100</f>
        <v>Rft</v>
      </c>
      <c r="G100" s="352">
        <f>E100*C100</f>
        <v>1918400</v>
      </c>
      <c r="H100" s="677"/>
      <c r="I100" s="411">
        <v>1887000</v>
      </c>
      <c r="J100" s="413">
        <f>I100/C100</f>
        <v>39345.287739783154</v>
      </c>
    </row>
    <row r="101" spans="1:10" s="412" customFormat="1" ht="22.25" customHeight="1" thickBot="1">
      <c r="A101" s="300"/>
      <c r="B101" s="304"/>
      <c r="C101" s="301"/>
      <c r="D101" s="329"/>
      <c r="E101" s="301"/>
      <c r="F101" s="329"/>
      <c r="G101" s="352"/>
      <c r="H101" s="677" t="s">
        <v>600</v>
      </c>
      <c r="I101" s="411"/>
    </row>
    <row r="102" spans="1:10" s="411" customFormat="1" ht="22.25" customHeight="1" thickBot="1">
      <c r="A102" s="305"/>
      <c r="B102" s="306" t="s">
        <v>311</v>
      </c>
      <c r="C102" s="307"/>
      <c r="D102" s="308"/>
      <c r="E102" s="307"/>
      <c r="F102" s="308"/>
      <c r="G102" s="367">
        <f>SUM(G5:G101)</f>
        <v>170700558.29319531</v>
      </c>
      <c r="H102" s="369"/>
      <c r="I102" s="689">
        <f>BE!I811</f>
        <v>170700558.29319525</v>
      </c>
    </row>
    <row r="103" spans="1:10" s="401" customFormat="1" ht="22.25" customHeight="1" thickTop="1">
      <c r="A103" s="309"/>
      <c r="B103" s="310"/>
      <c r="C103" s="311"/>
      <c r="D103" s="312"/>
      <c r="E103" s="354"/>
      <c r="F103" s="312"/>
      <c r="G103" s="355"/>
      <c r="H103" s="678"/>
      <c r="I103" s="690">
        <f>G102-I102</f>
        <v>0</v>
      </c>
    </row>
    <row r="104" spans="1:10" s="401" customFormat="1" ht="22.25" customHeight="1">
      <c r="A104" s="300"/>
      <c r="B104" s="310" t="s">
        <v>29</v>
      </c>
      <c r="C104" s="301"/>
      <c r="D104" s="302"/>
      <c r="E104" s="352"/>
      <c r="F104" s="302"/>
      <c r="G104" s="352"/>
      <c r="H104" s="677"/>
      <c r="I104" s="411"/>
    </row>
    <row r="105" spans="1:10" s="411" customFormat="1" ht="22.25" customHeight="1">
      <c r="A105" s="313">
        <v>1</v>
      </c>
      <c r="B105" s="304" t="s">
        <v>143</v>
      </c>
      <c r="C105" s="301">
        <f>SUMIF(BE!$B$5:$B$810,B105,BE!$C$5:$C$810)</f>
        <v>0.16</v>
      </c>
      <c r="D105" s="302" t="s">
        <v>304</v>
      </c>
      <c r="E105" s="301">
        <f>VLOOKUP(B105,'M&amp;L Rate'!$B$7:$J$159,9,FALSE)</f>
        <v>30250.000000000004</v>
      </c>
      <c r="F105" s="329" t="str">
        <f t="shared" ref="F105:F118" si="14">D105</f>
        <v>Nos.</v>
      </c>
      <c r="G105" s="352">
        <f t="shared" ref="G105:G111" si="15">E105*C105</f>
        <v>4840.0000000000009</v>
      </c>
      <c r="H105" s="677" t="s">
        <v>415</v>
      </c>
      <c r="I105" s="301">
        <f>SUMIF(BE!$B$5:$B$810,B105,BE!$H$5:$H$810)</f>
        <v>4840.0000000000009</v>
      </c>
    </row>
    <row r="106" spans="1:10" s="401" customFormat="1" ht="22.25" customHeight="1">
      <c r="A106" s="313">
        <v>2</v>
      </c>
      <c r="B106" s="304" t="s">
        <v>68</v>
      </c>
      <c r="C106" s="301">
        <f>SUMIF(BE!$B$5:$B$810,B106,BE!$C$5:$C$810)</f>
        <v>616.76999999999987</v>
      </c>
      <c r="D106" s="302" t="s">
        <v>304</v>
      </c>
      <c r="E106" s="301">
        <f>VLOOKUP(B106,'M&amp;L Rate'!$B$7:$J$159,9,FALSE)</f>
        <v>30250.000000000004</v>
      </c>
      <c r="F106" s="329" t="str">
        <f t="shared" si="14"/>
        <v>Nos.</v>
      </c>
      <c r="G106" s="352">
        <f>E106*C106</f>
        <v>18657292.5</v>
      </c>
      <c r="H106" s="677" t="s">
        <v>415</v>
      </c>
      <c r="I106" s="301">
        <f>SUMIF(BE!$B$5:$B$810,B106,BE!$H$5:$H$810)</f>
        <v>18657292.5</v>
      </c>
    </row>
    <row r="107" spans="1:10" s="401" customFormat="1" ht="22.25" customHeight="1">
      <c r="A107" s="313">
        <v>3</v>
      </c>
      <c r="B107" s="303" t="s">
        <v>69</v>
      </c>
      <c r="C107" s="301">
        <f>SUMIF(BE!$B$5:$B$810,B107,BE!$C$5:$C$810)</f>
        <v>426.51</v>
      </c>
      <c r="D107" s="302" t="s">
        <v>304</v>
      </c>
      <c r="E107" s="301">
        <f>VLOOKUP(B107,'M&amp;L Rate'!$B$7:$J$159,9,FALSE)</f>
        <v>30250.000000000004</v>
      </c>
      <c r="F107" s="329" t="str">
        <f t="shared" si="14"/>
        <v>Nos.</v>
      </c>
      <c r="G107" s="352">
        <f t="shared" si="15"/>
        <v>12901927.500000002</v>
      </c>
      <c r="H107" s="677" t="s">
        <v>415</v>
      </c>
      <c r="I107" s="301">
        <f>SUMIF(BE!$B$5:$B$810,B107,BE!$H$5:$H$810)</f>
        <v>12901927.500000002</v>
      </c>
    </row>
    <row r="108" spans="1:10" s="401" customFormat="1" ht="22.25" customHeight="1">
      <c r="A108" s="313">
        <v>4</v>
      </c>
      <c r="B108" s="303" t="s">
        <v>242</v>
      </c>
      <c r="C108" s="301">
        <f>SUMIF(BE!$B$5:$B$810,B108,BE!$C$5:$C$810)</f>
        <v>171.41000000000003</v>
      </c>
      <c r="D108" s="302" t="s">
        <v>304</v>
      </c>
      <c r="E108" s="301">
        <f>VLOOKUP(B108,'M&amp;L Rate'!$B$7:$J$159,9,FALSE)</f>
        <v>30250.000000000004</v>
      </c>
      <c r="F108" s="329" t="str">
        <f t="shared" si="14"/>
        <v>Nos.</v>
      </c>
      <c r="G108" s="352">
        <f t="shared" si="15"/>
        <v>5185152.5000000009</v>
      </c>
      <c r="H108" s="677" t="s">
        <v>415</v>
      </c>
      <c r="I108" s="301">
        <f>SUMIF(BE!$B$5:$B$810,B108,BE!$H$5:$H$810)</f>
        <v>5185152.5</v>
      </c>
    </row>
    <row r="109" spans="1:10" s="401" customFormat="1">
      <c r="A109" s="313">
        <v>5</v>
      </c>
      <c r="B109" s="303" t="s">
        <v>75</v>
      </c>
      <c r="C109" s="301">
        <f>SUMIF(BE!$B$5:$B$810,B109,BE!$C$5:$C$810)</f>
        <v>244.03</v>
      </c>
      <c r="D109" s="302" t="s">
        <v>304</v>
      </c>
      <c r="E109" s="301">
        <f>VLOOKUP(B109,'M&amp;L Rate'!$B$7:$J$159,9,FALSE)</f>
        <v>30250.000000000004</v>
      </c>
      <c r="F109" s="329" t="str">
        <f t="shared" si="14"/>
        <v>Nos.</v>
      </c>
      <c r="G109" s="352">
        <f>E109*C109</f>
        <v>7381907.5000000009</v>
      </c>
      <c r="H109" s="677" t="s">
        <v>415</v>
      </c>
      <c r="I109" s="301">
        <f>SUMIF(BE!$B$5:$B$810,B109,BE!$H$5:$H$810)</f>
        <v>7381907.5000000009</v>
      </c>
    </row>
    <row r="110" spans="1:10" s="401" customFormat="1">
      <c r="A110" s="313">
        <v>6</v>
      </c>
      <c r="B110" s="303" t="s">
        <v>67</v>
      </c>
      <c r="C110" s="301">
        <f>SUMIF(BE!$B$5:$B$810,B110,BE!$C$5:$C$810)</f>
        <v>1549.0199999999998</v>
      </c>
      <c r="D110" s="302" t="s">
        <v>304</v>
      </c>
      <c r="E110" s="301">
        <f>VLOOKUP(B110,'M&amp;L Rate'!$B$7:$J$159,9,FALSE)</f>
        <v>21780</v>
      </c>
      <c r="F110" s="329" t="str">
        <f t="shared" si="14"/>
        <v>Nos.</v>
      </c>
      <c r="G110" s="352">
        <f t="shared" si="15"/>
        <v>33737655.599999994</v>
      </c>
      <c r="H110" s="677" t="s">
        <v>415</v>
      </c>
      <c r="I110" s="301">
        <f>SUMIF(BE!$B$5:$B$810,B110,BE!$H$5:$H$810)</f>
        <v>33737655.600000001</v>
      </c>
    </row>
    <row r="111" spans="1:10" s="401" customFormat="1">
      <c r="A111" s="313">
        <v>7</v>
      </c>
      <c r="B111" s="303" t="s">
        <v>536</v>
      </c>
      <c r="C111" s="301">
        <f>SUMIF(BE!$B$5:$B$810,B111,BE!$C$5:$C$810)</f>
        <v>15.630000000000003</v>
      </c>
      <c r="D111" s="302" t="s">
        <v>304</v>
      </c>
      <c r="E111" s="301">
        <f>VLOOKUP(B111,'M&amp;L Rate'!$B$7:$J$159,9,FALSE)</f>
        <v>30250.000000000004</v>
      </c>
      <c r="F111" s="329" t="str">
        <f t="shared" si="14"/>
        <v>Nos.</v>
      </c>
      <c r="G111" s="352">
        <f t="shared" si="15"/>
        <v>472807.50000000012</v>
      </c>
      <c r="H111" s="677"/>
      <c r="I111" s="301">
        <f>SUMIF(BE!$B$5:$B$810,B111,BE!$H$5:$H$810)</f>
        <v>472807.50000000006</v>
      </c>
    </row>
    <row r="112" spans="1:10" s="401" customFormat="1" ht="45.65" customHeight="1">
      <c r="A112" s="313">
        <v>8</v>
      </c>
      <c r="B112" s="910" t="s">
        <v>377</v>
      </c>
      <c r="C112" s="301">
        <f>SUMIF(BE!$B$5:$B$810,B112,BE!$C$5:$C$810)</f>
        <v>1575</v>
      </c>
      <c r="D112" s="329" t="str">
        <f>VLOOKUP(B112,BE!$B$5:$E$810,4,FALSE)</f>
        <v>Sft</v>
      </c>
      <c r="E112" s="301">
        <f>VLOOKUP(B112,'M&amp;L Rate'!$B$7:$J$159,9,FALSE)</f>
        <v>3000</v>
      </c>
      <c r="F112" s="329" t="str">
        <f t="shared" si="14"/>
        <v>Sft</v>
      </c>
      <c r="G112" s="352">
        <f>E112*C112</f>
        <v>4725000</v>
      </c>
      <c r="H112" s="683"/>
      <c r="I112" s="426" t="e">
        <f>BE!#REF!</f>
        <v>#REF!</v>
      </c>
    </row>
    <row r="113" spans="1:11" s="401" customFormat="1" ht="25.75" customHeight="1">
      <c r="A113" s="313">
        <v>9</v>
      </c>
      <c r="B113" s="1060" t="s">
        <v>841</v>
      </c>
      <c r="C113" s="301">
        <f>SUMIF(BE!$B$5:$B$810,B113,BE!$C$5:$C$810)</f>
        <v>2259</v>
      </c>
      <c r="D113" s="329" t="str">
        <f>VLOOKUP(B113,BE!$B$5:$E$810,4,FALSE)</f>
        <v>Sft</v>
      </c>
      <c r="E113" s="301">
        <f>VLOOKUP(B113,'M&amp;L Rate'!$B$7:$J$159,9,FALSE)</f>
        <v>1000</v>
      </c>
      <c r="F113" s="329" t="str">
        <f t="shared" si="14"/>
        <v>Sft</v>
      </c>
      <c r="G113" s="352">
        <f t="shared" ref="G113:G118" si="16">E113*C113</f>
        <v>2259000</v>
      </c>
      <c r="H113" s="683"/>
      <c r="I113" s="426"/>
    </row>
    <row r="114" spans="1:11" s="401" customFormat="1" ht="22.75" customHeight="1">
      <c r="A114" s="313">
        <v>10</v>
      </c>
      <c r="B114" s="1060" t="s">
        <v>866</v>
      </c>
      <c r="C114" s="301">
        <f>SUMIF(BE!$B$5:$B$810,B114,BE!$C$5:$C$810)</f>
        <v>55</v>
      </c>
      <c r="D114" s="329" t="str">
        <f>VLOOKUP(B114,BE!$B$5:$E$810,4,FALSE)</f>
        <v>Sft</v>
      </c>
      <c r="E114" s="301">
        <f>VLOOKUP(B114,'M&amp;L Rate'!$B$7:$J$159,9,FALSE)</f>
        <v>1350</v>
      </c>
      <c r="F114" s="329" t="str">
        <f t="shared" si="14"/>
        <v>Sft</v>
      </c>
      <c r="G114" s="352">
        <f t="shared" si="16"/>
        <v>74250</v>
      </c>
      <c r="H114" s="683"/>
      <c r="I114" s="426"/>
    </row>
    <row r="115" spans="1:11" s="401" customFormat="1">
      <c r="A115" s="313">
        <v>11</v>
      </c>
      <c r="B115" s="1060" t="s">
        <v>878</v>
      </c>
      <c r="C115" s="301">
        <f>SUMIF(BE!$B$5:$B$810,B115,BE!$C$5:$C$810)</f>
        <v>249.7</v>
      </c>
      <c r="D115" s="329" t="str">
        <f>VLOOKUP(B115,BE!$B$5:$E$810,4,FALSE)</f>
        <v>Sft</v>
      </c>
      <c r="E115" s="301">
        <f>VLOOKUP(B115,'M&amp;L Rate'!$B$7:$J$159,9,FALSE)</f>
        <v>2550</v>
      </c>
      <c r="F115" s="329" t="str">
        <f t="shared" si="14"/>
        <v>Sft</v>
      </c>
      <c r="G115" s="352">
        <f t="shared" si="16"/>
        <v>636735</v>
      </c>
      <c r="H115" s="683"/>
      <c r="I115" s="426"/>
    </row>
    <row r="116" spans="1:11" s="401" customFormat="1" ht="28.75" customHeight="1">
      <c r="A116" s="313">
        <v>12</v>
      </c>
      <c r="B116" s="1060" t="s">
        <v>879</v>
      </c>
      <c r="C116" s="301">
        <f>SUMIF(BE!$B$5:$B$810,B116,BE!$C$5:$C$810)</f>
        <v>8</v>
      </c>
      <c r="D116" s="329" t="str">
        <f>VLOOKUP(B116,BE!$B$5:$E$810,4,FALSE)</f>
        <v>Nos.</v>
      </c>
      <c r="E116" s="301">
        <f>VLOOKUP(B116,'M&amp;L Rate'!$B$7:$J$159,9,FALSE)</f>
        <v>22000</v>
      </c>
      <c r="F116" s="329" t="str">
        <f t="shared" si="14"/>
        <v>Nos.</v>
      </c>
      <c r="G116" s="352">
        <f t="shared" si="16"/>
        <v>176000</v>
      </c>
      <c r="H116" s="683"/>
      <c r="I116" s="426"/>
    </row>
    <row r="117" spans="1:11" s="401" customFormat="1" ht="28.75" customHeight="1">
      <c r="A117" s="313">
        <v>13</v>
      </c>
      <c r="B117" s="1060" t="s">
        <v>880</v>
      </c>
      <c r="C117" s="301">
        <f>SUMIF(BE!$B$5:$B$810,B117,BE!$C$5:$C$810)</f>
        <v>2</v>
      </c>
      <c r="D117" s="329" t="str">
        <f>VLOOKUP(B117,BE!$B$5:$E$810,4,FALSE)</f>
        <v>Set</v>
      </c>
      <c r="E117" s="301">
        <f>VLOOKUP(B117,'M&amp;L Rate'!$B$7:$J$159,9,FALSE)</f>
        <v>49500</v>
      </c>
      <c r="F117" s="329" t="str">
        <f t="shared" si="14"/>
        <v>Set</v>
      </c>
      <c r="G117" s="352">
        <f t="shared" si="16"/>
        <v>99000</v>
      </c>
      <c r="H117" s="683"/>
      <c r="I117" s="426"/>
    </row>
    <row r="118" spans="1:11" s="401" customFormat="1" ht="28.75" hidden="1" customHeight="1">
      <c r="A118" s="313">
        <v>14</v>
      </c>
      <c r="B118" s="1060" t="s">
        <v>896</v>
      </c>
      <c r="C118" s="301">
        <f>SUMIF(BE!$B$5:$B$810,B118,BE!$C$5:$C$810)</f>
        <v>0</v>
      </c>
      <c r="D118" s="329" t="str">
        <f>VLOOKUP(B118,BE!$B$5:$E$810,4,FALSE)</f>
        <v>Sud</v>
      </c>
      <c r="E118" s="301">
        <f>VLOOKUP(B118,'M&amp;L Rate'!$B$7:$J$159,9,FALSE)</f>
        <v>378500</v>
      </c>
      <c r="F118" s="329" t="str">
        <f t="shared" si="14"/>
        <v>Sud</v>
      </c>
      <c r="G118" s="352">
        <f t="shared" si="16"/>
        <v>0</v>
      </c>
      <c r="H118" s="683"/>
      <c r="I118" s="426"/>
    </row>
    <row r="119" spans="1:11" s="401" customFormat="1" ht="28.75" customHeight="1">
      <c r="A119" s="313">
        <v>14</v>
      </c>
      <c r="B119" s="1060" t="s">
        <v>949</v>
      </c>
      <c r="C119" s="301">
        <f>SUMIF(BE!$B$5:$B$810,B119,BE!$C$5:$C$810)</f>
        <v>12.24</v>
      </c>
      <c r="D119" s="329" t="str">
        <f>VLOOKUP(B119,BE!$B$5:$E$810,4,FALSE)</f>
        <v>Sud</v>
      </c>
      <c r="E119" s="301">
        <f>VLOOKUP(B119,'M&amp;L Rate'!$B$7:$J$159,9,FALSE)</f>
        <v>150000</v>
      </c>
      <c r="F119" s="329" t="str">
        <f>D119</f>
        <v>Sud</v>
      </c>
      <c r="G119" s="352">
        <f>E119*C119</f>
        <v>1836000</v>
      </c>
      <c r="H119" s="683"/>
      <c r="I119" s="426"/>
    </row>
    <row r="120" spans="1:11" ht="22.25" customHeight="1">
      <c r="A120" s="323"/>
      <c r="B120" s="681"/>
      <c r="C120" s="325"/>
      <c r="D120" s="682"/>
      <c r="E120" s="325"/>
      <c r="F120" s="682"/>
      <c r="G120" s="353"/>
      <c r="H120" s="683"/>
      <c r="I120" s="401"/>
    </row>
    <row r="121" spans="1:11" s="401" customFormat="1" ht="22.25" customHeight="1" thickBot="1">
      <c r="A121" s="684"/>
      <c r="B121" s="685" t="s">
        <v>57</v>
      </c>
      <c r="C121" s="686"/>
      <c r="D121" s="684"/>
      <c r="E121" s="686"/>
      <c r="F121" s="684"/>
      <c r="G121" s="688">
        <f>SUM(G103:G120)</f>
        <v>88147568.099999994</v>
      </c>
      <c r="H121" s="687"/>
      <c r="I121" s="394">
        <f>BE!J811</f>
        <v>88147568.100000009</v>
      </c>
      <c r="J121" s="901">
        <f>G121-I121</f>
        <v>0</v>
      </c>
      <c r="K121" s="901">
        <f>J121+I103</f>
        <v>0</v>
      </c>
    </row>
    <row r="122" spans="1:11" s="401" customFormat="1" ht="25.25" customHeight="1">
      <c r="A122" s="735"/>
      <c r="B122" s="729" t="s">
        <v>391</v>
      </c>
      <c r="C122" s="736"/>
      <c r="D122" s="735"/>
      <c r="E122" s="736"/>
      <c r="F122" s="735"/>
      <c r="G122" s="737">
        <f>G121+G102</f>
        <v>258848126.3931953</v>
      </c>
      <c r="H122" s="738"/>
      <c r="I122" s="394">
        <f>BE!H811</f>
        <v>258848126.39319527</v>
      </c>
      <c r="J122" s="901">
        <f>G122-I122</f>
        <v>0</v>
      </c>
    </row>
    <row r="123" spans="1:11" ht="27.65" customHeight="1">
      <c r="A123" s="730"/>
      <c r="B123" s="731" t="s">
        <v>529</v>
      </c>
      <c r="C123" s="732"/>
      <c r="D123" s="747">
        <v>0.03</v>
      </c>
      <c r="E123" s="732"/>
      <c r="F123" s="730"/>
      <c r="G123" s="733">
        <f>D123*G122</f>
        <v>7765443.7917958591</v>
      </c>
      <c r="H123" s="734"/>
      <c r="I123" s="901">
        <f>G122*5%</f>
        <v>12942406.319659766</v>
      </c>
    </row>
    <row r="124" spans="1:11" ht="27.65" customHeight="1">
      <c r="A124" s="896"/>
      <c r="B124" s="731" t="s">
        <v>649</v>
      </c>
      <c r="C124" s="897"/>
      <c r="D124" s="898">
        <v>0.05</v>
      </c>
      <c r="E124" s="897"/>
      <c r="F124" s="896"/>
      <c r="G124" s="899">
        <f>(G122+G123)*D124</f>
        <v>13330678.509249559</v>
      </c>
      <c r="H124" s="900"/>
      <c r="I124" s="401"/>
    </row>
    <row r="125" spans="1:11" ht="27.65" customHeight="1" thickBot="1">
      <c r="A125" s="740"/>
      <c r="B125" s="739" t="s">
        <v>530</v>
      </c>
      <c r="C125" s="741"/>
      <c r="D125" s="748">
        <v>0.1</v>
      </c>
      <c r="E125" s="741"/>
      <c r="F125" s="740"/>
      <c r="G125" s="742">
        <f>D125*(G123+G122+G124)</f>
        <v>27994424.869424071</v>
      </c>
      <c r="H125" s="743"/>
      <c r="I125" s="401"/>
    </row>
    <row r="126" spans="1:11" ht="27.65" customHeight="1" thickBot="1">
      <c r="A126" s="744"/>
      <c r="B126" s="1107" t="s">
        <v>386</v>
      </c>
      <c r="C126" s="1108"/>
      <c r="D126" s="1108"/>
      <c r="E126" s="1108"/>
      <c r="F126" s="1109"/>
      <c r="G126" s="745">
        <f>SUM(G122:G125)</f>
        <v>307938673.56366473</v>
      </c>
      <c r="H126" s="746"/>
      <c r="I126" s="394">
        <f>BE!H815</f>
        <v>307938673.56366473</v>
      </c>
      <c r="J126" s="414">
        <f>G126-I126</f>
        <v>0</v>
      </c>
    </row>
    <row r="127" spans="1:11" ht="25.75" customHeight="1" thickBot="1">
      <c r="A127" s="327"/>
      <c r="B127" s="1100" t="s">
        <v>345</v>
      </c>
      <c r="C127" s="1101"/>
      <c r="D127" s="1101"/>
      <c r="E127" s="1101"/>
      <c r="F127" s="1104"/>
      <c r="G127" s="359">
        <f>ROUNDDOWN(G126,-5)</f>
        <v>307900000</v>
      </c>
      <c r="H127" s="374"/>
    </row>
    <row r="130" spans="2:2">
      <c r="B130" s="419"/>
    </row>
    <row r="131" spans="2:2">
      <c r="B131" s="419"/>
    </row>
    <row r="132" spans="2:2">
      <c r="B132" s="419"/>
    </row>
    <row r="133" spans="2:2">
      <c r="B133" s="419"/>
    </row>
    <row r="134" spans="2:2">
      <c r="B134" s="419"/>
    </row>
    <row r="135" spans="2:2">
      <c r="B135" s="419"/>
    </row>
    <row r="136" spans="2:2">
      <c r="B136" s="419"/>
    </row>
    <row r="137" spans="2:2">
      <c r="B137" s="419"/>
    </row>
    <row r="138" spans="2:2">
      <c r="B138" s="419"/>
    </row>
    <row r="139" spans="2:2">
      <c r="B139" s="419"/>
    </row>
    <row r="140" spans="2:2">
      <c r="B140" s="419"/>
    </row>
    <row r="141" spans="2:2">
      <c r="B141" s="419"/>
    </row>
    <row r="142" spans="2:2">
      <c r="B142" s="419"/>
    </row>
    <row r="143" spans="2:2">
      <c r="B143" s="419"/>
    </row>
    <row r="144" spans="2:2">
      <c r="B144" s="419"/>
    </row>
    <row r="145" spans="2:2">
      <c r="B145" s="419"/>
    </row>
    <row r="146" spans="2:2">
      <c r="B146" s="419"/>
    </row>
    <row r="147" spans="2:2">
      <c r="B147" s="419"/>
    </row>
    <row r="148" spans="2:2">
      <c r="B148" s="419"/>
    </row>
    <row r="149" spans="2:2">
      <c r="B149" s="419"/>
    </row>
    <row r="150" spans="2:2">
      <c r="B150" s="419"/>
    </row>
    <row r="151" spans="2:2">
      <c r="B151" s="419"/>
    </row>
    <row r="152" spans="2:2">
      <c r="B152" s="419"/>
    </row>
    <row r="153" spans="2:2">
      <c r="B153" s="419"/>
    </row>
    <row r="154" spans="2:2">
      <c r="B154" s="419"/>
    </row>
    <row r="155" spans="2:2">
      <c r="B155" s="419"/>
    </row>
    <row r="156" spans="2:2">
      <c r="B156" s="419"/>
    </row>
    <row r="157" spans="2:2">
      <c r="B157" s="419"/>
    </row>
    <row r="158" spans="2:2">
      <c r="B158" s="419"/>
    </row>
    <row r="159" spans="2:2">
      <c r="B159" s="419"/>
    </row>
    <row r="160" spans="2:2">
      <c r="B160" s="419"/>
    </row>
    <row r="161" spans="2:2">
      <c r="B161" s="419"/>
    </row>
    <row r="162" spans="2:2">
      <c r="B162" s="419"/>
    </row>
    <row r="163" spans="2:2">
      <c r="B163" s="419"/>
    </row>
    <row r="164" spans="2:2">
      <c r="B164" s="419"/>
    </row>
    <row r="165" spans="2:2">
      <c r="B165" s="419"/>
    </row>
    <row r="166" spans="2:2">
      <c r="B166" s="419"/>
    </row>
    <row r="167" spans="2:2">
      <c r="B167" s="419"/>
    </row>
    <row r="168" spans="2:2">
      <c r="B168" s="419"/>
    </row>
    <row r="169" spans="2:2">
      <c r="B169" s="419"/>
    </row>
    <row r="170" spans="2:2">
      <c r="B170" s="419"/>
    </row>
    <row r="171" spans="2:2">
      <c r="B171" s="419"/>
    </row>
    <row r="172" spans="2:2">
      <c r="B172" s="419"/>
    </row>
    <row r="173" spans="2:2">
      <c r="B173" s="419"/>
    </row>
    <row r="174" spans="2:2">
      <c r="B174" s="419"/>
    </row>
    <row r="175" spans="2:2">
      <c r="B175" s="419"/>
    </row>
    <row r="176" spans="2:2">
      <c r="B176" s="419"/>
    </row>
    <row r="177" spans="2:2">
      <c r="B177" s="419"/>
    </row>
    <row r="178" spans="2:2">
      <c r="B178" s="419"/>
    </row>
    <row r="179" spans="2:2">
      <c r="B179" s="419"/>
    </row>
    <row r="180" spans="2:2">
      <c r="B180" s="419"/>
    </row>
    <row r="181" spans="2:2">
      <c r="B181" s="419"/>
    </row>
    <row r="182" spans="2:2">
      <c r="B182" s="419"/>
    </row>
    <row r="183" spans="2:2">
      <c r="B183" s="419"/>
    </row>
    <row r="185" spans="2:2">
      <c r="B185" s="419"/>
    </row>
    <row r="186" spans="2:2">
      <c r="B186" s="419"/>
    </row>
    <row r="187" spans="2:2">
      <c r="B187" s="419"/>
    </row>
    <row r="188" spans="2:2">
      <c r="B188" s="419"/>
    </row>
    <row r="189" spans="2:2">
      <c r="B189" s="419"/>
    </row>
    <row r="190" spans="2:2">
      <c r="B190" s="419"/>
    </row>
    <row r="191" spans="2:2">
      <c r="B191" s="419"/>
    </row>
    <row r="192" spans="2:2">
      <c r="B192" s="419"/>
    </row>
    <row r="193" spans="2:2">
      <c r="B193" s="419"/>
    </row>
    <row r="194" spans="2:2">
      <c r="B194" s="419"/>
    </row>
    <row r="195" spans="2:2">
      <c r="B195" s="419"/>
    </row>
    <row r="196" spans="2:2">
      <c r="B196" s="419"/>
    </row>
    <row r="197" spans="2:2">
      <c r="B197" s="419"/>
    </row>
    <row r="198" spans="2:2">
      <c r="B198" s="419"/>
    </row>
  </sheetData>
  <mergeCells count="5">
    <mergeCell ref="B127:F127"/>
    <mergeCell ref="A1:H1"/>
    <mergeCell ref="A2:H2"/>
    <mergeCell ref="A3:H3"/>
    <mergeCell ref="B126:F126"/>
  </mergeCells>
  <phoneticPr fontId="35" type="noConversion"/>
  <printOptions horizontalCentered="1"/>
  <pageMargins left="0.25" right="0" top="0.25" bottom="0" header="0.05" footer="0.05"/>
  <pageSetup paperSize="9" scale="85" orientation="portrait" horizontalDpi="360" verticalDpi="360" r:id="rId1"/>
  <headerFooter>
    <oddHeader>Page &amp;P of &amp;N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BE29-02B4-4A68-9BC0-8AFC6B1CB308}">
  <dimension ref="A1:U819"/>
  <sheetViews>
    <sheetView view="pageBreakPreview" zoomScale="110" zoomScaleNormal="100" zoomScaleSheetLayoutView="110" workbookViewId="0">
      <pane ySplit="4" topLeftCell="A769" activePane="bottomLeft" state="frozen"/>
      <selection activeCell="A3" sqref="A3"/>
      <selection pane="bottomLeft" activeCell="C4" sqref="C1:E65536"/>
    </sheetView>
  </sheetViews>
  <sheetFormatPr defaultColWidth="9.36328125" defaultRowHeight="23.15" customHeight="1"/>
  <cols>
    <col min="1" max="1" width="4.54296875" style="425" customWidth="1"/>
    <col min="2" max="2" width="40.81640625" style="393" customWidth="1"/>
    <col min="3" max="3" width="9.54296875" style="425" customWidth="1"/>
    <col min="4" max="4" width="10.6328125" style="518" hidden="1" customWidth="1"/>
    <col min="5" max="5" width="5.6328125" style="393" customWidth="1"/>
    <col min="6" max="6" width="15.6328125" style="426" customWidth="1"/>
    <col min="7" max="7" width="5.453125" style="393" customWidth="1"/>
    <col min="8" max="8" width="16.36328125" style="392" customWidth="1"/>
    <col min="9" max="9" width="17.6328125" style="392" customWidth="1"/>
    <col min="10" max="10" width="16.6328125" style="392" customWidth="1"/>
    <col min="11" max="11" width="21.08984375" style="392" customWidth="1"/>
    <col min="12" max="16384" width="9.36328125" style="393"/>
  </cols>
  <sheetData>
    <row r="1" spans="1:11" ht="23.15" customHeight="1">
      <c r="A1" s="1111" t="str">
        <f>Detail!A1</f>
        <v>One Storeyed RCC Building, Myat Lay Street</v>
      </c>
      <c r="B1" s="1111"/>
      <c r="C1" s="1111"/>
      <c r="D1" s="1111"/>
      <c r="E1" s="1111"/>
      <c r="F1" s="1111"/>
      <c r="G1" s="1111"/>
      <c r="H1" s="1111"/>
    </row>
    <row r="2" spans="1:11" s="405" customFormat="1" ht="23.15" customHeight="1">
      <c r="A2" s="1110" t="str">
        <f>Detail!A2</f>
        <v>35'-0"x45'-0"x13'-0" Ht;</v>
      </c>
      <c r="B2" s="1110"/>
      <c r="C2" s="1110"/>
      <c r="D2" s="1110"/>
      <c r="E2" s="1110"/>
      <c r="F2" s="1110"/>
      <c r="G2" s="1110"/>
      <c r="H2" s="1110"/>
      <c r="I2" s="423"/>
      <c r="J2" s="423"/>
      <c r="K2" s="423"/>
    </row>
    <row r="3" spans="1:11" ht="23.15" customHeight="1" thickBot="1">
      <c r="A3" s="1110" t="s">
        <v>243</v>
      </c>
      <c r="B3" s="1110"/>
      <c r="C3" s="1110"/>
      <c r="D3" s="1110"/>
      <c r="E3" s="1110"/>
      <c r="F3" s="1110"/>
      <c r="G3" s="1110"/>
      <c r="H3" s="1110"/>
      <c r="I3" s="427"/>
      <c r="J3" s="404"/>
      <c r="K3" s="423"/>
    </row>
    <row r="4" spans="1:11" s="390" customFormat="1" ht="30" customHeight="1" thickBot="1">
      <c r="A4" s="580" t="s">
        <v>3</v>
      </c>
      <c r="B4" s="581" t="s">
        <v>31</v>
      </c>
      <c r="C4" s="582" t="s">
        <v>32</v>
      </c>
      <c r="D4" s="815"/>
      <c r="E4" s="583" t="s">
        <v>0</v>
      </c>
      <c r="F4" s="584" t="s">
        <v>99</v>
      </c>
      <c r="G4" s="583" t="s">
        <v>34</v>
      </c>
      <c r="H4" s="697" t="s">
        <v>35</v>
      </c>
      <c r="I4" s="708" t="s">
        <v>491</v>
      </c>
      <c r="J4" s="709" t="s">
        <v>185</v>
      </c>
      <c r="K4" s="423"/>
    </row>
    <row r="5" spans="1:11" ht="22.25" customHeight="1">
      <c r="A5" s="496">
        <v>1</v>
      </c>
      <c r="B5" s="497" t="s">
        <v>64</v>
      </c>
      <c r="C5" s="577">
        <f>ROUND(D5,2)</f>
        <v>24.75</v>
      </c>
      <c r="D5" s="578">
        <f>Detail!K11</f>
        <v>24.75</v>
      </c>
      <c r="E5" s="496" t="s">
        <v>220</v>
      </c>
      <c r="F5" s="320"/>
      <c r="G5" s="318"/>
      <c r="H5" s="1071">
        <f>H8</f>
        <v>134818.20000000001</v>
      </c>
      <c r="I5" s="710"/>
      <c r="J5" s="710"/>
      <c r="K5" s="423"/>
    </row>
    <row r="6" spans="1:11" ht="22.25" customHeight="1">
      <c r="A6" s="302"/>
      <c r="B6" s="461" t="s">
        <v>66</v>
      </c>
      <c r="C6" s="329"/>
      <c r="D6" s="430"/>
      <c r="E6" s="302"/>
      <c r="F6" s="301"/>
      <c r="G6" s="302"/>
      <c r="H6" s="698"/>
      <c r="I6" s="710"/>
      <c r="J6" s="710"/>
      <c r="K6" s="423"/>
    </row>
    <row r="7" spans="1:11" ht="22.25" customHeight="1" thickBot="1">
      <c r="A7" s="302"/>
      <c r="B7" s="303" t="s">
        <v>67</v>
      </c>
      <c r="C7" s="329">
        <f>ROUND(D7,2)</f>
        <v>6.19</v>
      </c>
      <c r="D7" s="430">
        <f>D5*0.25</f>
        <v>6.1875</v>
      </c>
      <c r="E7" s="302" t="s">
        <v>3</v>
      </c>
      <c r="F7" s="325">
        <f>VLOOKUP(B7,BQ!$B$6:$E$120,4,FALSE)</f>
        <v>21780</v>
      </c>
      <c r="G7" s="326" t="s">
        <v>3</v>
      </c>
      <c r="H7" s="699">
        <f>F7*C7</f>
        <v>134818.20000000001</v>
      </c>
      <c r="I7" s="710"/>
      <c r="J7" s="710">
        <f>H7</f>
        <v>134818.20000000001</v>
      </c>
    </row>
    <row r="8" spans="1:11" ht="22.25" customHeight="1" thickBot="1">
      <c r="A8" s="302"/>
      <c r="B8" s="421"/>
      <c r="C8" s="329"/>
      <c r="D8" s="430"/>
      <c r="E8" s="432"/>
      <c r="F8" s="555" t="s">
        <v>266</v>
      </c>
      <c r="G8" s="503" t="s">
        <v>221</v>
      </c>
      <c r="H8" s="700">
        <f>SUM(H7)</f>
        <v>134818.20000000001</v>
      </c>
      <c r="I8" s="711"/>
      <c r="J8" s="711"/>
      <c r="K8" s="398"/>
    </row>
    <row r="9" spans="1:11" ht="22.25" customHeight="1" thickTop="1">
      <c r="A9" s="302"/>
      <c r="B9" s="421"/>
      <c r="C9" s="329"/>
      <c r="D9" s="430"/>
      <c r="E9" s="432"/>
      <c r="F9" s="320"/>
      <c r="G9" s="436"/>
      <c r="H9" s="701"/>
      <c r="I9" s="711"/>
      <c r="J9" s="711"/>
      <c r="K9" s="398"/>
    </row>
    <row r="10" spans="1:11" ht="22.25" customHeight="1">
      <c r="A10" s="312">
        <v>2</v>
      </c>
      <c r="B10" s="438" t="s">
        <v>347</v>
      </c>
      <c r="C10" s="428">
        <f>ROUND(D10,2)</f>
        <v>15.75</v>
      </c>
      <c r="D10" s="439">
        <f>Detail!K16</f>
        <v>15.75</v>
      </c>
      <c r="E10" s="312" t="s">
        <v>220</v>
      </c>
      <c r="F10" s="440"/>
      <c r="G10" s="441"/>
      <c r="H10" s="1070">
        <f>H20</f>
        <v>96977.900000000009</v>
      </c>
      <c r="I10" s="710"/>
      <c r="J10" s="711"/>
    </row>
    <row r="11" spans="1:11" ht="22.25" customHeight="1">
      <c r="A11" s="312"/>
      <c r="B11" s="675" t="s">
        <v>65</v>
      </c>
      <c r="C11" s="428"/>
      <c r="D11" s="439"/>
      <c r="E11" s="313"/>
      <c r="F11" s="440"/>
      <c r="G11" s="441"/>
      <c r="H11" s="702"/>
      <c r="I11" s="710"/>
      <c r="J11" s="711"/>
    </row>
    <row r="12" spans="1:11" ht="22.25" customHeight="1">
      <c r="A12" s="302"/>
      <c r="B12" s="303" t="s">
        <v>26</v>
      </c>
      <c r="C12" s="432">
        <f>ROUND(D12,3)</f>
        <v>2.4E-2</v>
      </c>
      <c r="D12" s="444">
        <f>(C10/100*30/50/4)</f>
        <v>2.3624999999999997E-2</v>
      </c>
      <c r="E12" s="445" t="s">
        <v>9</v>
      </c>
      <c r="F12" s="325">
        <f>VLOOKUP(B12,BQ!$B$6:$E$111,4,FALSE)</f>
        <v>1250000</v>
      </c>
      <c r="G12" s="302" t="s">
        <v>3</v>
      </c>
      <c r="H12" s="698">
        <f>F12*C12</f>
        <v>30000</v>
      </c>
      <c r="I12" s="710">
        <f>H12</f>
        <v>30000</v>
      </c>
      <c r="J12" s="710"/>
    </row>
    <row r="13" spans="1:11" ht="22.25" customHeight="1">
      <c r="A13" s="302"/>
      <c r="B13" s="303" t="s">
        <v>21</v>
      </c>
      <c r="C13" s="329">
        <f t="shared" ref="C13:C18" si="0">ROUND(D13,2)</f>
        <v>0.33</v>
      </c>
      <c r="D13" s="430">
        <f>(C10/100*7.5)/3.6</f>
        <v>0.32812499999999994</v>
      </c>
      <c r="E13" s="445" t="s">
        <v>368</v>
      </c>
      <c r="F13" s="325">
        <f>VLOOKUP(B13,BQ!$B$6:$E$111,4,FALSE)</f>
        <v>11600</v>
      </c>
      <c r="G13" s="302" t="s">
        <v>3</v>
      </c>
      <c r="H13" s="698">
        <f>F13*C13</f>
        <v>3828</v>
      </c>
      <c r="I13" s="710">
        <f>H13</f>
        <v>3828</v>
      </c>
      <c r="J13" s="710"/>
    </row>
    <row r="14" spans="1:11" ht="22.25" customHeight="1">
      <c r="A14" s="302"/>
      <c r="B14" s="676"/>
      <c r="C14" s="329"/>
      <c r="D14" s="430"/>
      <c r="E14" s="445"/>
      <c r="F14" s="301"/>
      <c r="G14" s="302"/>
      <c r="H14" s="698">
        <f>SUM(H12:H13)</f>
        <v>33828</v>
      </c>
      <c r="I14" s="710"/>
      <c r="J14" s="710"/>
    </row>
    <row r="15" spans="1:11" ht="22.25" customHeight="1">
      <c r="A15" s="302"/>
      <c r="B15" s="675" t="s">
        <v>66</v>
      </c>
      <c r="C15" s="329"/>
      <c r="D15" s="430"/>
      <c r="E15" s="313"/>
      <c r="F15" s="301"/>
      <c r="G15" s="302"/>
      <c r="H15" s="698"/>
      <c r="I15" s="710"/>
      <c r="J15" s="710"/>
    </row>
    <row r="16" spans="1:11" ht="22.25" customHeight="1">
      <c r="A16" s="302"/>
      <c r="B16" s="303" t="s">
        <v>143</v>
      </c>
      <c r="C16" s="329">
        <f t="shared" si="0"/>
        <v>0.16</v>
      </c>
      <c r="D16" s="430">
        <f>C10/100*1</f>
        <v>0.1575</v>
      </c>
      <c r="E16" s="313" t="s">
        <v>3</v>
      </c>
      <c r="F16" s="325">
        <f>VLOOKUP(B16,BQ!$B$6:$E$120,4,FALSE)</f>
        <v>30250.000000000004</v>
      </c>
      <c r="G16" s="302" t="s">
        <v>3</v>
      </c>
      <c r="H16" s="698">
        <f>F16*C16</f>
        <v>4840.0000000000009</v>
      </c>
      <c r="I16" s="710"/>
      <c r="J16" s="710">
        <f>H16</f>
        <v>4840.0000000000009</v>
      </c>
    </row>
    <row r="17" spans="1:11" ht="22.25" customHeight="1">
      <c r="A17" s="302"/>
      <c r="B17" s="303" t="s">
        <v>68</v>
      </c>
      <c r="C17" s="329">
        <f t="shared" si="0"/>
        <v>0.79</v>
      </c>
      <c r="D17" s="430">
        <f>C10/100*5</f>
        <v>0.78749999999999998</v>
      </c>
      <c r="E17" s="313" t="s">
        <v>3</v>
      </c>
      <c r="F17" s="325">
        <f>VLOOKUP(B17,BQ!$B$6:$E$120,4,FALSE)</f>
        <v>30250.000000000004</v>
      </c>
      <c r="G17" s="302" t="s">
        <v>3</v>
      </c>
      <c r="H17" s="698">
        <f>F17*C17</f>
        <v>23897.500000000004</v>
      </c>
      <c r="I17" s="710"/>
      <c r="J17" s="710">
        <f>H17</f>
        <v>23897.500000000004</v>
      </c>
    </row>
    <row r="18" spans="1:11" ht="22.25" customHeight="1">
      <c r="A18" s="302"/>
      <c r="B18" s="303" t="s">
        <v>67</v>
      </c>
      <c r="C18" s="329">
        <f t="shared" si="0"/>
        <v>1.58</v>
      </c>
      <c r="D18" s="430">
        <f>D10/100*10</f>
        <v>1.575</v>
      </c>
      <c r="E18" s="313" t="s">
        <v>3</v>
      </c>
      <c r="F18" s="325">
        <f>VLOOKUP(B18,BQ!$B$6:$E$120,4,FALSE)</f>
        <v>21780</v>
      </c>
      <c r="G18" s="302" t="s">
        <v>3</v>
      </c>
      <c r="H18" s="698">
        <f>F18*C18</f>
        <v>34412.400000000001</v>
      </c>
      <c r="I18" s="710"/>
      <c r="J18" s="710">
        <f>H18</f>
        <v>34412.400000000001</v>
      </c>
    </row>
    <row r="19" spans="1:11" ht="22.25" customHeight="1" thickBot="1">
      <c r="A19" s="302"/>
      <c r="B19" s="446"/>
      <c r="C19" s="329"/>
      <c r="D19" s="430"/>
      <c r="E19" s="313"/>
      <c r="F19" s="325"/>
      <c r="G19" s="447"/>
      <c r="H19" s="703">
        <f>SUM(H16:H18)</f>
        <v>63149.900000000009</v>
      </c>
      <c r="I19" s="710"/>
      <c r="J19" s="710"/>
    </row>
    <row r="20" spans="1:11" ht="22.25" customHeight="1" thickBot="1">
      <c r="A20" s="302"/>
      <c r="B20" s="446"/>
      <c r="C20" s="329"/>
      <c r="D20" s="430"/>
      <c r="E20" s="302"/>
      <c r="F20" s="555" t="s">
        <v>266</v>
      </c>
      <c r="G20" s="503" t="s">
        <v>221</v>
      </c>
      <c r="H20" s="700">
        <f>H19+H14</f>
        <v>96977.900000000009</v>
      </c>
      <c r="I20" s="710"/>
      <c r="J20" s="710"/>
    </row>
    <row r="21" spans="1:11" ht="22.25" customHeight="1" thickTop="1">
      <c r="A21" s="302"/>
      <c r="B21" s="446"/>
      <c r="C21" s="329"/>
      <c r="D21" s="430"/>
      <c r="E21" s="302"/>
      <c r="F21" s="449"/>
      <c r="G21" s="450"/>
      <c r="H21" s="704"/>
      <c r="I21" s="710"/>
      <c r="J21" s="710"/>
    </row>
    <row r="22" spans="1:11" ht="38.4" customHeight="1">
      <c r="A22" s="312">
        <v>3</v>
      </c>
      <c r="B22" s="452" t="s">
        <v>369</v>
      </c>
      <c r="C22" s="428">
        <f>ROUND(D22,2)</f>
        <v>56.07</v>
      </c>
      <c r="D22" s="439">
        <f>Detail!K43</f>
        <v>56.071230499999999</v>
      </c>
      <c r="E22" s="312" t="s">
        <v>222</v>
      </c>
      <c r="F22" s="440"/>
      <c r="G22" s="441"/>
      <c r="H22" s="1070">
        <f>H25</f>
        <v>2442409.2000000002</v>
      </c>
      <c r="I22" s="710"/>
      <c r="J22" s="710" t="s">
        <v>114</v>
      </c>
    </row>
    <row r="23" spans="1:11" ht="20" customHeight="1">
      <c r="A23" s="312"/>
      <c r="B23" s="675" t="s">
        <v>66</v>
      </c>
      <c r="C23" s="428"/>
      <c r="D23" s="439"/>
      <c r="E23" s="312"/>
      <c r="F23" s="440"/>
      <c r="G23" s="441"/>
      <c r="H23" s="702"/>
      <c r="I23" s="710"/>
      <c r="J23" s="710"/>
    </row>
    <row r="24" spans="1:11" ht="22.25" customHeight="1" thickBot="1">
      <c r="A24" s="302"/>
      <c r="B24" s="303" t="s">
        <v>67</v>
      </c>
      <c r="C24" s="329">
        <f>ROUND(D24,2)</f>
        <v>112.14</v>
      </c>
      <c r="D24" s="430">
        <f>C22*2</f>
        <v>112.14</v>
      </c>
      <c r="E24" s="302" t="s">
        <v>3</v>
      </c>
      <c r="F24" s="325">
        <f>VLOOKUP(B24,BQ!$B$6:$E$120,4,FALSE)</f>
        <v>21780</v>
      </c>
      <c r="G24" s="302" t="s">
        <v>3</v>
      </c>
      <c r="H24" s="698">
        <f>F24*C24</f>
        <v>2442409.2000000002</v>
      </c>
      <c r="I24" s="710"/>
      <c r="J24" s="710">
        <f>H24</f>
        <v>2442409.2000000002</v>
      </c>
    </row>
    <row r="25" spans="1:11" ht="22.25" customHeight="1" thickBot="1">
      <c r="A25" s="302"/>
      <c r="B25" s="431"/>
      <c r="C25" s="329"/>
      <c r="D25" s="430"/>
      <c r="E25" s="302"/>
      <c r="F25" s="555" t="s">
        <v>266</v>
      </c>
      <c r="G25" s="503" t="s">
        <v>221</v>
      </c>
      <c r="H25" s="700">
        <f>SUM(H23:H24)</f>
        <v>2442409.2000000002</v>
      </c>
      <c r="I25" s="710"/>
      <c r="J25" s="710"/>
    </row>
    <row r="26" spans="1:11" ht="22.25" customHeight="1" thickTop="1">
      <c r="A26" s="302"/>
      <c r="B26" s="421"/>
      <c r="C26" s="329"/>
      <c r="D26" s="889">
        <f>D39+D51+D63+D75+D87+D99+D111+D123+D135</f>
        <v>71.269812000000002</v>
      </c>
      <c r="E26" s="432"/>
      <c r="F26" s="301"/>
      <c r="G26" s="432"/>
      <c r="H26" s="705"/>
      <c r="I26" s="711"/>
      <c r="J26" s="711"/>
      <c r="K26" s="398"/>
    </row>
    <row r="27" spans="1:11" ht="22.25" customHeight="1">
      <c r="A27" s="454">
        <v>4</v>
      </c>
      <c r="B27" s="438" t="s">
        <v>945</v>
      </c>
      <c r="C27" s="428">
        <f>ROUND(D27,2)</f>
        <v>71.27</v>
      </c>
      <c r="D27" s="439">
        <f>Detail!K178</f>
        <v>71.269812000000002</v>
      </c>
      <c r="E27" s="457" t="s">
        <v>220</v>
      </c>
      <c r="F27" s="301"/>
      <c r="G27" s="302"/>
      <c r="H27" s="1070">
        <f>H49+H61+H73+H85+H97+H109+H121+H133+H145</f>
        <v>34989192.200000003</v>
      </c>
      <c r="I27" s="710"/>
      <c r="J27" s="710"/>
    </row>
    <row r="28" spans="1:11" ht="22.25" hidden="1" customHeight="1">
      <c r="A28" s="302"/>
      <c r="B28" s="461" t="s">
        <v>65</v>
      </c>
      <c r="C28" s="329"/>
      <c r="D28" s="430"/>
      <c r="E28" s="302"/>
      <c r="F28" s="301"/>
      <c r="G28" s="302"/>
      <c r="H28" s="698"/>
      <c r="I28" s="710"/>
      <c r="J28" s="710"/>
    </row>
    <row r="29" spans="1:11" ht="22.25" hidden="1" customHeight="1">
      <c r="A29" s="302"/>
      <c r="B29" s="303" t="s">
        <v>26</v>
      </c>
      <c r="C29" s="329">
        <f>ROUND(D29,2)</f>
        <v>0</v>
      </c>
      <c r="D29" s="430"/>
      <c r="E29" s="432" t="s">
        <v>9</v>
      </c>
      <c r="F29" s="325">
        <f>VLOOKUP(B29,BQ!$B$6:$E$111,4,FALSE)</f>
        <v>1250000</v>
      </c>
      <c r="G29" s="432" t="s">
        <v>9</v>
      </c>
      <c r="H29" s="698">
        <f>F29*C29</f>
        <v>0</v>
      </c>
      <c r="I29" s="710">
        <f>H29</f>
        <v>0</v>
      </c>
      <c r="J29" s="710"/>
    </row>
    <row r="30" spans="1:11" ht="22.25" hidden="1" customHeight="1">
      <c r="A30" s="302"/>
      <c r="B30" s="303" t="s">
        <v>27</v>
      </c>
      <c r="C30" s="329">
        <f>ROUND(D30,2)</f>
        <v>0</v>
      </c>
      <c r="D30" s="430"/>
      <c r="E30" s="432" t="s">
        <v>19</v>
      </c>
      <c r="F30" s="325">
        <f>VLOOKUP(B30,BQ!$B$6:$E$111,4,FALSE)</f>
        <v>69000</v>
      </c>
      <c r="G30" s="432" t="s">
        <v>19</v>
      </c>
      <c r="H30" s="698">
        <f>F30*C30</f>
        <v>0</v>
      </c>
      <c r="I30" s="710">
        <f>H30</f>
        <v>0</v>
      </c>
      <c r="J30" s="710"/>
    </row>
    <row r="31" spans="1:11" ht="22.25" hidden="1" customHeight="1">
      <c r="A31" s="302"/>
      <c r="B31" s="303" t="s">
        <v>21</v>
      </c>
      <c r="C31" s="329">
        <f>ROUND(D31,2)</f>
        <v>0</v>
      </c>
      <c r="D31" s="430"/>
      <c r="E31" s="432" t="s">
        <v>52</v>
      </c>
      <c r="F31" s="325">
        <f>VLOOKUP(B31,BQ!$B$6:$E$111,4,FALSE)</f>
        <v>11600</v>
      </c>
      <c r="G31" s="432" t="s">
        <v>52</v>
      </c>
      <c r="H31" s="698">
        <f>F31*C31</f>
        <v>0</v>
      </c>
      <c r="I31" s="710">
        <f>H31</f>
        <v>0</v>
      </c>
      <c r="J31" s="710"/>
    </row>
    <row r="32" spans="1:11" ht="22.25" hidden="1" customHeight="1">
      <c r="A32" s="302"/>
      <c r="B32" s="303"/>
      <c r="C32" s="329"/>
      <c r="D32" s="430"/>
      <c r="E32" s="432"/>
      <c r="F32" s="301"/>
      <c r="G32" s="432"/>
      <c r="H32" s="698">
        <f>SUM(H29:H31)</f>
        <v>0</v>
      </c>
      <c r="I32" s="710"/>
      <c r="J32" s="710"/>
    </row>
    <row r="33" spans="1:11" ht="23.15" hidden="1" customHeight="1">
      <c r="A33" s="302"/>
      <c r="B33" s="461" t="s">
        <v>185</v>
      </c>
      <c r="C33" s="329"/>
      <c r="D33" s="430"/>
      <c r="E33" s="302"/>
      <c r="F33" s="301"/>
      <c r="G33" s="302"/>
      <c r="H33" s="698"/>
      <c r="I33" s="710"/>
      <c r="J33" s="710"/>
    </row>
    <row r="34" spans="1:11" ht="23.15" hidden="1" customHeight="1">
      <c r="A34" s="302"/>
      <c r="B34" s="303" t="s">
        <v>68</v>
      </c>
      <c r="C34" s="329">
        <f>ROUND(D34,2)</f>
        <v>0</v>
      </c>
      <c r="D34" s="430"/>
      <c r="E34" s="302" t="s">
        <v>3</v>
      </c>
      <c r="F34" s="325">
        <f>VLOOKUP(B34,BQ!$B$6:$E$120,4,FALSE)</f>
        <v>30250.000000000004</v>
      </c>
      <c r="G34" s="302" t="s">
        <v>3</v>
      </c>
      <c r="H34" s="698">
        <f>F34*C34</f>
        <v>0</v>
      </c>
      <c r="I34" s="710"/>
      <c r="J34" s="710">
        <f>H34</f>
        <v>0</v>
      </c>
    </row>
    <row r="35" spans="1:11" ht="23.15" hidden="1" customHeight="1">
      <c r="A35" s="302"/>
      <c r="B35" s="303" t="s">
        <v>67</v>
      </c>
      <c r="C35" s="329">
        <f>ROUND(D35,2)</f>
        <v>0</v>
      </c>
      <c r="D35" s="430"/>
      <c r="E35" s="302" t="s">
        <v>3</v>
      </c>
      <c r="F35" s="325">
        <f>VLOOKUP(B35,BQ!$B$6:$E$120,4,FALSE)</f>
        <v>21780</v>
      </c>
      <c r="G35" s="302" t="s">
        <v>3</v>
      </c>
      <c r="H35" s="698">
        <f>F35*C35</f>
        <v>0</v>
      </c>
      <c r="I35" s="710" t="s">
        <v>111</v>
      </c>
      <c r="J35" s="710">
        <f>H35</f>
        <v>0</v>
      </c>
    </row>
    <row r="36" spans="1:11" ht="23.15" hidden="1" customHeight="1" thickBot="1">
      <c r="A36" s="302"/>
      <c r="B36" s="431"/>
      <c r="C36" s="329"/>
      <c r="D36" s="430"/>
      <c r="E36" s="302"/>
      <c r="F36" s="449"/>
      <c r="G36" s="447"/>
      <c r="H36" s="703">
        <f>SUM(H34:H35)</f>
        <v>0</v>
      </c>
      <c r="I36" s="710"/>
      <c r="J36" s="710"/>
    </row>
    <row r="37" spans="1:11" ht="23.15" hidden="1" customHeight="1" thickBot="1">
      <c r="A37" s="302"/>
      <c r="B37" s="431"/>
      <c r="C37" s="329"/>
      <c r="D37" s="430"/>
      <c r="E37" s="302"/>
      <c r="F37" s="555" t="s">
        <v>266</v>
      </c>
      <c r="G37" s="503" t="s">
        <v>221</v>
      </c>
      <c r="H37" s="700">
        <f>H36+H32</f>
        <v>0</v>
      </c>
      <c r="I37" s="710"/>
      <c r="J37" s="710"/>
    </row>
    <row r="38" spans="1:11" ht="23.25" hidden="1" customHeight="1" thickTop="1">
      <c r="A38" s="302"/>
      <c r="B38" s="303"/>
      <c r="C38" s="329"/>
      <c r="D38" s="430"/>
      <c r="E38" s="302"/>
      <c r="F38" s="301"/>
      <c r="G38" s="302"/>
      <c r="H38" s="705"/>
      <c r="I38" s="711"/>
      <c r="J38" s="711"/>
      <c r="K38" s="398"/>
    </row>
    <row r="39" spans="1:11" s="396" customFormat="1" ht="23.15" customHeight="1">
      <c r="A39" s="313"/>
      <c r="B39" s="841" t="s">
        <v>624</v>
      </c>
      <c r="C39" s="790">
        <f>ROUND(D39,2)</f>
        <v>4.4000000000000004</v>
      </c>
      <c r="D39" s="439">
        <f>(Detail!K52+Detail!K76)/100</f>
        <v>4.4009999999999998</v>
      </c>
      <c r="E39" s="791" t="s">
        <v>220</v>
      </c>
      <c r="F39" s="813"/>
      <c r="G39" s="814"/>
      <c r="H39" s="1072">
        <f>H49</f>
        <v>2163964.5</v>
      </c>
      <c r="I39" s="793"/>
      <c r="J39" s="793"/>
      <c r="K39" s="395"/>
    </row>
    <row r="40" spans="1:11" s="396" customFormat="1" ht="22.25" customHeight="1">
      <c r="A40" s="313"/>
      <c r="B40" s="675" t="s">
        <v>65</v>
      </c>
      <c r="C40" s="445"/>
      <c r="D40" s="430"/>
      <c r="E40" s="313"/>
      <c r="F40" s="301"/>
      <c r="G40" s="313"/>
      <c r="H40" s="792"/>
      <c r="I40" s="793"/>
      <c r="J40" s="793"/>
      <c r="K40" s="395"/>
    </row>
    <row r="41" spans="1:11" s="396" customFormat="1" ht="22.25" customHeight="1">
      <c r="A41" s="313"/>
      <c r="B41" s="676" t="s">
        <v>26</v>
      </c>
      <c r="C41" s="445">
        <f>ROUND(D41,2)</f>
        <v>0.59</v>
      </c>
      <c r="D41" s="430">
        <f>(D39*20/50/3)</f>
        <v>0.58679999999999999</v>
      </c>
      <c r="E41" s="802" t="s">
        <v>9</v>
      </c>
      <c r="F41" s="325">
        <f>VLOOKUP(B41,BQ!$B$6:$E$111,4,FALSE)</f>
        <v>1250000</v>
      </c>
      <c r="G41" s="802" t="s">
        <v>9</v>
      </c>
      <c r="H41" s="792">
        <f>F41*C41</f>
        <v>737500</v>
      </c>
      <c r="I41" s="793">
        <f>H41</f>
        <v>737500</v>
      </c>
      <c r="J41" s="793"/>
      <c r="K41" s="395"/>
    </row>
    <row r="42" spans="1:11" s="396" customFormat="1" ht="22.25" customHeight="1">
      <c r="A42" s="313"/>
      <c r="B42" s="676" t="s">
        <v>27</v>
      </c>
      <c r="C42" s="445">
        <f>ROUND(D42,2)</f>
        <v>5.27</v>
      </c>
      <c r="D42" s="430">
        <f>D39*115/32/3</f>
        <v>5.2720312499999995</v>
      </c>
      <c r="E42" s="802" t="s">
        <v>19</v>
      </c>
      <c r="F42" s="325">
        <f>VLOOKUP(B42,BQ!$B$6:$E$111,4,FALSE)</f>
        <v>69000</v>
      </c>
      <c r="G42" s="802" t="s">
        <v>19</v>
      </c>
      <c r="H42" s="792">
        <f>F42*C42</f>
        <v>363629.99999999994</v>
      </c>
      <c r="I42" s="793">
        <f>H42</f>
        <v>363629.99999999994</v>
      </c>
      <c r="J42" s="793"/>
      <c r="K42" s="395"/>
    </row>
    <row r="43" spans="1:11" s="396" customFormat="1" ht="22.25" customHeight="1">
      <c r="A43" s="313"/>
      <c r="B43" s="676" t="s">
        <v>21</v>
      </c>
      <c r="C43" s="445">
        <f>ROUND(D43,2)</f>
        <v>6.23</v>
      </c>
      <c r="D43" s="430">
        <f>((D39*3)/3.6)*1.7</f>
        <v>6.2347499999999991</v>
      </c>
      <c r="E43" s="802" t="s">
        <v>52</v>
      </c>
      <c r="F43" s="325">
        <f>VLOOKUP(B43,BQ!$B$6:$E$111,4,FALSE)</f>
        <v>11600</v>
      </c>
      <c r="G43" s="802" t="s">
        <v>52</v>
      </c>
      <c r="H43" s="792">
        <f>F43*C43</f>
        <v>72268</v>
      </c>
      <c r="I43" s="793">
        <f>H43</f>
        <v>72268</v>
      </c>
      <c r="J43" s="793"/>
      <c r="K43" s="395"/>
    </row>
    <row r="44" spans="1:11" s="396" customFormat="1" ht="22.25" customHeight="1">
      <c r="A44" s="313"/>
      <c r="B44" s="676"/>
      <c r="C44" s="445"/>
      <c r="D44" s="430"/>
      <c r="E44" s="802"/>
      <c r="F44" s="301"/>
      <c r="G44" s="802"/>
      <c r="H44" s="792">
        <f>SUM(H41:H43)</f>
        <v>1173398</v>
      </c>
      <c r="I44" s="793"/>
      <c r="J44" s="793"/>
      <c r="K44" s="395"/>
    </row>
    <row r="45" spans="1:11" s="396" customFormat="1" ht="23.15" customHeight="1">
      <c r="A45" s="313"/>
      <c r="B45" s="675" t="s">
        <v>185</v>
      </c>
      <c r="C45" s="445"/>
      <c r="D45" s="430"/>
      <c r="E45" s="313"/>
      <c r="F45" s="301"/>
      <c r="G45" s="313"/>
      <c r="H45" s="792"/>
      <c r="I45" s="793"/>
      <c r="J45" s="793"/>
      <c r="K45" s="395"/>
    </row>
    <row r="46" spans="1:11" s="396" customFormat="1" ht="23.15" customHeight="1">
      <c r="A46" s="313"/>
      <c r="B46" s="676" t="s">
        <v>68</v>
      </c>
      <c r="C46" s="445">
        <f>ROUND(D46,2)</f>
        <v>26.41</v>
      </c>
      <c r="D46" s="430">
        <f>D39*6</f>
        <v>26.405999999999999</v>
      </c>
      <c r="E46" s="313" t="s">
        <v>3</v>
      </c>
      <c r="F46" s="325">
        <f>VLOOKUP(B46,BQ!$B$6:$E$111,4,FALSE)</f>
        <v>30250.000000000004</v>
      </c>
      <c r="G46" s="313" t="s">
        <v>3</v>
      </c>
      <c r="H46" s="792">
        <f>F46*C46</f>
        <v>798902.50000000012</v>
      </c>
      <c r="I46" s="793"/>
      <c r="J46" s="793">
        <f>H46</f>
        <v>798902.50000000012</v>
      </c>
      <c r="K46" s="395"/>
    </row>
    <row r="47" spans="1:11" s="396" customFormat="1" ht="23.15" customHeight="1">
      <c r="A47" s="313"/>
      <c r="B47" s="676" t="s">
        <v>67</v>
      </c>
      <c r="C47" s="445">
        <f>ROUND(D47,2)</f>
        <v>8.8000000000000007</v>
      </c>
      <c r="D47" s="430">
        <f>D39*2</f>
        <v>8.8019999999999996</v>
      </c>
      <c r="E47" s="313" t="s">
        <v>3</v>
      </c>
      <c r="F47" s="325">
        <f>VLOOKUP(B47,BQ!$B$6:$E$111,4,FALSE)</f>
        <v>21780</v>
      </c>
      <c r="G47" s="313" t="s">
        <v>3</v>
      </c>
      <c r="H47" s="792">
        <f>F47*C47</f>
        <v>191664.00000000003</v>
      </c>
      <c r="I47" s="793" t="s">
        <v>111</v>
      </c>
      <c r="J47" s="793">
        <f>H47</f>
        <v>191664.00000000003</v>
      </c>
      <c r="K47" s="395"/>
    </row>
    <row r="48" spans="1:11" s="396" customFormat="1" ht="23.15" customHeight="1" thickBot="1">
      <c r="A48" s="313"/>
      <c r="B48" s="446"/>
      <c r="C48" s="445"/>
      <c r="D48" s="430"/>
      <c r="E48" s="313"/>
      <c r="F48" s="449"/>
      <c r="G48" s="842"/>
      <c r="H48" s="843">
        <f>SUM(H46:H47)</f>
        <v>990566.50000000012</v>
      </c>
      <c r="I48" s="793"/>
      <c r="J48" s="793"/>
      <c r="K48" s="395"/>
    </row>
    <row r="49" spans="1:11" s="396" customFormat="1" ht="23.15" customHeight="1" thickBot="1">
      <c r="A49" s="313"/>
      <c r="B49" s="446"/>
      <c r="C49" s="445"/>
      <c r="D49" s="430"/>
      <c r="E49" s="313"/>
      <c r="F49" s="555" t="s">
        <v>266</v>
      </c>
      <c r="G49" s="797" t="s">
        <v>221</v>
      </c>
      <c r="H49" s="798">
        <f>H48+H44</f>
        <v>2163964.5</v>
      </c>
      <c r="I49" s="793"/>
      <c r="J49" s="793"/>
      <c r="K49" s="395"/>
    </row>
    <row r="50" spans="1:11" s="396" customFormat="1" ht="23.15" customHeight="1" thickTop="1">
      <c r="A50" s="313"/>
      <c r="B50" s="446"/>
      <c r="C50" s="445"/>
      <c r="D50" s="430"/>
      <c r="E50" s="313"/>
      <c r="F50" s="813"/>
      <c r="G50" s="814"/>
      <c r="H50" s="811"/>
      <c r="I50" s="793"/>
      <c r="J50" s="793"/>
      <c r="K50" s="395"/>
    </row>
    <row r="51" spans="1:11" s="396" customFormat="1" ht="23.15" customHeight="1">
      <c r="A51" s="313"/>
      <c r="B51" s="841" t="s">
        <v>625</v>
      </c>
      <c r="C51" s="790">
        <f>ROUND(D51,2)</f>
        <v>3.86</v>
      </c>
      <c r="D51" s="439">
        <f>Detail!K69/100</f>
        <v>3.8579999999999997</v>
      </c>
      <c r="E51" s="791" t="s">
        <v>220</v>
      </c>
      <c r="F51" s="311"/>
      <c r="G51" s="791"/>
      <c r="H51" s="1073">
        <f>H61</f>
        <v>1888161.1</v>
      </c>
      <c r="I51" s="793"/>
      <c r="J51" s="793"/>
      <c r="K51" s="395"/>
    </row>
    <row r="52" spans="1:11" s="396" customFormat="1" ht="22.25" customHeight="1">
      <c r="A52" s="313"/>
      <c r="B52" s="675" t="s">
        <v>65</v>
      </c>
      <c r="C52" s="445"/>
      <c r="D52" s="430"/>
      <c r="E52" s="313"/>
      <c r="F52" s="301"/>
      <c r="G52" s="313"/>
      <c r="H52" s="792"/>
      <c r="I52" s="793"/>
      <c r="J52" s="793"/>
      <c r="K52" s="395"/>
    </row>
    <row r="53" spans="1:11" s="396" customFormat="1" ht="22.25" customHeight="1">
      <c r="A53" s="313"/>
      <c r="B53" s="676" t="s">
        <v>26</v>
      </c>
      <c r="C53" s="445">
        <f>ROUND(D53,2)</f>
        <v>0.51</v>
      </c>
      <c r="D53" s="430">
        <f>(D51*20/50/3)</f>
        <v>0.51439999999999997</v>
      </c>
      <c r="E53" s="802" t="s">
        <v>9</v>
      </c>
      <c r="F53" s="325">
        <f>VLOOKUP(B53,BQ!$B$6:$E$111,4,FALSE)</f>
        <v>1250000</v>
      </c>
      <c r="G53" s="802" t="s">
        <v>9</v>
      </c>
      <c r="H53" s="792">
        <f>F53*C53</f>
        <v>637500</v>
      </c>
      <c r="I53" s="793">
        <f>H53</f>
        <v>637500</v>
      </c>
      <c r="J53" s="793"/>
      <c r="K53" s="395"/>
    </row>
    <row r="54" spans="1:11" s="396" customFormat="1" ht="22.25" customHeight="1">
      <c r="A54" s="313"/>
      <c r="B54" s="676" t="s">
        <v>27</v>
      </c>
      <c r="C54" s="445">
        <f>ROUND(D54,2)</f>
        <v>4.62</v>
      </c>
      <c r="D54" s="430">
        <f>D51*115/32/3</f>
        <v>4.6215624999999996</v>
      </c>
      <c r="E54" s="802" t="s">
        <v>19</v>
      </c>
      <c r="F54" s="325">
        <f>VLOOKUP(B54,BQ!$B$6:$E$111,4,FALSE)</f>
        <v>69000</v>
      </c>
      <c r="G54" s="802" t="s">
        <v>19</v>
      </c>
      <c r="H54" s="792">
        <f>F54*C54</f>
        <v>318780</v>
      </c>
      <c r="I54" s="793">
        <f>H54</f>
        <v>318780</v>
      </c>
      <c r="J54" s="793"/>
      <c r="K54" s="395"/>
    </row>
    <row r="55" spans="1:11" s="396" customFormat="1" ht="22.25" customHeight="1">
      <c r="A55" s="313"/>
      <c r="B55" s="676" t="s">
        <v>21</v>
      </c>
      <c r="C55" s="445">
        <f>ROUND(D55,2)</f>
        <v>5.47</v>
      </c>
      <c r="D55" s="430">
        <f>((D51*3)/3.6)*1.7</f>
        <v>5.4654999999999987</v>
      </c>
      <c r="E55" s="802" t="s">
        <v>52</v>
      </c>
      <c r="F55" s="325">
        <f>VLOOKUP(B55,BQ!$B$6:$E$111,4,FALSE)</f>
        <v>11600</v>
      </c>
      <c r="G55" s="802" t="s">
        <v>52</v>
      </c>
      <c r="H55" s="792">
        <f>F55*C55</f>
        <v>63452</v>
      </c>
      <c r="I55" s="793">
        <f>H55</f>
        <v>63452</v>
      </c>
      <c r="J55" s="793"/>
      <c r="K55" s="395"/>
    </row>
    <row r="56" spans="1:11" s="396" customFormat="1" ht="22.25" customHeight="1">
      <c r="A56" s="313"/>
      <c r="B56" s="676"/>
      <c r="C56" s="445"/>
      <c r="D56" s="430"/>
      <c r="E56" s="802"/>
      <c r="F56" s="301"/>
      <c r="G56" s="802"/>
      <c r="H56" s="792">
        <f>SUM(H53:H55)</f>
        <v>1019732</v>
      </c>
      <c r="I56" s="793"/>
      <c r="J56" s="793"/>
      <c r="K56" s="395"/>
    </row>
    <row r="57" spans="1:11" s="396" customFormat="1" ht="23.15" customHeight="1">
      <c r="A57" s="313"/>
      <c r="B57" s="675" t="s">
        <v>185</v>
      </c>
      <c r="C57" s="445"/>
      <c r="D57" s="430"/>
      <c r="E57" s="313"/>
      <c r="F57" s="301"/>
      <c r="G57" s="313"/>
      <c r="H57" s="792"/>
      <c r="I57" s="793"/>
      <c r="J57" s="793"/>
      <c r="K57" s="395"/>
    </row>
    <row r="58" spans="1:11" s="396" customFormat="1" ht="23.15" customHeight="1">
      <c r="A58" s="313"/>
      <c r="B58" s="676" t="s">
        <v>68</v>
      </c>
      <c r="C58" s="445">
        <f>ROUND(D58,2)</f>
        <v>23.15</v>
      </c>
      <c r="D58" s="430">
        <f>D51*6</f>
        <v>23.147999999999996</v>
      </c>
      <c r="E58" s="313" t="s">
        <v>3</v>
      </c>
      <c r="F58" s="325">
        <f>VLOOKUP(B58,BQ!$B$6:$E$111,4,FALSE)</f>
        <v>30250.000000000004</v>
      </c>
      <c r="G58" s="313" t="s">
        <v>3</v>
      </c>
      <c r="H58" s="792">
        <f>F58*C58</f>
        <v>700287.5</v>
      </c>
      <c r="I58" s="793"/>
      <c r="J58" s="793">
        <f>H58</f>
        <v>700287.5</v>
      </c>
      <c r="K58" s="395"/>
    </row>
    <row r="59" spans="1:11" s="396" customFormat="1" ht="23.15" customHeight="1">
      <c r="A59" s="313"/>
      <c r="B59" s="676" t="s">
        <v>67</v>
      </c>
      <c r="C59" s="445">
        <f>ROUND(D59,2)</f>
        <v>7.72</v>
      </c>
      <c r="D59" s="430">
        <f>D51*2</f>
        <v>7.7159999999999993</v>
      </c>
      <c r="E59" s="313" t="s">
        <v>3</v>
      </c>
      <c r="F59" s="325">
        <f>VLOOKUP(B59,BQ!$B$6:$E$111,4,FALSE)</f>
        <v>21780</v>
      </c>
      <c r="G59" s="313" t="s">
        <v>3</v>
      </c>
      <c r="H59" s="792">
        <f>F59*C59</f>
        <v>168141.6</v>
      </c>
      <c r="I59" s="793" t="s">
        <v>111</v>
      </c>
      <c r="J59" s="793">
        <f>H59</f>
        <v>168141.6</v>
      </c>
      <c r="K59" s="395"/>
    </row>
    <row r="60" spans="1:11" s="396" customFormat="1" ht="23.15" customHeight="1" thickBot="1">
      <c r="A60" s="313"/>
      <c r="B60" s="446"/>
      <c r="C60" s="445"/>
      <c r="D60" s="430"/>
      <c r="E60" s="313"/>
      <c r="F60" s="449"/>
      <c r="G60" s="842"/>
      <c r="H60" s="843">
        <f>SUM(H58:H59)</f>
        <v>868429.1</v>
      </c>
      <c r="I60" s="793"/>
      <c r="J60" s="793"/>
      <c r="K60" s="395"/>
    </row>
    <row r="61" spans="1:11" s="396" customFormat="1" ht="23.15" customHeight="1" thickBot="1">
      <c r="A61" s="313"/>
      <c r="B61" s="446"/>
      <c r="C61" s="445"/>
      <c r="D61" s="430"/>
      <c r="E61" s="313"/>
      <c r="F61" s="555" t="s">
        <v>266</v>
      </c>
      <c r="G61" s="797" t="s">
        <v>221</v>
      </c>
      <c r="H61" s="798">
        <f>H60+H56</f>
        <v>1888161.1</v>
      </c>
      <c r="I61" s="793"/>
      <c r="J61" s="793"/>
      <c r="K61" s="395"/>
    </row>
    <row r="62" spans="1:11" s="396" customFormat="1" ht="23.15" customHeight="1" thickTop="1">
      <c r="A62" s="313"/>
      <c r="B62" s="446"/>
      <c r="C62" s="445"/>
      <c r="D62" s="430"/>
      <c r="E62" s="313"/>
      <c r="F62" s="813"/>
      <c r="G62" s="814"/>
      <c r="H62" s="811"/>
      <c r="I62" s="793"/>
      <c r="J62" s="793"/>
      <c r="K62" s="395"/>
    </row>
    <row r="63" spans="1:11" s="396" customFormat="1" ht="23.15" customHeight="1">
      <c r="A63" s="313"/>
      <c r="B63" s="841" t="s">
        <v>626</v>
      </c>
      <c r="C63" s="790">
        <f>ROUND(D63,2)</f>
        <v>4.93</v>
      </c>
      <c r="D63" s="439">
        <f>Detail!K84/100</f>
        <v>4.925851999999999</v>
      </c>
      <c r="E63" s="791" t="s">
        <v>220</v>
      </c>
      <c r="F63" s="311"/>
      <c r="G63" s="791"/>
      <c r="H63" s="1073">
        <f>H73</f>
        <v>2421791</v>
      </c>
      <c r="I63" s="793"/>
      <c r="J63" s="793"/>
      <c r="K63" s="395"/>
    </row>
    <row r="64" spans="1:11" s="396" customFormat="1" ht="22.25" customHeight="1">
      <c r="A64" s="313"/>
      <c r="B64" s="675" t="s">
        <v>65</v>
      </c>
      <c r="C64" s="445"/>
      <c r="D64" s="430"/>
      <c r="E64" s="313"/>
      <c r="F64" s="301"/>
      <c r="G64" s="313"/>
      <c r="H64" s="792"/>
      <c r="I64" s="793"/>
      <c r="J64" s="793"/>
      <c r="K64" s="395"/>
    </row>
    <row r="65" spans="1:11" s="396" customFormat="1" ht="22.25" customHeight="1">
      <c r="A65" s="313"/>
      <c r="B65" s="676" t="s">
        <v>26</v>
      </c>
      <c r="C65" s="445">
        <f>ROUND(D65,2)</f>
        <v>0.66</v>
      </c>
      <c r="D65" s="430">
        <f>(D63*20/50/3)</f>
        <v>0.65678026666666656</v>
      </c>
      <c r="E65" s="802" t="s">
        <v>9</v>
      </c>
      <c r="F65" s="325">
        <f>VLOOKUP(B65,BQ!$B$6:$E$111,4,FALSE)</f>
        <v>1250000</v>
      </c>
      <c r="G65" s="802" t="s">
        <v>9</v>
      </c>
      <c r="H65" s="792">
        <f>F65*C65</f>
        <v>825000</v>
      </c>
      <c r="I65" s="793">
        <f>H65</f>
        <v>825000</v>
      </c>
      <c r="J65" s="793"/>
      <c r="K65" s="395"/>
    </row>
    <row r="66" spans="1:11" s="396" customFormat="1" ht="22.25" customHeight="1">
      <c r="A66" s="313"/>
      <c r="B66" s="676" t="s">
        <v>27</v>
      </c>
      <c r="C66" s="445">
        <f>ROUND(D66,2)</f>
        <v>5.9</v>
      </c>
      <c r="D66" s="430">
        <f>D63*115/32/3</f>
        <v>5.9007602083333319</v>
      </c>
      <c r="E66" s="802" t="s">
        <v>19</v>
      </c>
      <c r="F66" s="325">
        <f>VLOOKUP(B66,BQ!$B$6:$E$111,4,FALSE)</f>
        <v>69000</v>
      </c>
      <c r="G66" s="802" t="s">
        <v>19</v>
      </c>
      <c r="H66" s="792">
        <f>F66*C66</f>
        <v>407100</v>
      </c>
      <c r="I66" s="793">
        <f>H66</f>
        <v>407100</v>
      </c>
      <c r="J66" s="793"/>
      <c r="K66" s="395"/>
    </row>
    <row r="67" spans="1:11" s="396" customFormat="1" ht="22.25" customHeight="1">
      <c r="A67" s="313"/>
      <c r="B67" s="676" t="s">
        <v>21</v>
      </c>
      <c r="C67" s="445">
        <f>ROUND(D67,2)</f>
        <v>6.98</v>
      </c>
      <c r="D67" s="430">
        <f>((D63*3)/3.6)*1.7</f>
        <v>6.9782903333333319</v>
      </c>
      <c r="E67" s="802" t="s">
        <v>52</v>
      </c>
      <c r="F67" s="325">
        <f>VLOOKUP(B67,BQ!$B$6:$E$111,4,FALSE)</f>
        <v>11600</v>
      </c>
      <c r="G67" s="802" t="s">
        <v>52</v>
      </c>
      <c r="H67" s="792">
        <f>F67*C67</f>
        <v>80968</v>
      </c>
      <c r="I67" s="793">
        <f>H67</f>
        <v>80968</v>
      </c>
      <c r="J67" s="793"/>
      <c r="K67" s="395"/>
    </row>
    <row r="68" spans="1:11" s="396" customFormat="1" ht="22.25" customHeight="1">
      <c r="A68" s="313"/>
      <c r="B68" s="676"/>
      <c r="C68" s="445"/>
      <c r="D68" s="430"/>
      <c r="E68" s="802"/>
      <c r="F68" s="301"/>
      <c r="G68" s="802"/>
      <c r="H68" s="792">
        <f>SUM(H65:H67)</f>
        <v>1313068</v>
      </c>
      <c r="I68" s="793"/>
      <c r="J68" s="793"/>
      <c r="K68" s="395"/>
    </row>
    <row r="69" spans="1:11" s="396" customFormat="1" ht="23.15" customHeight="1">
      <c r="A69" s="313"/>
      <c r="B69" s="675" t="s">
        <v>185</v>
      </c>
      <c r="C69" s="445"/>
      <c r="D69" s="430"/>
      <c r="E69" s="313"/>
      <c r="F69" s="301"/>
      <c r="G69" s="313"/>
      <c r="H69" s="792"/>
      <c r="I69" s="793"/>
      <c r="J69" s="793"/>
      <c r="K69" s="395"/>
    </row>
    <row r="70" spans="1:11" s="396" customFormat="1" ht="23.15" customHeight="1">
      <c r="A70" s="313"/>
      <c r="B70" s="676" t="s">
        <v>68</v>
      </c>
      <c r="C70" s="445">
        <f>ROUND(D70,2)</f>
        <v>29.56</v>
      </c>
      <c r="D70" s="430">
        <f>D63*6</f>
        <v>29.555111999999994</v>
      </c>
      <c r="E70" s="313" t="s">
        <v>3</v>
      </c>
      <c r="F70" s="325">
        <f>VLOOKUP(B70,BQ!$B$6:$E$111,4,FALSE)</f>
        <v>30250.000000000004</v>
      </c>
      <c r="G70" s="313" t="s">
        <v>3</v>
      </c>
      <c r="H70" s="792">
        <f>F70*C70</f>
        <v>894190.00000000012</v>
      </c>
      <c r="I70" s="793"/>
      <c r="J70" s="793">
        <f>H70</f>
        <v>894190.00000000012</v>
      </c>
      <c r="K70" s="395"/>
    </row>
    <row r="71" spans="1:11" s="396" customFormat="1" ht="23.15" customHeight="1">
      <c r="A71" s="313"/>
      <c r="B71" s="676" t="s">
        <v>67</v>
      </c>
      <c r="C71" s="445">
        <f>ROUND(D71,2)</f>
        <v>9.85</v>
      </c>
      <c r="D71" s="430">
        <f>D63*2</f>
        <v>9.851703999999998</v>
      </c>
      <c r="E71" s="313" t="s">
        <v>3</v>
      </c>
      <c r="F71" s="325">
        <f>VLOOKUP(B71,BQ!$B$6:$E$111,4,FALSE)</f>
        <v>21780</v>
      </c>
      <c r="G71" s="313" t="s">
        <v>3</v>
      </c>
      <c r="H71" s="792">
        <f>F71*C71</f>
        <v>214533</v>
      </c>
      <c r="I71" s="793" t="s">
        <v>111</v>
      </c>
      <c r="J71" s="793">
        <f>H71</f>
        <v>214533</v>
      </c>
      <c r="K71" s="395"/>
    </row>
    <row r="72" spans="1:11" s="396" customFormat="1" ht="23.15" customHeight="1" thickBot="1">
      <c r="A72" s="313"/>
      <c r="B72" s="446"/>
      <c r="C72" s="445"/>
      <c r="D72" s="430"/>
      <c r="E72" s="313"/>
      <c r="F72" s="449"/>
      <c r="G72" s="842"/>
      <c r="H72" s="843">
        <f>SUM(H70:H71)</f>
        <v>1108723</v>
      </c>
      <c r="I72" s="793"/>
      <c r="J72" s="793"/>
      <c r="K72" s="395"/>
    </row>
    <row r="73" spans="1:11" s="396" customFormat="1" ht="23.15" customHeight="1" thickBot="1">
      <c r="A73" s="313"/>
      <c r="B73" s="446"/>
      <c r="C73" s="445"/>
      <c r="D73" s="430"/>
      <c r="E73" s="313"/>
      <c r="F73" s="555" t="s">
        <v>266</v>
      </c>
      <c r="G73" s="797" t="s">
        <v>221</v>
      </c>
      <c r="H73" s="798">
        <f>H72+H68</f>
        <v>2421791</v>
      </c>
      <c r="I73" s="793"/>
      <c r="J73" s="793"/>
      <c r="K73" s="395"/>
    </row>
    <row r="74" spans="1:11" s="396" customFormat="1" ht="23.15" customHeight="1" thickTop="1">
      <c r="A74" s="313"/>
      <c r="B74" s="446"/>
      <c r="C74" s="445"/>
      <c r="D74" s="430"/>
      <c r="E74" s="313"/>
      <c r="F74" s="813"/>
      <c r="G74" s="814"/>
      <c r="H74" s="811"/>
      <c r="I74" s="793"/>
      <c r="J74" s="793"/>
      <c r="K74" s="395"/>
    </row>
    <row r="75" spans="1:11" s="396" customFormat="1" ht="23.15" customHeight="1">
      <c r="A75" s="313"/>
      <c r="B75" s="841" t="s">
        <v>627</v>
      </c>
      <c r="C75" s="790">
        <f>ROUND(D75,2)</f>
        <v>12.91</v>
      </c>
      <c r="D75" s="439">
        <f>Detail!K89/100</f>
        <v>12.914799999999998</v>
      </c>
      <c r="E75" s="791" t="s">
        <v>220</v>
      </c>
      <c r="F75" s="311"/>
      <c r="G75" s="791"/>
      <c r="H75" s="1073">
        <f>H85</f>
        <v>6336359.9000000004</v>
      </c>
      <c r="I75" s="793"/>
      <c r="J75" s="793"/>
      <c r="K75" s="395"/>
    </row>
    <row r="76" spans="1:11" s="396" customFormat="1" ht="22.25" customHeight="1">
      <c r="A76" s="313"/>
      <c r="B76" s="675" t="s">
        <v>65</v>
      </c>
      <c r="C76" s="445"/>
      <c r="D76" s="430"/>
      <c r="E76" s="313"/>
      <c r="F76" s="301"/>
      <c r="G76" s="313"/>
      <c r="H76" s="792"/>
      <c r="I76" s="793"/>
      <c r="J76" s="793"/>
      <c r="K76" s="395"/>
    </row>
    <row r="77" spans="1:11" s="396" customFormat="1" ht="22.25" customHeight="1">
      <c r="A77" s="313"/>
      <c r="B77" s="676" t="s">
        <v>26</v>
      </c>
      <c r="C77" s="445">
        <f>ROUND(D77,2)</f>
        <v>1.72</v>
      </c>
      <c r="D77" s="430">
        <f>(D75*20/50/3)</f>
        <v>1.7219733333333329</v>
      </c>
      <c r="E77" s="802" t="s">
        <v>9</v>
      </c>
      <c r="F77" s="325">
        <f>VLOOKUP(B77,BQ!$B$6:$E$111,4,FALSE)</f>
        <v>1250000</v>
      </c>
      <c r="G77" s="802" t="s">
        <v>9</v>
      </c>
      <c r="H77" s="792">
        <f>F77*C77</f>
        <v>2150000</v>
      </c>
      <c r="I77" s="793">
        <f>H77</f>
        <v>2150000</v>
      </c>
      <c r="J77" s="793"/>
      <c r="K77" s="395"/>
    </row>
    <row r="78" spans="1:11" s="396" customFormat="1" ht="22.25" customHeight="1">
      <c r="A78" s="313"/>
      <c r="B78" s="676" t="s">
        <v>27</v>
      </c>
      <c r="C78" s="445">
        <f>ROUND(D78,2)</f>
        <v>15.47</v>
      </c>
      <c r="D78" s="430">
        <f>D75*115/32/3</f>
        <v>15.470854166666664</v>
      </c>
      <c r="E78" s="802" t="s">
        <v>19</v>
      </c>
      <c r="F78" s="325">
        <f>VLOOKUP(B78,BQ!$B$6:$E$111,4,FALSE)</f>
        <v>69000</v>
      </c>
      <c r="G78" s="802" t="s">
        <v>19</v>
      </c>
      <c r="H78" s="792">
        <f>F78*C78</f>
        <v>1067430</v>
      </c>
      <c r="I78" s="793">
        <f>H78</f>
        <v>1067430</v>
      </c>
      <c r="J78" s="793"/>
      <c r="K78" s="395"/>
    </row>
    <row r="79" spans="1:11" s="396" customFormat="1" ht="22.25" customHeight="1">
      <c r="A79" s="313"/>
      <c r="B79" s="676" t="s">
        <v>21</v>
      </c>
      <c r="C79" s="445">
        <f>ROUND(D79,2)</f>
        <v>18.3</v>
      </c>
      <c r="D79" s="430">
        <f>((D75*3)/3.6)*1.7</f>
        <v>18.295966666666661</v>
      </c>
      <c r="E79" s="802" t="s">
        <v>52</v>
      </c>
      <c r="F79" s="325">
        <f>VLOOKUP(B79,BQ!$B$6:$E$111,4,FALSE)</f>
        <v>11600</v>
      </c>
      <c r="G79" s="802" t="s">
        <v>52</v>
      </c>
      <c r="H79" s="792">
        <f>F79*C79</f>
        <v>212280</v>
      </c>
      <c r="I79" s="793">
        <f>H79</f>
        <v>212280</v>
      </c>
      <c r="J79" s="793"/>
      <c r="K79" s="395"/>
    </row>
    <row r="80" spans="1:11" s="396" customFormat="1" ht="22.25" customHeight="1">
      <c r="A80" s="313"/>
      <c r="B80" s="676"/>
      <c r="C80" s="445"/>
      <c r="D80" s="430"/>
      <c r="E80" s="802"/>
      <c r="F80" s="301"/>
      <c r="G80" s="802"/>
      <c r="H80" s="792">
        <f>SUM(H77:H79)</f>
        <v>3429710</v>
      </c>
      <c r="I80" s="793"/>
      <c r="J80" s="793"/>
      <c r="K80" s="395"/>
    </row>
    <row r="81" spans="1:11" s="396" customFormat="1" ht="23.15" customHeight="1">
      <c r="A81" s="313"/>
      <c r="B81" s="675" t="s">
        <v>185</v>
      </c>
      <c r="C81" s="445"/>
      <c r="D81" s="430"/>
      <c r="E81" s="313"/>
      <c r="F81" s="301"/>
      <c r="G81" s="313"/>
      <c r="H81" s="792"/>
      <c r="I81" s="793"/>
      <c r="J81" s="793"/>
      <c r="K81" s="395"/>
    </row>
    <row r="82" spans="1:11" s="396" customFormat="1" ht="23.15" customHeight="1">
      <c r="A82" s="313"/>
      <c r="B82" s="676" t="s">
        <v>68</v>
      </c>
      <c r="C82" s="445">
        <f>ROUND(D82,2)</f>
        <v>77.489999999999995</v>
      </c>
      <c r="D82" s="430">
        <f>D75*6</f>
        <v>77.488799999999983</v>
      </c>
      <c r="E82" s="313" t="s">
        <v>3</v>
      </c>
      <c r="F82" s="325">
        <f>VLOOKUP(B82,BQ!$B$6:$E$111,4,FALSE)</f>
        <v>30250.000000000004</v>
      </c>
      <c r="G82" s="313" t="s">
        <v>3</v>
      </c>
      <c r="H82" s="792">
        <f>F82*C82</f>
        <v>2344072.5</v>
      </c>
      <c r="I82" s="793"/>
      <c r="J82" s="793">
        <f>H82</f>
        <v>2344072.5</v>
      </c>
      <c r="K82" s="395"/>
    </row>
    <row r="83" spans="1:11" s="396" customFormat="1" ht="23.15" customHeight="1">
      <c r="A83" s="313"/>
      <c r="B83" s="676" t="s">
        <v>67</v>
      </c>
      <c r="C83" s="445">
        <f>ROUND(D83,2)</f>
        <v>25.83</v>
      </c>
      <c r="D83" s="430">
        <f>D75*2</f>
        <v>25.829599999999996</v>
      </c>
      <c r="E83" s="313" t="s">
        <v>3</v>
      </c>
      <c r="F83" s="325">
        <f>VLOOKUP(B83,BQ!$B$6:$E$111,4,FALSE)</f>
        <v>21780</v>
      </c>
      <c r="G83" s="313" t="s">
        <v>3</v>
      </c>
      <c r="H83" s="792">
        <f>F83*C83</f>
        <v>562577.39999999991</v>
      </c>
      <c r="I83" s="793" t="s">
        <v>111</v>
      </c>
      <c r="J83" s="793">
        <f>H83</f>
        <v>562577.39999999991</v>
      </c>
      <c r="K83" s="395"/>
    </row>
    <row r="84" spans="1:11" s="396" customFormat="1" ht="23.15" customHeight="1" thickBot="1">
      <c r="A84" s="313"/>
      <c r="B84" s="446"/>
      <c r="C84" s="445"/>
      <c r="D84" s="430"/>
      <c r="E84" s="313"/>
      <c r="F84" s="449"/>
      <c r="G84" s="842"/>
      <c r="H84" s="843">
        <f>SUM(H82:H83)</f>
        <v>2906649.9</v>
      </c>
      <c r="I84" s="793"/>
      <c r="J84" s="793"/>
      <c r="K84" s="395"/>
    </row>
    <row r="85" spans="1:11" s="396" customFormat="1" ht="23.15" customHeight="1" thickBot="1">
      <c r="A85" s="313"/>
      <c r="B85" s="446"/>
      <c r="C85" s="445"/>
      <c r="D85" s="430"/>
      <c r="E85" s="313"/>
      <c r="F85" s="555" t="s">
        <v>266</v>
      </c>
      <c r="G85" s="797" t="s">
        <v>221</v>
      </c>
      <c r="H85" s="798">
        <f>H84+H80</f>
        <v>6336359.9000000004</v>
      </c>
      <c r="I85" s="793"/>
      <c r="J85" s="793"/>
      <c r="K85" s="395"/>
    </row>
    <row r="86" spans="1:11" s="396" customFormat="1" ht="23.15" customHeight="1" thickTop="1">
      <c r="A86" s="313"/>
      <c r="B86" s="446"/>
      <c r="C86" s="445"/>
      <c r="D86" s="430"/>
      <c r="E86" s="313"/>
      <c r="F86" s="813"/>
      <c r="G86" s="814"/>
      <c r="H86" s="811"/>
      <c r="I86" s="793"/>
      <c r="J86" s="793"/>
      <c r="K86" s="395"/>
    </row>
    <row r="87" spans="1:11" s="396" customFormat="1" ht="23.15" customHeight="1">
      <c r="A87" s="313"/>
      <c r="B87" s="841" t="s">
        <v>630</v>
      </c>
      <c r="C87" s="790">
        <f>ROUND(D87,2)</f>
        <v>7.92</v>
      </c>
      <c r="D87" s="439">
        <f>Detail!K119/100</f>
        <v>7.9216560000000005</v>
      </c>
      <c r="E87" s="791" t="s">
        <v>220</v>
      </c>
      <c r="F87" s="311"/>
      <c r="G87" s="791"/>
      <c r="H87" s="1073">
        <f>H97</f>
        <v>3892739.7</v>
      </c>
      <c r="I87" s="793"/>
      <c r="J87" s="793"/>
      <c r="K87" s="395"/>
    </row>
    <row r="88" spans="1:11" s="396" customFormat="1" ht="22.25" customHeight="1">
      <c r="A88" s="313"/>
      <c r="B88" s="675" t="s">
        <v>65</v>
      </c>
      <c r="C88" s="445"/>
      <c r="D88" s="430"/>
      <c r="E88" s="313"/>
      <c r="F88" s="301"/>
      <c r="G88" s="313"/>
      <c r="H88" s="792"/>
      <c r="I88" s="793"/>
      <c r="J88" s="793"/>
      <c r="K88" s="395"/>
    </row>
    <row r="89" spans="1:11" s="396" customFormat="1" ht="22.25" customHeight="1">
      <c r="A89" s="313"/>
      <c r="B89" s="676" t="s">
        <v>26</v>
      </c>
      <c r="C89" s="445">
        <f>ROUND(D89,2)</f>
        <v>1.06</v>
      </c>
      <c r="D89" s="430">
        <f>(D87*20/50/3)</f>
        <v>1.0562208</v>
      </c>
      <c r="E89" s="802" t="s">
        <v>9</v>
      </c>
      <c r="F89" s="325">
        <f>VLOOKUP(B89,BQ!$B$6:$E$111,4,FALSE)</f>
        <v>1250000</v>
      </c>
      <c r="G89" s="802" t="s">
        <v>9</v>
      </c>
      <c r="H89" s="792">
        <f>F89*C89</f>
        <v>1325000</v>
      </c>
      <c r="I89" s="793">
        <f>H89</f>
        <v>1325000</v>
      </c>
      <c r="J89" s="793"/>
      <c r="K89" s="395"/>
    </row>
    <row r="90" spans="1:11" s="396" customFormat="1" ht="22.25" customHeight="1">
      <c r="A90" s="313"/>
      <c r="B90" s="676" t="s">
        <v>27</v>
      </c>
      <c r="C90" s="445">
        <f>ROUND(D90,2)</f>
        <v>9.49</v>
      </c>
      <c r="D90" s="430">
        <f>D87*115/32/3</f>
        <v>9.4894837499999998</v>
      </c>
      <c r="E90" s="802" t="s">
        <v>19</v>
      </c>
      <c r="F90" s="325">
        <f>VLOOKUP(B90,BQ!$B$6:$E$111,4,FALSE)</f>
        <v>69000</v>
      </c>
      <c r="G90" s="802" t="s">
        <v>19</v>
      </c>
      <c r="H90" s="792">
        <f>F90*C90</f>
        <v>654810</v>
      </c>
      <c r="I90" s="793">
        <f>H90</f>
        <v>654810</v>
      </c>
      <c r="J90" s="793"/>
      <c r="K90" s="395"/>
    </row>
    <row r="91" spans="1:11" s="396" customFormat="1" ht="22.25" customHeight="1">
      <c r="A91" s="313"/>
      <c r="B91" s="676" t="s">
        <v>21</v>
      </c>
      <c r="C91" s="445">
        <f>ROUND(D91,2)</f>
        <v>11.22</v>
      </c>
      <c r="D91" s="430">
        <f>((D87*3)/3.6)*1.7</f>
        <v>11.222346000000002</v>
      </c>
      <c r="E91" s="802" t="s">
        <v>52</v>
      </c>
      <c r="F91" s="325">
        <f>VLOOKUP(B91,BQ!$B$6:$E$111,4,FALSE)</f>
        <v>11600</v>
      </c>
      <c r="G91" s="802" t="s">
        <v>52</v>
      </c>
      <c r="H91" s="792">
        <f>F91*C91</f>
        <v>130152.00000000001</v>
      </c>
      <c r="I91" s="793">
        <f>H91</f>
        <v>130152.00000000001</v>
      </c>
      <c r="J91" s="793"/>
      <c r="K91" s="395"/>
    </row>
    <row r="92" spans="1:11" s="396" customFormat="1" ht="22.25" customHeight="1">
      <c r="A92" s="313"/>
      <c r="B92" s="676"/>
      <c r="C92" s="445"/>
      <c r="D92" s="430"/>
      <c r="E92" s="802"/>
      <c r="F92" s="301"/>
      <c r="G92" s="802"/>
      <c r="H92" s="792">
        <f>SUM(H89:H91)</f>
        <v>2109962</v>
      </c>
      <c r="I92" s="793"/>
      <c r="J92" s="793"/>
      <c r="K92" s="395"/>
    </row>
    <row r="93" spans="1:11" s="396" customFormat="1" ht="23.15" customHeight="1">
      <c r="A93" s="313"/>
      <c r="B93" s="675" t="s">
        <v>185</v>
      </c>
      <c r="C93" s="445"/>
      <c r="D93" s="430"/>
      <c r="E93" s="313"/>
      <c r="F93" s="301"/>
      <c r="G93" s="313"/>
      <c r="H93" s="792"/>
      <c r="I93" s="793"/>
      <c r="J93" s="793"/>
      <c r="K93" s="395"/>
    </row>
    <row r="94" spans="1:11" s="396" customFormat="1" ht="23.15" customHeight="1">
      <c r="A94" s="313"/>
      <c r="B94" s="676" t="s">
        <v>68</v>
      </c>
      <c r="C94" s="445">
        <f>ROUND(D94,2)</f>
        <v>47.53</v>
      </c>
      <c r="D94" s="430">
        <f>D87*6</f>
        <v>47.529936000000006</v>
      </c>
      <c r="E94" s="313" t="s">
        <v>3</v>
      </c>
      <c r="F94" s="325">
        <f>VLOOKUP(B94,BQ!$B$6:$E$111,4,FALSE)</f>
        <v>30250.000000000004</v>
      </c>
      <c r="G94" s="313" t="s">
        <v>3</v>
      </c>
      <c r="H94" s="792">
        <f>F94*C94</f>
        <v>1437782.5000000002</v>
      </c>
      <c r="I94" s="793"/>
      <c r="J94" s="793">
        <f>H94</f>
        <v>1437782.5000000002</v>
      </c>
      <c r="K94" s="395"/>
    </row>
    <row r="95" spans="1:11" s="396" customFormat="1" ht="23.15" customHeight="1">
      <c r="A95" s="313"/>
      <c r="B95" s="676" t="s">
        <v>67</v>
      </c>
      <c r="C95" s="445">
        <f>ROUND(D95,2)</f>
        <v>15.84</v>
      </c>
      <c r="D95" s="430">
        <f>D87*2</f>
        <v>15.843312000000001</v>
      </c>
      <c r="E95" s="313" t="s">
        <v>3</v>
      </c>
      <c r="F95" s="325">
        <f>VLOOKUP(B95,BQ!$B$6:$E$111,4,FALSE)</f>
        <v>21780</v>
      </c>
      <c r="G95" s="313" t="s">
        <v>3</v>
      </c>
      <c r="H95" s="792">
        <f>F95*C95</f>
        <v>344995.2</v>
      </c>
      <c r="I95" s="793" t="s">
        <v>111</v>
      </c>
      <c r="J95" s="793">
        <f>H95</f>
        <v>344995.2</v>
      </c>
      <c r="K95" s="395"/>
    </row>
    <row r="96" spans="1:11" s="396" customFormat="1" ht="23.15" customHeight="1" thickBot="1">
      <c r="A96" s="313"/>
      <c r="B96" s="446"/>
      <c r="C96" s="445"/>
      <c r="D96" s="430"/>
      <c r="E96" s="313"/>
      <c r="F96" s="449"/>
      <c r="G96" s="842"/>
      <c r="H96" s="843">
        <f>SUM(H94:H95)</f>
        <v>1782777.7000000002</v>
      </c>
      <c r="I96" s="793"/>
      <c r="J96" s="793"/>
      <c r="K96" s="395"/>
    </row>
    <row r="97" spans="1:11" s="396" customFormat="1" ht="23.15" customHeight="1" thickBot="1">
      <c r="A97" s="313"/>
      <c r="B97" s="446"/>
      <c r="C97" s="445"/>
      <c r="D97" s="430"/>
      <c r="E97" s="313"/>
      <c r="F97" s="555" t="s">
        <v>266</v>
      </c>
      <c r="G97" s="797" t="s">
        <v>221</v>
      </c>
      <c r="H97" s="798">
        <f>H96+H92</f>
        <v>3892739.7</v>
      </c>
      <c r="I97" s="793"/>
      <c r="J97" s="793"/>
      <c r="K97" s="395"/>
    </row>
    <row r="98" spans="1:11" s="396" customFormat="1" ht="23.15" customHeight="1" thickTop="1">
      <c r="A98" s="313"/>
      <c r="B98" s="446"/>
      <c r="C98" s="445"/>
      <c r="D98" s="430"/>
      <c r="E98" s="313"/>
      <c r="F98" s="813"/>
      <c r="G98" s="814"/>
      <c r="H98" s="811"/>
      <c r="I98" s="793"/>
      <c r="J98" s="793"/>
      <c r="K98" s="395"/>
    </row>
    <row r="99" spans="1:11" s="396" customFormat="1" ht="23.15" customHeight="1">
      <c r="A99" s="313"/>
      <c r="B99" s="841" t="s">
        <v>628</v>
      </c>
      <c r="C99" s="790">
        <f>ROUND(D99,2)</f>
        <v>12.41</v>
      </c>
      <c r="D99" s="439">
        <f>Detail!K140/100</f>
        <v>12.413726000000002</v>
      </c>
      <c r="E99" s="791" t="s">
        <v>220</v>
      </c>
      <c r="F99" s="311"/>
      <c r="G99" s="791"/>
      <c r="H99" s="1073">
        <f>H109</f>
        <v>6098891.4000000004</v>
      </c>
      <c r="I99" s="793"/>
      <c r="J99" s="793"/>
      <c r="K99" s="395"/>
    </row>
    <row r="100" spans="1:11" s="396" customFormat="1" ht="22.25" customHeight="1">
      <c r="A100" s="313"/>
      <c r="B100" s="675" t="s">
        <v>65</v>
      </c>
      <c r="C100" s="445"/>
      <c r="D100" s="430"/>
      <c r="E100" s="313"/>
      <c r="F100" s="301"/>
      <c r="G100" s="313"/>
      <c r="H100" s="792"/>
      <c r="I100" s="793"/>
      <c r="J100" s="793"/>
      <c r="K100" s="395"/>
    </row>
    <row r="101" spans="1:11" s="396" customFormat="1" ht="22.25" customHeight="1">
      <c r="A101" s="313"/>
      <c r="B101" s="676" t="s">
        <v>26</v>
      </c>
      <c r="C101" s="445">
        <f>ROUND(D101,2)</f>
        <v>1.66</v>
      </c>
      <c r="D101" s="430">
        <f>(D99*20/50/3)</f>
        <v>1.655163466666667</v>
      </c>
      <c r="E101" s="802" t="s">
        <v>9</v>
      </c>
      <c r="F101" s="325">
        <f>VLOOKUP(B101,BQ!$B$6:$E$111,4,FALSE)</f>
        <v>1250000</v>
      </c>
      <c r="G101" s="802" t="s">
        <v>9</v>
      </c>
      <c r="H101" s="792">
        <f>F101*C101</f>
        <v>2075000</v>
      </c>
      <c r="I101" s="793">
        <f>H101</f>
        <v>2075000</v>
      </c>
      <c r="J101" s="793"/>
      <c r="K101" s="395"/>
    </row>
    <row r="102" spans="1:11" s="396" customFormat="1" ht="22.25" customHeight="1">
      <c r="A102" s="313"/>
      <c r="B102" s="676" t="s">
        <v>27</v>
      </c>
      <c r="C102" s="445">
        <f>ROUND(D102,2)</f>
        <v>14.87</v>
      </c>
      <c r="D102" s="430">
        <f>D99*115/32/3</f>
        <v>14.870609270833336</v>
      </c>
      <c r="E102" s="802" t="s">
        <v>19</v>
      </c>
      <c r="F102" s="325">
        <f>VLOOKUP(B102,BQ!$B$6:$E$111,4,FALSE)</f>
        <v>69000</v>
      </c>
      <c r="G102" s="802" t="s">
        <v>19</v>
      </c>
      <c r="H102" s="792">
        <f>F102*C102</f>
        <v>1026030</v>
      </c>
      <c r="I102" s="793">
        <f>H102</f>
        <v>1026030</v>
      </c>
      <c r="J102" s="793"/>
      <c r="K102" s="395"/>
    </row>
    <row r="103" spans="1:11" s="396" customFormat="1" ht="22.25" customHeight="1">
      <c r="A103" s="313"/>
      <c r="B103" s="676" t="s">
        <v>21</v>
      </c>
      <c r="C103" s="445">
        <f>ROUND(D103,2)</f>
        <v>17.59</v>
      </c>
      <c r="D103" s="430">
        <f>((D99*3)/3.6)*1.7</f>
        <v>17.586111833333337</v>
      </c>
      <c r="E103" s="802" t="s">
        <v>52</v>
      </c>
      <c r="F103" s="325">
        <f>VLOOKUP(B103,BQ!$B$6:$E$111,4,FALSE)</f>
        <v>11600</v>
      </c>
      <c r="G103" s="802" t="s">
        <v>52</v>
      </c>
      <c r="H103" s="792">
        <f>F103*C103</f>
        <v>204044</v>
      </c>
      <c r="I103" s="793">
        <f>H103</f>
        <v>204044</v>
      </c>
      <c r="J103" s="793"/>
      <c r="K103" s="395"/>
    </row>
    <row r="104" spans="1:11" s="396" customFormat="1" ht="22.25" customHeight="1">
      <c r="A104" s="313"/>
      <c r="B104" s="676"/>
      <c r="C104" s="445"/>
      <c r="D104" s="430"/>
      <c r="E104" s="802"/>
      <c r="F104" s="301"/>
      <c r="G104" s="802"/>
      <c r="H104" s="792">
        <f>SUM(H101:H103)</f>
        <v>3305074</v>
      </c>
      <c r="I104" s="793"/>
      <c r="J104" s="793"/>
      <c r="K104" s="395"/>
    </row>
    <row r="105" spans="1:11" s="396" customFormat="1" ht="23.15" customHeight="1">
      <c r="A105" s="313"/>
      <c r="B105" s="675" t="s">
        <v>185</v>
      </c>
      <c r="C105" s="445"/>
      <c r="D105" s="430"/>
      <c r="E105" s="313"/>
      <c r="F105" s="301"/>
      <c r="G105" s="313"/>
      <c r="H105" s="792"/>
      <c r="I105" s="793"/>
      <c r="J105" s="793"/>
      <c r="K105" s="395"/>
    </row>
    <row r="106" spans="1:11" s="396" customFormat="1" ht="23.15" customHeight="1">
      <c r="A106" s="313"/>
      <c r="B106" s="676" t="s">
        <v>68</v>
      </c>
      <c r="C106" s="445">
        <f>ROUND(D106,2)</f>
        <v>74.48</v>
      </c>
      <c r="D106" s="430">
        <f>D99*6</f>
        <v>74.48235600000001</v>
      </c>
      <c r="E106" s="313" t="s">
        <v>3</v>
      </c>
      <c r="F106" s="325">
        <f>VLOOKUP(B106,BQ!$B$6:$E$111,4,FALSE)</f>
        <v>30250.000000000004</v>
      </c>
      <c r="G106" s="313" t="s">
        <v>3</v>
      </c>
      <c r="H106" s="792">
        <f>F106*C106</f>
        <v>2253020.0000000005</v>
      </c>
      <c r="I106" s="793"/>
      <c r="J106" s="793">
        <f>H106</f>
        <v>2253020.0000000005</v>
      </c>
      <c r="K106" s="395"/>
    </row>
    <row r="107" spans="1:11" s="396" customFormat="1" ht="23.15" customHeight="1">
      <c r="A107" s="313"/>
      <c r="B107" s="676" t="s">
        <v>67</v>
      </c>
      <c r="C107" s="445">
        <f>ROUND(D107,2)</f>
        <v>24.83</v>
      </c>
      <c r="D107" s="430">
        <f>D99*2</f>
        <v>24.827452000000005</v>
      </c>
      <c r="E107" s="313" t="s">
        <v>3</v>
      </c>
      <c r="F107" s="325">
        <f>VLOOKUP(B107,BQ!$B$6:$E$111,4,FALSE)</f>
        <v>21780</v>
      </c>
      <c r="G107" s="313" t="s">
        <v>3</v>
      </c>
      <c r="H107" s="792">
        <f>F107*C107</f>
        <v>540797.39999999991</v>
      </c>
      <c r="I107" s="793" t="s">
        <v>111</v>
      </c>
      <c r="J107" s="793">
        <f>H107</f>
        <v>540797.39999999991</v>
      </c>
      <c r="K107" s="395"/>
    </row>
    <row r="108" spans="1:11" s="396" customFormat="1" ht="23.15" customHeight="1" thickBot="1">
      <c r="A108" s="313"/>
      <c r="B108" s="446"/>
      <c r="C108" s="445"/>
      <c r="D108" s="430"/>
      <c r="E108" s="313"/>
      <c r="F108" s="449"/>
      <c r="G108" s="842"/>
      <c r="H108" s="843">
        <f>SUM(H106:H107)</f>
        <v>2793817.4000000004</v>
      </c>
      <c r="I108" s="793"/>
      <c r="J108" s="793"/>
      <c r="K108" s="395"/>
    </row>
    <row r="109" spans="1:11" s="396" customFormat="1" ht="23.15" customHeight="1" thickBot="1">
      <c r="A109" s="313"/>
      <c r="B109" s="446"/>
      <c r="C109" s="445"/>
      <c r="D109" s="430"/>
      <c r="E109" s="313"/>
      <c r="F109" s="555" t="s">
        <v>266</v>
      </c>
      <c r="G109" s="797" t="s">
        <v>221</v>
      </c>
      <c r="H109" s="798">
        <f>H108+H104</f>
        <v>6098891.4000000004</v>
      </c>
      <c r="I109" s="793"/>
      <c r="J109" s="793"/>
      <c r="K109" s="395"/>
    </row>
    <row r="110" spans="1:11" s="396" customFormat="1" ht="23.15" customHeight="1" thickTop="1">
      <c r="A110" s="313"/>
      <c r="B110" s="446"/>
      <c r="C110" s="445"/>
      <c r="D110" s="430"/>
      <c r="E110" s="313"/>
      <c r="F110" s="554"/>
      <c r="G110" s="1074"/>
      <c r="H110" s="1050"/>
      <c r="I110" s="793"/>
      <c r="J110" s="793"/>
      <c r="K110" s="395"/>
    </row>
    <row r="111" spans="1:11" s="396" customFormat="1" ht="23.15" customHeight="1">
      <c r="A111" s="313"/>
      <c r="B111" s="841" t="s">
        <v>712</v>
      </c>
      <c r="C111" s="790">
        <f>ROUND(D111,2)</f>
        <v>14.27</v>
      </c>
      <c r="D111" s="439">
        <f>Detail!K150/100</f>
        <v>14.269022000000001</v>
      </c>
      <c r="E111" s="791" t="s">
        <v>220</v>
      </c>
      <c r="F111" s="311"/>
      <c r="G111" s="791"/>
      <c r="H111" s="1073">
        <f>H121</f>
        <v>6999949.7000000002</v>
      </c>
      <c r="I111" s="793"/>
      <c r="J111" s="793"/>
      <c r="K111" s="395"/>
    </row>
    <row r="112" spans="1:11" s="396" customFormat="1" ht="22.25" customHeight="1">
      <c r="A112" s="313"/>
      <c r="B112" s="675" t="s">
        <v>65</v>
      </c>
      <c r="C112" s="445"/>
      <c r="D112" s="430"/>
      <c r="E112" s="313"/>
      <c r="F112" s="301"/>
      <c r="G112" s="313"/>
      <c r="H112" s="792"/>
      <c r="I112" s="793"/>
      <c r="J112" s="793"/>
      <c r="K112" s="395"/>
    </row>
    <row r="113" spans="1:11" s="396" customFormat="1" ht="22.25" customHeight="1">
      <c r="A113" s="313"/>
      <c r="B113" s="676" t="s">
        <v>26</v>
      </c>
      <c r="C113" s="445">
        <f>ROUND(D113,2)</f>
        <v>1.9</v>
      </c>
      <c r="D113" s="430">
        <f>(D111*20/50/3)</f>
        <v>1.9025362666666668</v>
      </c>
      <c r="E113" s="802" t="s">
        <v>9</v>
      </c>
      <c r="F113" s="325">
        <f>VLOOKUP(B113,BQ!$B$6:$E$111,4,FALSE)</f>
        <v>1250000</v>
      </c>
      <c r="G113" s="802" t="s">
        <v>9</v>
      </c>
      <c r="H113" s="792">
        <f>F113*C113</f>
        <v>2375000</v>
      </c>
      <c r="I113" s="793">
        <f>H113</f>
        <v>2375000</v>
      </c>
      <c r="J113" s="793"/>
      <c r="K113" s="395"/>
    </row>
    <row r="114" spans="1:11" s="396" customFormat="1" ht="22.25" customHeight="1">
      <c r="A114" s="313"/>
      <c r="B114" s="676" t="s">
        <v>27</v>
      </c>
      <c r="C114" s="445">
        <f>ROUND(D114,2)</f>
        <v>17.09</v>
      </c>
      <c r="D114" s="430">
        <f>D111*115/32/3</f>
        <v>17.093099270833335</v>
      </c>
      <c r="E114" s="802" t="s">
        <v>19</v>
      </c>
      <c r="F114" s="325">
        <f>VLOOKUP(B114,BQ!$B$6:$E$111,4,FALSE)</f>
        <v>69000</v>
      </c>
      <c r="G114" s="802" t="s">
        <v>19</v>
      </c>
      <c r="H114" s="792">
        <f>F114*C114</f>
        <v>1179210</v>
      </c>
      <c r="I114" s="793">
        <f>H114</f>
        <v>1179210</v>
      </c>
      <c r="J114" s="793"/>
      <c r="K114" s="395"/>
    </row>
    <row r="115" spans="1:11" s="396" customFormat="1" ht="22.25" customHeight="1">
      <c r="A115" s="313"/>
      <c r="B115" s="676" t="s">
        <v>21</v>
      </c>
      <c r="C115" s="445">
        <f>ROUND(D115,2)</f>
        <v>20.21</v>
      </c>
      <c r="D115" s="430">
        <f>((D111*3)/3.6)*1.7</f>
        <v>20.214447833333335</v>
      </c>
      <c r="E115" s="802" t="s">
        <v>52</v>
      </c>
      <c r="F115" s="325">
        <f>VLOOKUP(B115,BQ!$B$6:$E$111,4,FALSE)</f>
        <v>11600</v>
      </c>
      <c r="G115" s="802" t="s">
        <v>52</v>
      </c>
      <c r="H115" s="792">
        <f>F115*C115</f>
        <v>234436</v>
      </c>
      <c r="I115" s="793">
        <f>H115</f>
        <v>234436</v>
      </c>
      <c r="J115" s="793"/>
      <c r="K115" s="395"/>
    </row>
    <row r="116" spans="1:11" s="396" customFormat="1" ht="22.25" customHeight="1">
      <c r="A116" s="313"/>
      <c r="B116" s="676"/>
      <c r="C116" s="445"/>
      <c r="D116" s="430"/>
      <c r="E116" s="802"/>
      <c r="F116" s="301"/>
      <c r="G116" s="802"/>
      <c r="H116" s="792">
        <f>SUM(H113:H115)</f>
        <v>3788646</v>
      </c>
      <c r="I116" s="793"/>
      <c r="J116" s="793"/>
      <c r="K116" s="395"/>
    </row>
    <row r="117" spans="1:11" s="396" customFormat="1" ht="23.15" customHeight="1">
      <c r="A117" s="313"/>
      <c r="B117" s="675" t="s">
        <v>185</v>
      </c>
      <c r="C117" s="445"/>
      <c r="D117" s="430"/>
      <c r="E117" s="313"/>
      <c r="F117" s="301"/>
      <c r="G117" s="313"/>
      <c r="H117" s="792"/>
      <c r="I117" s="793"/>
      <c r="J117" s="793"/>
      <c r="K117" s="395"/>
    </row>
    <row r="118" spans="1:11" s="396" customFormat="1" ht="23.15" customHeight="1">
      <c r="A118" s="313"/>
      <c r="B118" s="676" t="s">
        <v>68</v>
      </c>
      <c r="C118" s="445">
        <f>ROUND(D118,2)</f>
        <v>85.61</v>
      </c>
      <c r="D118" s="430">
        <f>D111*6</f>
        <v>85.614132000000012</v>
      </c>
      <c r="E118" s="313" t="s">
        <v>3</v>
      </c>
      <c r="F118" s="325">
        <f>VLOOKUP(B118,BQ!$B$6:$E$111,4,FALSE)</f>
        <v>30250.000000000004</v>
      </c>
      <c r="G118" s="313" t="s">
        <v>3</v>
      </c>
      <c r="H118" s="792">
        <f>F118*C118</f>
        <v>2589702.5000000005</v>
      </c>
      <c r="I118" s="793"/>
      <c r="J118" s="793">
        <f>H118</f>
        <v>2589702.5000000005</v>
      </c>
      <c r="K118" s="395"/>
    </row>
    <row r="119" spans="1:11" s="396" customFormat="1" ht="23.15" customHeight="1">
      <c r="A119" s="313"/>
      <c r="B119" s="676" t="s">
        <v>67</v>
      </c>
      <c r="C119" s="445">
        <f>ROUND(D119,2)</f>
        <v>28.54</v>
      </c>
      <c r="D119" s="430">
        <f>D111*2</f>
        <v>28.538044000000003</v>
      </c>
      <c r="E119" s="313" t="s">
        <v>3</v>
      </c>
      <c r="F119" s="325">
        <f>VLOOKUP(B119,BQ!$B$6:$E$111,4,FALSE)</f>
        <v>21780</v>
      </c>
      <c r="G119" s="313" t="s">
        <v>3</v>
      </c>
      <c r="H119" s="792">
        <f>F119*C119</f>
        <v>621601.19999999995</v>
      </c>
      <c r="I119" s="793" t="s">
        <v>111</v>
      </c>
      <c r="J119" s="793">
        <f>H119</f>
        <v>621601.19999999995</v>
      </c>
      <c r="K119" s="395"/>
    </row>
    <row r="120" spans="1:11" s="396" customFormat="1" ht="23.15" customHeight="1" thickBot="1">
      <c r="A120" s="313"/>
      <c r="B120" s="446"/>
      <c r="C120" s="445"/>
      <c r="D120" s="430"/>
      <c r="E120" s="313"/>
      <c r="F120" s="449"/>
      <c r="G120" s="842"/>
      <c r="H120" s="843">
        <f>SUM(H118:H119)</f>
        <v>3211303.7</v>
      </c>
      <c r="I120" s="793"/>
      <c r="J120" s="793"/>
      <c r="K120" s="395"/>
    </row>
    <row r="121" spans="1:11" s="396" customFormat="1" ht="23.15" customHeight="1" thickBot="1">
      <c r="A121" s="313"/>
      <c r="B121" s="446"/>
      <c r="C121" s="445"/>
      <c r="D121" s="430"/>
      <c r="E121" s="313"/>
      <c r="F121" s="555" t="s">
        <v>266</v>
      </c>
      <c r="G121" s="797" t="s">
        <v>221</v>
      </c>
      <c r="H121" s="798">
        <f>H120+H116</f>
        <v>6999949.7000000002</v>
      </c>
      <c r="I121" s="793"/>
      <c r="J121" s="793"/>
      <c r="K121" s="395"/>
    </row>
    <row r="122" spans="1:11" s="396" customFormat="1" ht="23.15" customHeight="1" thickTop="1">
      <c r="A122" s="313"/>
      <c r="B122" s="446"/>
      <c r="C122" s="445"/>
      <c r="D122" s="430"/>
      <c r="E122" s="313"/>
      <c r="F122" s="813"/>
      <c r="G122" s="814"/>
      <c r="H122" s="811"/>
      <c r="I122" s="793"/>
      <c r="J122" s="793"/>
      <c r="K122" s="395"/>
    </row>
    <row r="123" spans="1:11" s="396" customFormat="1" ht="23.15" customHeight="1">
      <c r="A123" s="313"/>
      <c r="B123" s="841" t="s">
        <v>629</v>
      </c>
      <c r="C123" s="790">
        <f>ROUND(D123,2)</f>
        <v>8.7200000000000006</v>
      </c>
      <c r="D123" s="439">
        <f>(Detail!K162+Detail!K166)/100</f>
        <v>8.7200000000000006</v>
      </c>
      <c r="E123" s="791" t="s">
        <v>220</v>
      </c>
      <c r="F123" s="311"/>
      <c r="G123" s="791"/>
      <c r="H123" s="1073">
        <f>H133</f>
        <v>4276833.2</v>
      </c>
      <c r="I123" s="793"/>
      <c r="J123" s="793"/>
      <c r="K123" s="395"/>
    </row>
    <row r="124" spans="1:11" s="396" customFormat="1" ht="22.25" customHeight="1">
      <c r="A124" s="313"/>
      <c r="B124" s="675" t="s">
        <v>65</v>
      </c>
      <c r="C124" s="445"/>
      <c r="D124" s="430"/>
      <c r="E124" s="313"/>
      <c r="F124" s="301"/>
      <c r="G124" s="313"/>
      <c r="H124" s="792"/>
      <c r="I124" s="793"/>
      <c r="J124" s="793"/>
      <c r="K124" s="395"/>
    </row>
    <row r="125" spans="1:11" s="396" customFormat="1" ht="22.25" customHeight="1">
      <c r="A125" s="313"/>
      <c r="B125" s="676" t="s">
        <v>26</v>
      </c>
      <c r="C125" s="445">
        <f>ROUND(D125,2)</f>
        <v>1.1599999999999999</v>
      </c>
      <c r="D125" s="430">
        <f>(D123*20/50/3)</f>
        <v>1.1626666666666667</v>
      </c>
      <c r="E125" s="802" t="s">
        <v>9</v>
      </c>
      <c r="F125" s="325">
        <f>VLOOKUP(B125,BQ!$B$6:$E$111,4,FALSE)</f>
        <v>1250000</v>
      </c>
      <c r="G125" s="802" t="s">
        <v>9</v>
      </c>
      <c r="H125" s="792">
        <f>F125*C125</f>
        <v>1450000</v>
      </c>
      <c r="I125" s="793">
        <f>H125</f>
        <v>1450000</v>
      </c>
      <c r="J125" s="793"/>
      <c r="K125" s="395"/>
    </row>
    <row r="126" spans="1:11" s="396" customFormat="1" ht="22.25" customHeight="1">
      <c r="A126" s="313"/>
      <c r="B126" s="676" t="s">
        <v>27</v>
      </c>
      <c r="C126" s="445">
        <f>ROUND(D126,2)</f>
        <v>10.45</v>
      </c>
      <c r="D126" s="430">
        <f>D123*115/32/3</f>
        <v>10.445833333333335</v>
      </c>
      <c r="E126" s="802" t="s">
        <v>19</v>
      </c>
      <c r="F126" s="325">
        <f>VLOOKUP(B126,BQ!$B$6:$E$111,4,FALSE)</f>
        <v>69000</v>
      </c>
      <c r="G126" s="802" t="s">
        <v>19</v>
      </c>
      <c r="H126" s="792">
        <f>F126*C126</f>
        <v>721050</v>
      </c>
      <c r="I126" s="793">
        <f>H126</f>
        <v>721050</v>
      </c>
      <c r="J126" s="793"/>
      <c r="K126" s="395"/>
    </row>
    <row r="127" spans="1:11" s="396" customFormat="1" ht="22.25" customHeight="1">
      <c r="A127" s="313"/>
      <c r="B127" s="676" t="s">
        <v>21</v>
      </c>
      <c r="C127" s="445">
        <f>ROUND(D127,2)</f>
        <v>12.35</v>
      </c>
      <c r="D127" s="430">
        <f>((D123*3)/3.6)*1.7</f>
        <v>12.353333333333335</v>
      </c>
      <c r="E127" s="802" t="s">
        <v>52</v>
      </c>
      <c r="F127" s="325">
        <f>VLOOKUP(B127,BQ!$B$6:$E$111,4,FALSE)</f>
        <v>11600</v>
      </c>
      <c r="G127" s="802" t="s">
        <v>52</v>
      </c>
      <c r="H127" s="792">
        <f>F127*C127</f>
        <v>143260</v>
      </c>
      <c r="I127" s="793">
        <f>H127</f>
        <v>143260</v>
      </c>
      <c r="J127" s="793"/>
      <c r="K127" s="395"/>
    </row>
    <row r="128" spans="1:11" s="396" customFormat="1" ht="22.25" customHeight="1">
      <c r="A128" s="313"/>
      <c r="B128" s="676"/>
      <c r="C128" s="445"/>
      <c r="D128" s="430"/>
      <c r="E128" s="802"/>
      <c r="F128" s="301"/>
      <c r="G128" s="802"/>
      <c r="H128" s="792">
        <f>SUM(H125:H127)</f>
        <v>2314310</v>
      </c>
      <c r="I128" s="793"/>
      <c r="J128" s="793"/>
      <c r="K128" s="395"/>
    </row>
    <row r="129" spans="1:11" s="396" customFormat="1" ht="23.15" customHeight="1">
      <c r="A129" s="313"/>
      <c r="B129" s="675" t="s">
        <v>185</v>
      </c>
      <c r="C129" s="445"/>
      <c r="D129" s="430"/>
      <c r="E129" s="313"/>
      <c r="F129" s="301"/>
      <c r="G129" s="313"/>
      <c r="H129" s="792"/>
      <c r="I129" s="793"/>
      <c r="J129" s="793"/>
      <c r="K129" s="395"/>
    </row>
    <row r="130" spans="1:11" s="396" customFormat="1" ht="23.15" customHeight="1">
      <c r="A130" s="313"/>
      <c r="B130" s="676" t="s">
        <v>68</v>
      </c>
      <c r="C130" s="445">
        <f>ROUND(D130,2)</f>
        <v>52.32</v>
      </c>
      <c r="D130" s="430">
        <f>D123*6</f>
        <v>52.320000000000007</v>
      </c>
      <c r="E130" s="313" t="s">
        <v>3</v>
      </c>
      <c r="F130" s="325">
        <f>VLOOKUP(B130,BQ!$B$6:$E$111,4,FALSE)</f>
        <v>30250.000000000004</v>
      </c>
      <c r="G130" s="313" t="s">
        <v>3</v>
      </c>
      <c r="H130" s="792">
        <f>F130*C130</f>
        <v>1582680.0000000002</v>
      </c>
      <c r="I130" s="793"/>
      <c r="J130" s="793">
        <f>H130</f>
        <v>1582680.0000000002</v>
      </c>
      <c r="K130" s="395"/>
    </row>
    <row r="131" spans="1:11" s="396" customFormat="1" ht="23.15" customHeight="1">
      <c r="A131" s="313"/>
      <c r="B131" s="676" t="s">
        <v>67</v>
      </c>
      <c r="C131" s="445">
        <f>ROUND(D131,2)</f>
        <v>17.440000000000001</v>
      </c>
      <c r="D131" s="430">
        <f>D123*2</f>
        <v>17.440000000000001</v>
      </c>
      <c r="E131" s="313" t="s">
        <v>3</v>
      </c>
      <c r="F131" s="325">
        <f>VLOOKUP(B131,BQ!$B$6:$E$111,4,FALSE)</f>
        <v>21780</v>
      </c>
      <c r="G131" s="313" t="s">
        <v>3</v>
      </c>
      <c r="H131" s="792">
        <f>F131*C131</f>
        <v>379843.2</v>
      </c>
      <c r="I131" s="793" t="s">
        <v>111</v>
      </c>
      <c r="J131" s="793">
        <f>H131</f>
        <v>379843.2</v>
      </c>
      <c r="K131" s="395"/>
    </row>
    <row r="132" spans="1:11" s="396" customFormat="1" ht="23.15" customHeight="1" thickBot="1">
      <c r="A132" s="313"/>
      <c r="B132" s="446"/>
      <c r="C132" s="445"/>
      <c r="D132" s="430"/>
      <c r="E132" s="313"/>
      <c r="F132" s="449"/>
      <c r="G132" s="842"/>
      <c r="H132" s="843">
        <f>SUM(H130:H131)</f>
        <v>1962523.2000000002</v>
      </c>
      <c r="I132" s="793"/>
      <c r="J132" s="793"/>
      <c r="K132" s="395"/>
    </row>
    <row r="133" spans="1:11" s="396" customFormat="1" ht="23.15" customHeight="1" thickBot="1">
      <c r="A133" s="313"/>
      <c r="B133" s="446"/>
      <c r="C133" s="445"/>
      <c r="D133" s="430"/>
      <c r="E133" s="313"/>
      <c r="F133" s="555" t="s">
        <v>266</v>
      </c>
      <c r="G133" s="797" t="s">
        <v>221</v>
      </c>
      <c r="H133" s="798">
        <f>H132+H128</f>
        <v>4276833.2</v>
      </c>
      <c r="I133" s="793"/>
      <c r="J133" s="793"/>
      <c r="K133" s="395"/>
    </row>
    <row r="134" spans="1:11" s="396" customFormat="1" ht="23.15" customHeight="1" thickTop="1">
      <c r="A134" s="313"/>
      <c r="B134" s="446"/>
      <c r="C134" s="445"/>
      <c r="D134" s="430"/>
      <c r="E134" s="313"/>
      <c r="F134" s="813"/>
      <c r="G134" s="814"/>
      <c r="H134" s="811"/>
      <c r="I134" s="793"/>
      <c r="J134" s="793"/>
      <c r="K134" s="395"/>
    </row>
    <row r="135" spans="1:11" s="396" customFormat="1" ht="23.15" customHeight="1">
      <c r="A135" s="313"/>
      <c r="B135" s="841" t="s">
        <v>653</v>
      </c>
      <c r="C135" s="790">
        <f>ROUND(D135,2)</f>
        <v>1.85</v>
      </c>
      <c r="D135" s="439">
        <f>Detail!K176/100</f>
        <v>1.8457560000000002</v>
      </c>
      <c r="E135" s="791" t="s">
        <v>220</v>
      </c>
      <c r="F135" s="311"/>
      <c r="G135" s="791"/>
      <c r="H135" s="1073">
        <f>H145</f>
        <v>910501.70000000007</v>
      </c>
      <c r="I135" s="793"/>
      <c r="J135" s="793"/>
      <c r="K135" s="395"/>
    </row>
    <row r="136" spans="1:11" s="396" customFormat="1" ht="22.25" customHeight="1">
      <c r="A136" s="313"/>
      <c r="B136" s="675" t="s">
        <v>65</v>
      </c>
      <c r="C136" s="445"/>
      <c r="D136" s="430"/>
      <c r="E136" s="313"/>
      <c r="F136" s="301"/>
      <c r="G136" s="313"/>
      <c r="H136" s="792"/>
      <c r="I136" s="793"/>
      <c r="J136" s="793"/>
      <c r="K136" s="395"/>
    </row>
    <row r="137" spans="1:11" s="396" customFormat="1" ht="22.25" customHeight="1">
      <c r="A137" s="313"/>
      <c r="B137" s="676" t="s">
        <v>26</v>
      </c>
      <c r="C137" s="445">
        <f>ROUND(D137,2)</f>
        <v>0.25</v>
      </c>
      <c r="D137" s="430">
        <f>(D135*20/50/3)</f>
        <v>0.24610080000000001</v>
      </c>
      <c r="E137" s="802" t="s">
        <v>9</v>
      </c>
      <c r="F137" s="325">
        <f>VLOOKUP(B137,BQ!$B$6:$E$111,4,FALSE)</f>
        <v>1250000</v>
      </c>
      <c r="G137" s="802" t="s">
        <v>9</v>
      </c>
      <c r="H137" s="792">
        <f>F137*C137</f>
        <v>312500</v>
      </c>
      <c r="I137" s="793">
        <f>H137</f>
        <v>312500</v>
      </c>
      <c r="J137" s="793"/>
      <c r="K137" s="395"/>
    </row>
    <row r="138" spans="1:11" s="396" customFormat="1" ht="22.25" customHeight="1">
      <c r="A138" s="313"/>
      <c r="B138" s="676" t="s">
        <v>27</v>
      </c>
      <c r="C138" s="445">
        <f>ROUND(D138,2)</f>
        <v>2.21</v>
      </c>
      <c r="D138" s="430">
        <f>D135*115/32/3</f>
        <v>2.211061875</v>
      </c>
      <c r="E138" s="802" t="s">
        <v>19</v>
      </c>
      <c r="F138" s="325">
        <f>VLOOKUP(B138,BQ!$B$6:$E$111,4,FALSE)</f>
        <v>69000</v>
      </c>
      <c r="G138" s="802" t="s">
        <v>19</v>
      </c>
      <c r="H138" s="792">
        <f>F138*C138</f>
        <v>152490</v>
      </c>
      <c r="I138" s="793">
        <f>H138</f>
        <v>152490</v>
      </c>
      <c r="J138" s="793"/>
      <c r="K138" s="395"/>
    </row>
    <row r="139" spans="1:11" s="396" customFormat="1" ht="22.25" customHeight="1">
      <c r="A139" s="313"/>
      <c r="B139" s="676" t="s">
        <v>21</v>
      </c>
      <c r="C139" s="445">
        <f>ROUND(D139,2)</f>
        <v>2.61</v>
      </c>
      <c r="D139" s="430">
        <f>((D135*3)/3.6)*1.7</f>
        <v>2.6148210000000005</v>
      </c>
      <c r="E139" s="802" t="s">
        <v>52</v>
      </c>
      <c r="F139" s="325">
        <f>VLOOKUP(B139,BQ!$B$6:$E$111,4,FALSE)</f>
        <v>11600</v>
      </c>
      <c r="G139" s="802" t="s">
        <v>52</v>
      </c>
      <c r="H139" s="792">
        <f>F139*C139</f>
        <v>30276</v>
      </c>
      <c r="I139" s="793">
        <f>H139</f>
        <v>30276</v>
      </c>
      <c r="J139" s="793"/>
      <c r="K139" s="395"/>
    </row>
    <row r="140" spans="1:11" s="396" customFormat="1" ht="22.25" customHeight="1">
      <c r="A140" s="313"/>
      <c r="B140" s="676"/>
      <c r="C140" s="445"/>
      <c r="D140" s="430"/>
      <c r="E140" s="802"/>
      <c r="F140" s="301"/>
      <c r="G140" s="802"/>
      <c r="H140" s="792">
        <f>SUM(H137:H139)</f>
        <v>495266</v>
      </c>
      <c r="I140" s="793"/>
      <c r="J140" s="793"/>
      <c r="K140" s="395"/>
    </row>
    <row r="141" spans="1:11" s="396" customFormat="1" ht="23.15" customHeight="1">
      <c r="A141" s="313"/>
      <c r="B141" s="675" t="s">
        <v>185</v>
      </c>
      <c r="C141" s="445"/>
      <c r="D141" s="430"/>
      <c r="E141" s="313"/>
      <c r="F141" s="301"/>
      <c r="G141" s="313"/>
      <c r="H141" s="792"/>
      <c r="I141" s="793"/>
      <c r="J141" s="793"/>
      <c r="K141" s="395"/>
    </row>
    <row r="142" spans="1:11" s="396" customFormat="1" ht="23.15" customHeight="1">
      <c r="A142" s="313"/>
      <c r="B142" s="676" t="s">
        <v>68</v>
      </c>
      <c r="C142" s="445">
        <f>ROUND(D142,2)</f>
        <v>11.07</v>
      </c>
      <c r="D142" s="430">
        <f>D135*6</f>
        <v>11.074536000000002</v>
      </c>
      <c r="E142" s="313" t="s">
        <v>3</v>
      </c>
      <c r="F142" s="325">
        <f>VLOOKUP(B142,BQ!$B$6:$E$111,4,FALSE)</f>
        <v>30250.000000000004</v>
      </c>
      <c r="G142" s="313" t="s">
        <v>3</v>
      </c>
      <c r="H142" s="792">
        <f>F142*C142</f>
        <v>334867.50000000006</v>
      </c>
      <c r="I142" s="793"/>
      <c r="J142" s="793">
        <f>H142</f>
        <v>334867.50000000006</v>
      </c>
      <c r="K142" s="395"/>
    </row>
    <row r="143" spans="1:11" s="396" customFormat="1" ht="23.15" customHeight="1">
      <c r="A143" s="313"/>
      <c r="B143" s="676" t="s">
        <v>67</v>
      </c>
      <c r="C143" s="445">
        <f>ROUND(D143,2)</f>
        <v>3.69</v>
      </c>
      <c r="D143" s="430">
        <f>D135*2</f>
        <v>3.6915120000000003</v>
      </c>
      <c r="E143" s="313" t="s">
        <v>3</v>
      </c>
      <c r="F143" s="325">
        <f>VLOOKUP(B143,BQ!$B$6:$E$111,4,FALSE)</f>
        <v>21780</v>
      </c>
      <c r="G143" s="313" t="s">
        <v>3</v>
      </c>
      <c r="H143" s="792">
        <f>F143*C143</f>
        <v>80368.2</v>
      </c>
      <c r="I143" s="793" t="s">
        <v>111</v>
      </c>
      <c r="J143" s="793">
        <f>H143</f>
        <v>80368.2</v>
      </c>
      <c r="K143" s="395"/>
    </row>
    <row r="144" spans="1:11" s="396" customFormat="1" ht="23.15" customHeight="1" thickBot="1">
      <c r="A144" s="313"/>
      <c r="B144" s="446"/>
      <c r="C144" s="445"/>
      <c r="D144" s="430"/>
      <c r="E144" s="313"/>
      <c r="F144" s="449"/>
      <c r="G144" s="842"/>
      <c r="H144" s="843">
        <f>SUM(H142:H143)</f>
        <v>415235.70000000007</v>
      </c>
      <c r="I144" s="793"/>
      <c r="J144" s="793"/>
      <c r="K144" s="395"/>
    </row>
    <row r="145" spans="1:19" s="396" customFormat="1" ht="23.15" customHeight="1" thickBot="1">
      <c r="A145" s="313"/>
      <c r="B145" s="446"/>
      <c r="C145" s="445"/>
      <c r="D145" s="430"/>
      <c r="E145" s="313"/>
      <c r="F145" s="555" t="s">
        <v>266</v>
      </c>
      <c r="G145" s="797" t="s">
        <v>221</v>
      </c>
      <c r="H145" s="798">
        <f>H144+H140</f>
        <v>910501.70000000007</v>
      </c>
      <c r="I145" s="793"/>
      <c r="J145" s="793"/>
      <c r="K145" s="395"/>
    </row>
    <row r="146" spans="1:19" s="396" customFormat="1" ht="23.15" customHeight="1" thickTop="1">
      <c r="A146" s="313"/>
      <c r="B146" s="446"/>
      <c r="C146" s="445"/>
      <c r="D146" s="430"/>
      <c r="E146" s="313"/>
      <c r="F146" s="813"/>
      <c r="G146" s="814"/>
      <c r="H146" s="811"/>
      <c r="I146" s="793"/>
      <c r="J146" s="793"/>
      <c r="K146" s="395"/>
    </row>
    <row r="147" spans="1:19" ht="38.4" customHeight="1">
      <c r="A147" s="312">
        <v>5</v>
      </c>
      <c r="B147" s="452" t="s">
        <v>370</v>
      </c>
      <c r="C147" s="428">
        <f>ROUND(D147,2)</f>
        <v>2.34</v>
      </c>
      <c r="D147" s="439">
        <f>Detail!K187</f>
        <v>2.3387500000000001</v>
      </c>
      <c r="E147" s="457" t="s">
        <v>222</v>
      </c>
      <c r="F147" s="301"/>
      <c r="G147" s="302"/>
      <c r="H147" s="863">
        <f>H155</f>
        <v>606865.19999999995</v>
      </c>
      <c r="I147" s="710"/>
      <c r="J147" s="710"/>
      <c r="L147" s="390"/>
      <c r="M147" s="404"/>
      <c r="N147" s="404"/>
      <c r="O147" s="404"/>
      <c r="P147" s="390"/>
      <c r="Q147" s="390"/>
      <c r="R147" s="404"/>
    </row>
    <row r="148" spans="1:19" ht="23.15" customHeight="1">
      <c r="A148" s="302"/>
      <c r="B148" s="461" t="s">
        <v>65</v>
      </c>
      <c r="C148" s="329"/>
      <c r="D148" s="430"/>
      <c r="E148" s="302"/>
      <c r="F148" s="301"/>
      <c r="G148" s="302"/>
      <c r="H148" s="698"/>
      <c r="I148" s="710"/>
      <c r="J148" s="710"/>
      <c r="L148" s="390"/>
      <c r="M148" s="404"/>
      <c r="N148" s="404"/>
      <c r="O148" s="404"/>
      <c r="P148" s="390"/>
      <c r="Q148" s="390"/>
      <c r="R148" s="404"/>
    </row>
    <row r="149" spans="1:19" ht="23.15" customHeight="1">
      <c r="A149" s="302"/>
      <c r="B149" s="303" t="s">
        <v>537</v>
      </c>
      <c r="C149" s="329">
        <f>ROUND(D149,2)</f>
        <v>2.34</v>
      </c>
      <c r="D149" s="430">
        <f>C147</f>
        <v>2.34</v>
      </c>
      <c r="E149" s="329" t="s">
        <v>11</v>
      </c>
      <c r="F149" s="325">
        <f>VLOOKUP(B149,BQ!$B$6:$E$111,4,FALSE)</f>
        <v>230000</v>
      </c>
      <c r="G149" s="329" t="s">
        <v>11</v>
      </c>
      <c r="H149" s="698">
        <f>F149*C149</f>
        <v>538200</v>
      </c>
      <c r="I149" s="710">
        <f>H149</f>
        <v>538200</v>
      </c>
      <c r="J149" s="710"/>
      <c r="L149" s="390"/>
      <c r="M149" s="404"/>
      <c r="N149" s="404"/>
      <c r="O149" s="404"/>
      <c r="P149" s="390"/>
      <c r="Q149" s="390"/>
      <c r="R149" s="404"/>
    </row>
    <row r="150" spans="1:19" ht="23.15" customHeight="1">
      <c r="A150" s="302"/>
      <c r="B150" s="303" t="s">
        <v>16</v>
      </c>
      <c r="C150" s="329">
        <f>ROUND(D150,2)</f>
        <v>0.59</v>
      </c>
      <c r="D150" s="430">
        <f>D149*25%</f>
        <v>0.58499999999999996</v>
      </c>
      <c r="E150" s="329" t="s">
        <v>11</v>
      </c>
      <c r="F150" s="325">
        <f>VLOOKUP(B150,BQ!$B$6:$E$111,4,FALSE)</f>
        <v>30000</v>
      </c>
      <c r="G150" s="329" t="s">
        <v>11</v>
      </c>
      <c r="H150" s="698">
        <f>F150*C150</f>
        <v>17700</v>
      </c>
      <c r="I150" s="710">
        <f>H150</f>
        <v>17700</v>
      </c>
      <c r="J150" s="710"/>
      <c r="L150" s="390"/>
      <c r="M150" s="404"/>
      <c r="N150" s="404">
        <f>C150</f>
        <v>0.59</v>
      </c>
      <c r="O150" s="404"/>
      <c r="P150" s="390"/>
      <c r="Q150" s="390"/>
      <c r="R150" s="404"/>
    </row>
    <row r="151" spans="1:19" ht="23.15" customHeight="1">
      <c r="A151" s="302"/>
      <c r="B151" s="303"/>
      <c r="C151" s="329"/>
      <c r="D151" s="430"/>
      <c r="E151" s="329"/>
      <c r="F151" s="301"/>
      <c r="G151" s="329"/>
      <c r="H151" s="698">
        <f>SUM(H149:H150)</f>
        <v>555900</v>
      </c>
      <c r="I151" s="710"/>
      <c r="J151" s="710"/>
      <c r="L151" s="390"/>
      <c r="M151" s="404"/>
      <c r="N151" s="404"/>
      <c r="O151" s="404"/>
      <c r="P151" s="390"/>
      <c r="Q151" s="390"/>
      <c r="R151" s="404"/>
    </row>
    <row r="152" spans="1:19" ht="23.15" customHeight="1">
      <c r="A152" s="302"/>
      <c r="B152" s="461" t="s">
        <v>185</v>
      </c>
      <c r="C152" s="329"/>
      <c r="D152" s="430"/>
      <c r="E152" s="302"/>
      <c r="F152" s="301"/>
      <c r="G152" s="302"/>
      <c r="H152" s="698"/>
      <c r="I152" s="710"/>
      <c r="J152" s="710"/>
      <c r="L152" s="390"/>
      <c r="M152" s="404"/>
      <c r="N152" s="404"/>
      <c r="O152" s="404"/>
      <c r="P152" s="390"/>
      <c r="Q152" s="390"/>
      <c r="R152" s="404"/>
    </row>
    <row r="153" spans="1:19" ht="22.5" customHeight="1">
      <c r="A153" s="302"/>
      <c r="B153" s="303" t="s">
        <v>67</v>
      </c>
      <c r="C153" s="329">
        <f>ROUND(D153,2)</f>
        <v>2.34</v>
      </c>
      <c r="D153" s="430">
        <f>D147*1</f>
        <v>2.3387500000000001</v>
      </c>
      <c r="E153" s="302" t="s">
        <v>3</v>
      </c>
      <c r="F153" s="301">
        <f>VLOOKUP(B153,BQ!$B$6:$E$120,4,FALSE)</f>
        <v>21780</v>
      </c>
      <c r="G153" s="302" t="s">
        <v>3</v>
      </c>
      <c r="H153" s="698">
        <f>F153*C153</f>
        <v>50965.2</v>
      </c>
      <c r="I153" s="710"/>
      <c r="J153" s="710">
        <f>H153</f>
        <v>50965.2</v>
      </c>
      <c r="L153" s="390"/>
      <c r="M153" s="404"/>
      <c r="N153" s="404"/>
      <c r="O153" s="404"/>
      <c r="P153" s="390"/>
      <c r="Q153" s="390"/>
      <c r="R153" s="404"/>
      <c r="S153" s="390">
        <f>C153</f>
        <v>2.34</v>
      </c>
    </row>
    <row r="154" spans="1:19" ht="22.5" customHeight="1" thickBot="1">
      <c r="A154" s="302"/>
      <c r="B154" s="431"/>
      <c r="C154" s="329"/>
      <c r="D154" s="430"/>
      <c r="E154" s="302"/>
      <c r="F154" s="679"/>
      <c r="G154" s="447"/>
      <c r="H154" s="703">
        <f>SUM(H153)</f>
        <v>50965.2</v>
      </c>
      <c r="I154" s="710"/>
      <c r="J154" s="710"/>
      <c r="L154" s="390"/>
      <c r="M154" s="404"/>
      <c r="N154" s="404"/>
      <c r="O154" s="404"/>
      <c r="P154" s="390"/>
      <c r="Q154" s="390"/>
      <c r="R154" s="404"/>
      <c r="S154" s="390"/>
    </row>
    <row r="155" spans="1:19" ht="22.5" customHeight="1" thickBot="1">
      <c r="A155" s="302"/>
      <c r="B155" s="431"/>
      <c r="C155" s="329"/>
      <c r="D155" s="430"/>
      <c r="E155" s="302"/>
      <c r="F155" s="555" t="s">
        <v>266</v>
      </c>
      <c r="G155" s="503" t="s">
        <v>221</v>
      </c>
      <c r="H155" s="700">
        <f>H154+H151</f>
        <v>606865.19999999995</v>
      </c>
      <c r="I155" s="710"/>
      <c r="J155" s="710"/>
      <c r="L155" s="390"/>
      <c r="M155" s="404"/>
      <c r="N155" s="404"/>
      <c r="O155" s="404"/>
      <c r="P155" s="390"/>
      <c r="Q155" s="390"/>
      <c r="R155" s="404"/>
      <c r="S155" s="390"/>
    </row>
    <row r="156" spans="1:19" ht="22.5" customHeight="1" thickTop="1">
      <c r="A156" s="302"/>
      <c r="B156" s="303"/>
      <c r="C156" s="329"/>
      <c r="D156" s="430"/>
      <c r="E156" s="302"/>
      <c r="F156" s="301"/>
      <c r="G156" s="302"/>
      <c r="H156" s="706"/>
      <c r="I156" s="711"/>
      <c r="J156" s="711"/>
      <c r="K156" s="398"/>
      <c r="L156" s="390"/>
      <c r="M156" s="404"/>
      <c r="N156" s="404"/>
      <c r="O156" s="404"/>
      <c r="P156" s="390"/>
      <c r="Q156" s="390"/>
      <c r="R156" s="404"/>
    </row>
    <row r="157" spans="1:19" ht="38" customHeight="1">
      <c r="A157" s="312">
        <v>6</v>
      </c>
      <c r="B157" s="452" t="s">
        <v>371</v>
      </c>
      <c r="C157" s="428">
        <f>ROUND(D157,2)</f>
        <v>10.83</v>
      </c>
      <c r="D157" s="439">
        <f>Detail!K223</f>
        <v>10.831305</v>
      </c>
      <c r="E157" s="457" t="s">
        <v>222</v>
      </c>
      <c r="F157" s="301"/>
      <c r="G157" s="302"/>
      <c r="H157" s="863">
        <f>H169</f>
        <v>6204488.7000000002</v>
      </c>
      <c r="I157" s="710"/>
      <c r="J157" s="710"/>
      <c r="L157" s="390"/>
      <c r="M157" s="404"/>
      <c r="N157" s="404"/>
      <c r="O157" s="404"/>
      <c r="P157" s="390"/>
      <c r="Q157" s="390"/>
      <c r="R157" s="404"/>
    </row>
    <row r="158" spans="1:19" ht="23.15" customHeight="1">
      <c r="A158" s="302"/>
      <c r="B158" s="461" t="s">
        <v>65</v>
      </c>
      <c r="C158" s="329"/>
      <c r="D158" s="430"/>
      <c r="E158" s="302"/>
      <c r="F158" s="301"/>
      <c r="G158" s="302"/>
      <c r="H158" s="698"/>
      <c r="I158" s="710"/>
      <c r="J158" s="710"/>
      <c r="L158" s="390"/>
      <c r="M158" s="404"/>
      <c r="N158" s="404"/>
      <c r="O158" s="404"/>
      <c r="P158" s="390"/>
      <c r="Q158" s="390"/>
      <c r="R158" s="404"/>
    </row>
    <row r="159" spans="1:19" ht="21" customHeight="1">
      <c r="A159" s="302"/>
      <c r="B159" s="303" t="s">
        <v>14</v>
      </c>
      <c r="C159" s="329">
        <f>ROUND(D159,2)</f>
        <v>139.26</v>
      </c>
      <c r="D159" s="430">
        <f>D157*1440/112</f>
        <v>139.25963571428571</v>
      </c>
      <c r="E159" s="329" t="s">
        <v>302</v>
      </c>
      <c r="F159" s="325">
        <f>VLOOKUP(B159,BQ!$B$6:$E$111,4,FALSE)</f>
        <v>18600</v>
      </c>
      <c r="G159" s="329" t="str">
        <f>E159</f>
        <v>Bags</v>
      </c>
      <c r="H159" s="698">
        <f>F159*C159</f>
        <v>2590236</v>
      </c>
      <c r="I159" s="710">
        <f>H159</f>
        <v>2590236</v>
      </c>
      <c r="J159" s="710"/>
      <c r="L159" s="390"/>
      <c r="M159" s="404">
        <f>C159</f>
        <v>139.26</v>
      </c>
      <c r="N159" s="404"/>
      <c r="O159" s="404"/>
      <c r="P159" s="390"/>
      <c r="Q159" s="390"/>
      <c r="R159" s="404"/>
    </row>
    <row r="160" spans="1:19" ht="21" customHeight="1">
      <c r="A160" s="302"/>
      <c r="B160" s="303" t="s">
        <v>16</v>
      </c>
      <c r="C160" s="329">
        <f>ROUND(D160,2)</f>
        <v>5.2</v>
      </c>
      <c r="D160" s="430">
        <f>D157*48/100</f>
        <v>5.1990264000000002</v>
      </c>
      <c r="E160" s="329" t="s">
        <v>11</v>
      </c>
      <c r="F160" s="325">
        <f>VLOOKUP(B160,BQ!$B$6:$E$111,4,FALSE)</f>
        <v>30000</v>
      </c>
      <c r="G160" s="329" t="str">
        <f>E160</f>
        <v>Sud</v>
      </c>
      <c r="H160" s="698">
        <f>F160*C160</f>
        <v>156000</v>
      </c>
      <c r="I160" s="710">
        <f>H160</f>
        <v>156000</v>
      </c>
      <c r="J160" s="710"/>
      <c r="L160" s="390"/>
      <c r="M160" s="404"/>
      <c r="N160" s="404">
        <f>C160</f>
        <v>5.2</v>
      </c>
      <c r="O160" s="404"/>
      <c r="P160" s="390"/>
      <c r="Q160" s="390"/>
      <c r="R160" s="404"/>
    </row>
    <row r="161" spans="1:21" ht="21" customHeight="1">
      <c r="A161" s="302"/>
      <c r="B161" s="303" t="s">
        <v>303</v>
      </c>
      <c r="C161" s="329">
        <f>ROUND(D161,2)</f>
        <v>10.4</v>
      </c>
      <c r="D161" s="430">
        <f>D157*96/100</f>
        <v>10.3980528</v>
      </c>
      <c r="E161" s="329" t="s">
        <v>11</v>
      </c>
      <c r="F161" s="325">
        <f>VLOOKUP(B161,BQ!$B$6:$E$111,4,FALSE)</f>
        <v>110000</v>
      </c>
      <c r="G161" s="329" t="str">
        <f>E161</f>
        <v>Sud</v>
      </c>
      <c r="H161" s="698">
        <f>F161*C161</f>
        <v>1144000</v>
      </c>
      <c r="I161" s="710">
        <f>H161</f>
        <v>1144000</v>
      </c>
      <c r="J161" s="710"/>
      <c r="L161" s="390"/>
      <c r="M161" s="404"/>
      <c r="N161" s="404"/>
      <c r="O161" s="404">
        <f>C161</f>
        <v>10.4</v>
      </c>
      <c r="P161" s="390"/>
      <c r="Q161" s="390"/>
      <c r="R161" s="404"/>
    </row>
    <row r="162" spans="1:21" ht="21" customHeight="1">
      <c r="A162" s="302"/>
      <c r="B162" s="303" t="s">
        <v>535</v>
      </c>
      <c r="C162" s="329">
        <f>ROUND(D162,2)</f>
        <v>21.66</v>
      </c>
      <c r="D162" s="430">
        <f>D157*2</f>
        <v>21.662610000000001</v>
      </c>
      <c r="E162" s="329" t="s">
        <v>23</v>
      </c>
      <c r="F162" s="325">
        <f>VLOOKUP(B162,BQ!$B$6:$E$111,4,FALSE)</f>
        <v>18800</v>
      </c>
      <c r="G162" s="329" t="str">
        <f>E162</f>
        <v>Gal</v>
      </c>
      <c r="H162" s="698">
        <f>F162*C162</f>
        <v>407208</v>
      </c>
      <c r="I162" s="710">
        <f>H162</f>
        <v>407208</v>
      </c>
      <c r="J162" s="710"/>
      <c r="L162" s="390"/>
      <c r="M162" s="404"/>
      <c r="N162" s="404"/>
      <c r="O162" s="404"/>
      <c r="P162" s="390"/>
      <c r="Q162" s="390"/>
      <c r="R162" s="404"/>
    </row>
    <row r="163" spans="1:21" ht="21" customHeight="1">
      <c r="A163" s="302"/>
      <c r="B163" s="303"/>
      <c r="C163" s="329"/>
      <c r="D163" s="430"/>
      <c r="E163" s="329"/>
      <c r="F163" s="301"/>
      <c r="G163" s="329"/>
      <c r="H163" s="698">
        <f>SUM(H159:H162)</f>
        <v>4297444</v>
      </c>
      <c r="I163" s="710"/>
      <c r="J163" s="710"/>
      <c r="L163" s="390"/>
      <c r="M163" s="404"/>
      <c r="N163" s="404"/>
      <c r="O163" s="404"/>
      <c r="P163" s="390"/>
      <c r="Q163" s="390"/>
      <c r="R163" s="404"/>
    </row>
    <row r="164" spans="1:21" ht="23.15" customHeight="1">
      <c r="A164" s="302"/>
      <c r="B164" s="461" t="s">
        <v>185</v>
      </c>
      <c r="C164" s="329"/>
      <c r="D164" s="430"/>
      <c r="E164" s="302"/>
      <c r="F164" s="301"/>
      <c r="G164" s="302"/>
      <c r="H164" s="698"/>
      <c r="I164" s="710"/>
      <c r="J164" s="710"/>
      <c r="L164" s="390"/>
      <c r="M164" s="404"/>
      <c r="N164" s="404"/>
      <c r="O164" s="404"/>
      <c r="P164" s="390"/>
      <c r="Q164" s="390"/>
      <c r="R164" s="404"/>
    </row>
    <row r="165" spans="1:21" ht="22.5" customHeight="1">
      <c r="A165" s="302"/>
      <c r="B165" s="303" t="s">
        <v>69</v>
      </c>
      <c r="C165" s="329">
        <f>ROUND(D165,2)</f>
        <v>10.83</v>
      </c>
      <c r="D165" s="430">
        <f>D157*1</f>
        <v>10.831305</v>
      </c>
      <c r="E165" s="302" t="s">
        <v>3</v>
      </c>
      <c r="F165" s="301">
        <f>VLOOKUP(B165,BQ!$B$6:$E$120,4,FALSE)</f>
        <v>30250.000000000004</v>
      </c>
      <c r="G165" s="302" t="str">
        <f>E165</f>
        <v>No</v>
      </c>
      <c r="H165" s="698">
        <f>F165*C165</f>
        <v>327607.50000000006</v>
      </c>
      <c r="I165" s="710"/>
      <c r="J165" s="710">
        <f>H165</f>
        <v>327607.50000000006</v>
      </c>
      <c r="L165" s="390"/>
      <c r="M165" s="404"/>
      <c r="N165" s="404"/>
      <c r="O165" s="404"/>
      <c r="P165" s="390"/>
      <c r="Q165" s="390"/>
      <c r="R165" s="404"/>
      <c r="U165" s="390">
        <f>C165</f>
        <v>10.83</v>
      </c>
    </row>
    <row r="166" spans="1:21" ht="22.5" customHeight="1">
      <c r="A166" s="302"/>
      <c r="B166" s="303" t="s">
        <v>67</v>
      </c>
      <c r="C166" s="329">
        <f>ROUND(D166,2)</f>
        <v>64.989999999999995</v>
      </c>
      <c r="D166" s="430">
        <f>D157*6</f>
        <v>64.987830000000002</v>
      </c>
      <c r="E166" s="302" t="s">
        <v>3</v>
      </c>
      <c r="F166" s="301">
        <f>VLOOKUP(B166,BQ!$B$6:$E$120,4,FALSE)</f>
        <v>21780</v>
      </c>
      <c r="G166" s="302" t="str">
        <f>E166</f>
        <v>No</v>
      </c>
      <c r="H166" s="698">
        <f>F166*C166</f>
        <v>1415482.2</v>
      </c>
      <c r="I166" s="710"/>
      <c r="J166" s="710">
        <f>H166</f>
        <v>1415482.2</v>
      </c>
      <c r="L166" s="390"/>
      <c r="M166" s="404"/>
      <c r="N166" s="404"/>
      <c r="O166" s="404"/>
      <c r="P166" s="390"/>
      <c r="Q166" s="390"/>
      <c r="R166" s="404"/>
      <c r="S166" s="390">
        <f>C166</f>
        <v>64.989999999999995</v>
      </c>
    </row>
    <row r="167" spans="1:21" ht="22.5" customHeight="1">
      <c r="A167" s="302"/>
      <c r="B167" s="303" t="s">
        <v>536</v>
      </c>
      <c r="C167" s="329">
        <f>ROUND(D167,2)</f>
        <v>5.42</v>
      </c>
      <c r="D167" s="430">
        <f>D157*0.5</f>
        <v>5.4156525000000002</v>
      </c>
      <c r="E167" s="302" t="s">
        <v>3</v>
      </c>
      <c r="F167" s="301">
        <f>VLOOKUP(B167,BQ!$B$6:$E$120,4,FALSE)</f>
        <v>30250.000000000004</v>
      </c>
      <c r="G167" s="302" t="str">
        <f>E167</f>
        <v>No</v>
      </c>
      <c r="H167" s="698">
        <f>F167*C167</f>
        <v>163955.00000000003</v>
      </c>
      <c r="I167" s="710"/>
      <c r="J167" s="710">
        <f>H167</f>
        <v>163955.00000000003</v>
      </c>
      <c r="L167" s="390"/>
      <c r="M167" s="404"/>
      <c r="N167" s="404"/>
      <c r="O167" s="404"/>
      <c r="P167" s="390"/>
      <c r="Q167" s="390"/>
      <c r="R167" s="404"/>
      <c r="S167" s="390"/>
    </row>
    <row r="168" spans="1:21" ht="22.5" customHeight="1" thickBot="1">
      <c r="A168" s="302"/>
      <c r="B168" s="431"/>
      <c r="C168" s="329"/>
      <c r="D168" s="430"/>
      <c r="E168" s="302"/>
      <c r="F168" s="449"/>
      <c r="G168" s="447"/>
      <c r="H168" s="703">
        <f>SUM(H165:H167)</f>
        <v>1907044.7</v>
      </c>
      <c r="I168" s="710"/>
      <c r="J168" s="710"/>
      <c r="L168" s="390"/>
      <c r="M168" s="404"/>
      <c r="N168" s="404"/>
      <c r="O168" s="404"/>
      <c r="P168" s="390"/>
      <c r="Q168" s="390"/>
      <c r="R168" s="404"/>
      <c r="S168" s="390"/>
    </row>
    <row r="169" spans="1:21" ht="22.5" customHeight="1" thickBot="1">
      <c r="A169" s="302"/>
      <c r="B169" s="431"/>
      <c r="C169" s="329"/>
      <c r="D169" s="430"/>
      <c r="E169" s="302"/>
      <c r="F169" s="555" t="s">
        <v>266</v>
      </c>
      <c r="G169" s="503" t="s">
        <v>221</v>
      </c>
      <c r="H169" s="700">
        <f>H163+H168</f>
        <v>6204488.7000000002</v>
      </c>
      <c r="I169" s="710"/>
      <c r="J169" s="710"/>
      <c r="L169" s="390"/>
      <c r="M169" s="404"/>
      <c r="N169" s="404"/>
      <c r="O169" s="404"/>
      <c r="P169" s="390"/>
      <c r="Q169" s="390"/>
      <c r="R169" s="404"/>
      <c r="S169" s="390"/>
    </row>
    <row r="170" spans="1:21" ht="22.5" customHeight="1" thickTop="1">
      <c r="A170" s="302"/>
      <c r="B170" s="303"/>
      <c r="C170" s="329"/>
      <c r="D170" s="430"/>
      <c r="E170" s="302"/>
      <c r="F170" s="301"/>
      <c r="G170" s="302"/>
      <c r="H170" s="706"/>
      <c r="I170" s="711"/>
      <c r="J170" s="711"/>
      <c r="K170" s="398"/>
      <c r="L170" s="390"/>
      <c r="M170" s="404"/>
      <c r="N170" s="404"/>
      <c r="O170" s="404"/>
      <c r="P170" s="390"/>
      <c r="Q170" s="390"/>
      <c r="R170" s="404"/>
    </row>
    <row r="171" spans="1:21" ht="37.25" customHeight="1">
      <c r="A171" s="312">
        <v>7</v>
      </c>
      <c r="B171" s="452" t="s">
        <v>372</v>
      </c>
      <c r="C171" s="428">
        <f>ROUND(D171,2)</f>
        <v>41.77</v>
      </c>
      <c r="D171" s="439">
        <f>Detail!K237</f>
        <v>41.772500000000001</v>
      </c>
      <c r="E171" s="457" t="s">
        <v>222</v>
      </c>
      <c r="F171" s="301"/>
      <c r="G171" s="302"/>
      <c r="H171" s="863">
        <f>H178</f>
        <v>2476350.6</v>
      </c>
      <c r="I171" s="710"/>
      <c r="J171" s="710"/>
      <c r="L171" s="390"/>
      <c r="M171" s="404"/>
      <c r="N171" s="404"/>
      <c r="O171" s="404"/>
      <c r="P171" s="390"/>
      <c r="Q171" s="390"/>
      <c r="R171" s="404"/>
    </row>
    <row r="172" spans="1:21" ht="23.15" customHeight="1">
      <c r="A172" s="302"/>
      <c r="B172" s="461" t="s">
        <v>65</v>
      </c>
      <c r="C172" s="329"/>
      <c r="D172" s="430"/>
      <c r="E172" s="302"/>
      <c r="F172" s="301"/>
      <c r="G172" s="302"/>
      <c r="H172" s="698"/>
      <c r="I172" s="710"/>
      <c r="J172" s="710"/>
      <c r="L172" s="390"/>
      <c r="M172" s="404"/>
      <c r="N172" s="404"/>
      <c r="O172" s="404"/>
      <c r="P172" s="390"/>
      <c r="Q172" s="390"/>
      <c r="R172" s="404"/>
    </row>
    <row r="173" spans="1:21" ht="23.15" customHeight="1">
      <c r="A173" s="302"/>
      <c r="B173" s="303" t="s">
        <v>16</v>
      </c>
      <c r="C173" s="329">
        <f>ROUND(D173,2)</f>
        <v>52.22</v>
      </c>
      <c r="D173" s="430">
        <f>D171*125/100</f>
        <v>52.215625000000003</v>
      </c>
      <c r="E173" s="329" t="s">
        <v>11</v>
      </c>
      <c r="F173" s="325">
        <f>VLOOKUP(B173,BQ!$B$6:$E$111,4,FALSE)</f>
        <v>30000</v>
      </c>
      <c r="G173" s="329" t="s">
        <v>11</v>
      </c>
      <c r="H173" s="698">
        <f>F173*C173</f>
        <v>1566600</v>
      </c>
      <c r="I173" s="710">
        <f>H173</f>
        <v>1566600</v>
      </c>
      <c r="J173" s="710"/>
      <c r="L173" s="390"/>
      <c r="M173" s="404"/>
      <c r="N173" s="404">
        <f>C173</f>
        <v>52.22</v>
      </c>
      <c r="O173" s="404"/>
      <c r="P173" s="390"/>
      <c r="Q173" s="390"/>
      <c r="R173" s="404"/>
    </row>
    <row r="174" spans="1:21" ht="23.15" customHeight="1">
      <c r="A174" s="302"/>
      <c r="B174" s="303"/>
      <c r="C174" s="329"/>
      <c r="D174" s="430"/>
      <c r="E174" s="329"/>
      <c r="F174" s="325"/>
      <c r="G174" s="329"/>
      <c r="H174" s="698">
        <f>SUM(H173)</f>
        <v>1566600</v>
      </c>
      <c r="I174" s="710"/>
      <c r="J174" s="710"/>
      <c r="L174" s="390"/>
      <c r="M174" s="404"/>
      <c r="N174" s="404"/>
      <c r="O174" s="404"/>
      <c r="P174" s="390"/>
      <c r="Q174" s="390"/>
      <c r="R174" s="404"/>
    </row>
    <row r="175" spans="1:21" ht="23.15" customHeight="1">
      <c r="A175" s="302"/>
      <c r="B175" s="461" t="s">
        <v>185</v>
      </c>
      <c r="C175" s="329"/>
      <c r="D175" s="430"/>
      <c r="E175" s="302"/>
      <c r="F175" s="301"/>
      <c r="G175" s="302"/>
      <c r="H175" s="698"/>
      <c r="I175" s="710"/>
      <c r="J175" s="710"/>
      <c r="L175" s="390"/>
      <c r="M175" s="404"/>
      <c r="N175" s="404"/>
      <c r="O175" s="404"/>
      <c r="P175" s="390"/>
      <c r="Q175" s="390"/>
      <c r="R175" s="404"/>
    </row>
    <row r="176" spans="1:21" ht="22.5" customHeight="1">
      <c r="A176" s="302"/>
      <c r="B176" s="303" t="s">
        <v>67</v>
      </c>
      <c r="C176" s="329">
        <f>ROUND(D176,2)</f>
        <v>41.77</v>
      </c>
      <c r="D176" s="430">
        <f>D171*1</f>
        <v>41.772500000000001</v>
      </c>
      <c r="E176" s="302" t="s">
        <v>3</v>
      </c>
      <c r="F176" s="301">
        <f>VLOOKUP(B176,BQ!$B$6:$E$120,4,FALSE)</f>
        <v>21780</v>
      </c>
      <c r="G176" s="302" t="s">
        <v>3</v>
      </c>
      <c r="H176" s="698">
        <f>F176*C176</f>
        <v>909750.60000000009</v>
      </c>
      <c r="I176" s="710"/>
      <c r="J176" s="710">
        <f>H176</f>
        <v>909750.60000000009</v>
      </c>
      <c r="L176" s="390"/>
      <c r="M176" s="404"/>
      <c r="N176" s="404"/>
      <c r="O176" s="404"/>
      <c r="P176" s="390"/>
      <c r="Q176" s="390"/>
      <c r="R176" s="404"/>
      <c r="S176" s="390">
        <f>C176</f>
        <v>41.77</v>
      </c>
    </row>
    <row r="177" spans="1:19" ht="22.5" customHeight="1" thickBot="1">
      <c r="A177" s="318"/>
      <c r="B177" s="680"/>
      <c r="C177" s="557"/>
      <c r="D177" s="558"/>
      <c r="E177" s="318"/>
      <c r="F177" s="449"/>
      <c r="G177" s="447"/>
      <c r="H177" s="703">
        <f>SUM(H176)</f>
        <v>909750.60000000009</v>
      </c>
      <c r="I177" s="710"/>
      <c r="J177" s="710"/>
      <c r="L177" s="390"/>
      <c r="M177" s="404"/>
      <c r="N177" s="404"/>
      <c r="O177" s="404"/>
      <c r="P177" s="390"/>
      <c r="Q177" s="390"/>
      <c r="R177" s="404"/>
      <c r="S177" s="390"/>
    </row>
    <row r="178" spans="1:19" ht="22.5" customHeight="1" thickBot="1">
      <c r="A178" s="318"/>
      <c r="B178" s="556"/>
      <c r="C178" s="557"/>
      <c r="D178" s="558"/>
      <c r="E178" s="318"/>
      <c r="F178" s="555" t="s">
        <v>266</v>
      </c>
      <c r="G178" s="503" t="s">
        <v>221</v>
      </c>
      <c r="H178" s="700">
        <f>H177+H174</f>
        <v>2476350.6</v>
      </c>
      <c r="I178" s="710"/>
      <c r="J178" s="710"/>
      <c r="L178" s="390"/>
      <c r="M178" s="404"/>
      <c r="N178" s="404"/>
      <c r="O178" s="404"/>
      <c r="P178" s="390"/>
      <c r="Q178" s="390"/>
      <c r="R178" s="404"/>
      <c r="S178" s="390"/>
    </row>
    <row r="179" spans="1:19" ht="22.5" customHeight="1" thickTop="1">
      <c r="A179" s="302"/>
      <c r="B179" s="303"/>
      <c r="C179" s="329"/>
      <c r="D179" s="430"/>
      <c r="E179" s="302"/>
      <c r="F179" s="301"/>
      <c r="G179" s="302"/>
      <c r="H179" s="706"/>
      <c r="I179" s="711"/>
      <c r="J179" s="711"/>
      <c r="K179" s="398"/>
      <c r="L179" s="390"/>
      <c r="M179" s="404"/>
      <c r="N179" s="404"/>
      <c r="O179" s="404"/>
      <c r="P179" s="390"/>
      <c r="Q179" s="390"/>
      <c r="R179" s="404"/>
    </row>
    <row r="180" spans="1:19" ht="25.5" customHeight="1">
      <c r="A180" s="312">
        <v>8</v>
      </c>
      <c r="B180" s="452" t="s">
        <v>498</v>
      </c>
      <c r="C180" s="428">
        <f>ROUND(D180,2)</f>
        <v>34.96</v>
      </c>
      <c r="D180" s="439">
        <f>Detail!K271</f>
        <v>34.959209584999996</v>
      </c>
      <c r="E180" s="457" t="s">
        <v>222</v>
      </c>
      <c r="F180" s="301"/>
      <c r="G180" s="302"/>
      <c r="H180" s="863">
        <f>H183</f>
        <v>761428.8</v>
      </c>
      <c r="I180" s="710"/>
      <c r="J180" s="710"/>
      <c r="L180" s="390"/>
      <c r="M180" s="404"/>
      <c r="N180" s="404"/>
      <c r="O180" s="404"/>
      <c r="P180" s="390"/>
      <c r="Q180" s="390"/>
      <c r="R180" s="404"/>
    </row>
    <row r="181" spans="1:19" ht="23.15" customHeight="1">
      <c r="A181" s="302"/>
      <c r="B181" s="461" t="s">
        <v>185</v>
      </c>
      <c r="C181" s="329"/>
      <c r="D181" s="430"/>
      <c r="E181" s="302"/>
      <c r="F181" s="301"/>
      <c r="G181" s="302"/>
      <c r="H181" s="698"/>
      <c r="I181" s="710"/>
      <c r="J181" s="710"/>
      <c r="L181" s="390"/>
      <c r="M181" s="404"/>
      <c r="N181" s="404"/>
      <c r="O181" s="404"/>
      <c r="P181" s="390"/>
      <c r="Q181" s="390"/>
      <c r="R181" s="404"/>
    </row>
    <row r="182" spans="1:19" ht="22.5" customHeight="1" thickBot="1">
      <c r="A182" s="302"/>
      <c r="B182" s="303" t="s">
        <v>67</v>
      </c>
      <c r="C182" s="329">
        <f>ROUND(D182,2)</f>
        <v>34.96</v>
      </c>
      <c r="D182" s="430">
        <f>D180*1</f>
        <v>34.959209584999996</v>
      </c>
      <c r="E182" s="302" t="s">
        <v>3</v>
      </c>
      <c r="F182" s="325">
        <f>VLOOKUP(B182,BQ!$B$6:$E$120,4,FALSE)</f>
        <v>21780</v>
      </c>
      <c r="G182" s="326" t="s">
        <v>3</v>
      </c>
      <c r="H182" s="699">
        <f>F182*C182</f>
        <v>761428.8</v>
      </c>
      <c r="I182" s="710"/>
      <c r="J182" s="710">
        <f>H182</f>
        <v>761428.8</v>
      </c>
      <c r="L182" s="390"/>
      <c r="M182" s="404"/>
      <c r="N182" s="404"/>
      <c r="O182" s="404"/>
      <c r="P182" s="390"/>
      <c r="Q182" s="390"/>
      <c r="R182" s="404"/>
      <c r="S182" s="390">
        <f>C182</f>
        <v>34.96</v>
      </c>
    </row>
    <row r="183" spans="1:19" ht="22.5" customHeight="1" thickBot="1">
      <c r="A183" s="318"/>
      <c r="B183" s="556"/>
      <c r="C183" s="557"/>
      <c r="D183" s="558"/>
      <c r="E183" s="318"/>
      <c r="F183" s="555" t="s">
        <v>266</v>
      </c>
      <c r="G183" s="503" t="s">
        <v>221</v>
      </c>
      <c r="H183" s="700">
        <f>SUM(H182)</f>
        <v>761428.8</v>
      </c>
      <c r="I183" s="710"/>
      <c r="J183" s="710"/>
      <c r="L183" s="390"/>
      <c r="M183" s="404"/>
      <c r="N183" s="404"/>
      <c r="O183" s="404"/>
      <c r="P183" s="390"/>
      <c r="Q183" s="390"/>
      <c r="R183" s="404"/>
      <c r="S183" s="390"/>
    </row>
    <row r="184" spans="1:19" ht="22.5" customHeight="1" thickTop="1">
      <c r="A184" s="302"/>
      <c r="B184" s="303"/>
      <c r="C184" s="329"/>
      <c r="D184" s="889">
        <f>D186+D200+D214+D229+D243+D258+D273+D287</f>
        <v>20.391633309999996</v>
      </c>
      <c r="E184" s="302"/>
      <c r="F184" s="301"/>
      <c r="G184" s="302"/>
      <c r="H184" s="706"/>
      <c r="I184" s="711"/>
      <c r="J184" s="711"/>
      <c r="K184" s="398"/>
      <c r="L184" s="390"/>
      <c r="M184" s="404"/>
      <c r="N184" s="404"/>
      <c r="O184" s="404"/>
      <c r="P184" s="390"/>
      <c r="Q184" s="390"/>
      <c r="R184" s="404"/>
    </row>
    <row r="185" spans="1:19" ht="22.5" customHeight="1">
      <c r="A185" s="454">
        <v>9</v>
      </c>
      <c r="B185" s="458" t="s">
        <v>341</v>
      </c>
      <c r="C185" s="428">
        <f>ROUND(D185,2)</f>
        <v>20.39</v>
      </c>
      <c r="D185" s="439">
        <f>Detail!K384</f>
        <v>20.39163331</v>
      </c>
      <c r="E185" s="457" t="s">
        <v>222</v>
      </c>
      <c r="F185" s="301"/>
      <c r="G185" s="302"/>
      <c r="H185" s="863">
        <f>H198+H212+H227+H241+H256+H271+H285+H299</f>
        <v>16253183.899999999</v>
      </c>
      <c r="I185" s="710"/>
      <c r="J185" s="710"/>
      <c r="L185" s="390"/>
      <c r="M185" s="404"/>
      <c r="N185" s="404"/>
      <c r="O185" s="404"/>
      <c r="P185" s="390"/>
      <c r="Q185" s="390"/>
      <c r="R185" s="404"/>
    </row>
    <row r="186" spans="1:19" ht="22.5" customHeight="1">
      <c r="A186" s="454"/>
      <c r="B186" s="750" t="s">
        <v>631</v>
      </c>
      <c r="C186" s="428">
        <f>ROUND(D186,2)</f>
        <v>3.96</v>
      </c>
      <c r="D186" s="439">
        <f>Detail!K279/100</f>
        <v>3.9550000000000001</v>
      </c>
      <c r="E186" s="457" t="s">
        <v>222</v>
      </c>
      <c r="F186" s="301"/>
      <c r="G186" s="302"/>
      <c r="H186" s="863">
        <f>H198</f>
        <v>3037908.5</v>
      </c>
      <c r="I186" s="710"/>
      <c r="J186" s="710"/>
      <c r="L186" s="390"/>
      <c r="M186" s="404"/>
      <c r="N186" s="404"/>
      <c r="O186" s="404"/>
      <c r="P186" s="390"/>
      <c r="Q186" s="390"/>
      <c r="R186" s="404"/>
    </row>
    <row r="187" spans="1:19" ht="22.5" customHeight="1">
      <c r="A187" s="302"/>
      <c r="B187" s="429" t="s">
        <v>65</v>
      </c>
      <c r="C187" s="428"/>
      <c r="D187" s="430"/>
      <c r="E187" s="302"/>
      <c r="F187" s="301"/>
      <c r="G187" s="302"/>
      <c r="H187" s="698"/>
      <c r="I187" s="710"/>
      <c r="J187" s="710"/>
      <c r="L187" s="390"/>
      <c r="M187" s="404"/>
      <c r="N187" s="404"/>
      <c r="O187" s="404"/>
      <c r="P187" s="390"/>
      <c r="Q187" s="390"/>
      <c r="R187" s="404"/>
    </row>
    <row r="188" spans="1:19" ht="22.5" customHeight="1">
      <c r="A188" s="302"/>
      <c r="B188" s="303" t="s">
        <v>14</v>
      </c>
      <c r="C188" s="329">
        <f>ROUND(D188,2)</f>
        <v>73.099999999999994</v>
      </c>
      <c r="D188" s="430">
        <f>D186*2070/112</f>
        <v>73.096874999999997</v>
      </c>
      <c r="E188" s="329" t="s">
        <v>302</v>
      </c>
      <c r="F188" s="325">
        <f>VLOOKUP(B188,BQ!$B$6:$E$111,4,FALSE)</f>
        <v>18600</v>
      </c>
      <c r="G188" s="329" t="s">
        <v>302</v>
      </c>
      <c r="H188" s="698">
        <f>F188*C188</f>
        <v>1359660</v>
      </c>
      <c r="I188" s="710">
        <f>H188</f>
        <v>1359660</v>
      </c>
      <c r="J188" s="710"/>
      <c r="L188" s="390"/>
      <c r="M188" s="404">
        <f>C188</f>
        <v>73.099999999999994</v>
      </c>
      <c r="N188" s="404"/>
      <c r="O188" s="404"/>
      <c r="P188" s="390"/>
      <c r="Q188" s="390"/>
      <c r="R188" s="404"/>
    </row>
    <row r="189" spans="1:19" ht="22.5" customHeight="1">
      <c r="A189" s="302"/>
      <c r="B189" s="303" t="s">
        <v>16</v>
      </c>
      <c r="C189" s="329">
        <f>ROUND(D189,2)</f>
        <v>1.82</v>
      </c>
      <c r="D189" s="430">
        <f>D186*46/100</f>
        <v>1.8193000000000001</v>
      </c>
      <c r="E189" s="329" t="s">
        <v>11</v>
      </c>
      <c r="F189" s="325">
        <f>VLOOKUP(B189,BQ!$B$6:$E$111,4,FALSE)</f>
        <v>30000</v>
      </c>
      <c r="G189" s="329" t="s">
        <v>11</v>
      </c>
      <c r="H189" s="698">
        <f>F189*C189</f>
        <v>54600</v>
      </c>
      <c r="I189" s="710">
        <f>H189</f>
        <v>54600</v>
      </c>
      <c r="J189" s="710"/>
      <c r="L189" s="390"/>
      <c r="M189" s="404"/>
      <c r="N189" s="404">
        <f>C189</f>
        <v>1.82</v>
      </c>
      <c r="O189" s="404"/>
      <c r="P189" s="390"/>
      <c r="Q189" s="390"/>
      <c r="R189" s="404"/>
    </row>
    <row r="190" spans="1:19" ht="22.5" customHeight="1">
      <c r="A190" s="302"/>
      <c r="B190" s="303" t="s">
        <v>303</v>
      </c>
      <c r="C190" s="329">
        <f>ROUND(D190,2)</f>
        <v>3.64</v>
      </c>
      <c r="D190" s="430">
        <f>D186*92/100</f>
        <v>3.6386000000000003</v>
      </c>
      <c r="E190" s="329" t="s">
        <v>11</v>
      </c>
      <c r="F190" s="325">
        <f>VLOOKUP(B190,BQ!$B$6:$E$111,4,FALSE)</f>
        <v>110000</v>
      </c>
      <c r="G190" s="329" t="s">
        <v>11</v>
      </c>
      <c r="H190" s="698">
        <f>F190*C190</f>
        <v>400400</v>
      </c>
      <c r="I190" s="710">
        <f>H190</f>
        <v>400400</v>
      </c>
      <c r="J190" s="710"/>
      <c r="L190" s="390"/>
      <c r="M190" s="404"/>
      <c r="N190" s="404"/>
      <c r="O190" s="404">
        <f>C190</f>
        <v>3.64</v>
      </c>
      <c r="P190" s="390"/>
      <c r="Q190" s="390"/>
      <c r="R190" s="404"/>
    </row>
    <row r="191" spans="1:19" ht="21" customHeight="1">
      <c r="A191" s="302"/>
      <c r="B191" s="303" t="s">
        <v>535</v>
      </c>
      <c r="C191" s="329">
        <f>ROUND(D191,2)</f>
        <v>7.91</v>
      </c>
      <c r="D191" s="430">
        <f>D186*2</f>
        <v>7.91</v>
      </c>
      <c r="E191" s="329" t="s">
        <v>23</v>
      </c>
      <c r="F191" s="325">
        <f>VLOOKUP(B191,BQ!$B$6:$E$111,4,FALSE)</f>
        <v>18800</v>
      </c>
      <c r="G191" s="329" t="str">
        <f>E191</f>
        <v>Gal</v>
      </c>
      <c r="H191" s="698">
        <f>F191*C191</f>
        <v>148708</v>
      </c>
      <c r="I191" s="710">
        <f>H191</f>
        <v>148708</v>
      </c>
      <c r="J191" s="710"/>
      <c r="L191" s="390"/>
      <c r="M191" s="404"/>
      <c r="N191" s="404"/>
      <c r="O191" s="404"/>
      <c r="P191" s="390"/>
      <c r="Q191" s="390"/>
      <c r="R191" s="404"/>
    </row>
    <row r="192" spans="1:19" ht="22.5" customHeight="1">
      <c r="A192" s="302"/>
      <c r="B192" s="303"/>
      <c r="C192" s="329"/>
      <c r="D192" s="430"/>
      <c r="E192" s="329"/>
      <c r="F192" s="301"/>
      <c r="G192" s="329"/>
      <c r="H192" s="698">
        <f>SUM(H188:H191)</f>
        <v>1963368</v>
      </c>
      <c r="I192" s="710"/>
      <c r="J192" s="710"/>
      <c r="L192" s="390"/>
      <c r="M192" s="404"/>
      <c r="N192" s="404"/>
      <c r="O192" s="404"/>
      <c r="P192" s="390"/>
      <c r="Q192" s="390"/>
      <c r="R192" s="404"/>
    </row>
    <row r="193" spans="1:21" ht="23.15" customHeight="1">
      <c r="A193" s="302"/>
      <c r="B193" s="429" t="s">
        <v>185</v>
      </c>
      <c r="C193" s="329"/>
      <c r="D193" s="430"/>
      <c r="E193" s="302"/>
      <c r="F193" s="301"/>
      <c r="G193" s="302"/>
      <c r="H193" s="698"/>
      <c r="I193" s="710"/>
      <c r="J193" s="710"/>
      <c r="L193" s="390"/>
      <c r="M193" s="404"/>
      <c r="N193" s="404"/>
      <c r="O193" s="404"/>
      <c r="P193" s="390"/>
      <c r="Q193" s="390"/>
      <c r="R193" s="404"/>
    </row>
    <row r="194" spans="1:21" ht="22.5" customHeight="1">
      <c r="A194" s="302"/>
      <c r="B194" s="303" t="s">
        <v>69</v>
      </c>
      <c r="C194" s="329">
        <f>ROUND(D194,2)</f>
        <v>7.91</v>
      </c>
      <c r="D194" s="430">
        <f>D186*2</f>
        <v>7.91</v>
      </c>
      <c r="E194" s="302" t="s">
        <v>3</v>
      </c>
      <c r="F194" s="325">
        <f>VLOOKUP(B194,BQ!$B$6:$E$112,4,FALSE)</f>
        <v>30250.000000000004</v>
      </c>
      <c r="G194" s="302" t="s">
        <v>3</v>
      </c>
      <c r="H194" s="698">
        <f>F194*C194</f>
        <v>239277.50000000003</v>
      </c>
      <c r="I194" s="710"/>
      <c r="J194" s="710">
        <f>H194</f>
        <v>239277.50000000003</v>
      </c>
      <c r="L194" s="390"/>
      <c r="M194" s="404"/>
      <c r="N194" s="404"/>
      <c r="O194" s="404"/>
      <c r="P194" s="390"/>
      <c r="Q194" s="390"/>
      <c r="R194" s="404"/>
      <c r="U194" s="390">
        <f>C194</f>
        <v>7.91</v>
      </c>
    </row>
    <row r="195" spans="1:21" ht="22.5" customHeight="1">
      <c r="A195" s="302"/>
      <c r="B195" s="303" t="s">
        <v>67</v>
      </c>
      <c r="C195" s="329">
        <f>ROUND(D195,2)</f>
        <v>35.6</v>
      </c>
      <c r="D195" s="430">
        <f>D186*9</f>
        <v>35.594999999999999</v>
      </c>
      <c r="E195" s="302" t="s">
        <v>3</v>
      </c>
      <c r="F195" s="325">
        <f>VLOOKUP(B195,BQ!$B$6:$E$112,4,FALSE)</f>
        <v>21780</v>
      </c>
      <c r="G195" s="302" t="s">
        <v>3</v>
      </c>
      <c r="H195" s="698">
        <f>F195*C195</f>
        <v>775368</v>
      </c>
      <c r="I195" s="710"/>
      <c r="J195" s="710">
        <f>H195</f>
        <v>775368</v>
      </c>
      <c r="L195" s="390"/>
      <c r="M195" s="404"/>
      <c r="N195" s="404"/>
      <c r="O195" s="404"/>
      <c r="P195" s="390"/>
      <c r="Q195" s="390"/>
      <c r="R195" s="404"/>
      <c r="S195" s="390">
        <f>C195</f>
        <v>35.6</v>
      </c>
      <c r="T195" s="390"/>
    </row>
    <row r="196" spans="1:21" ht="22.5" customHeight="1">
      <c r="A196" s="302"/>
      <c r="B196" s="303" t="s">
        <v>536</v>
      </c>
      <c r="C196" s="329">
        <f>ROUND(D196,2)</f>
        <v>1.98</v>
      </c>
      <c r="D196" s="430">
        <f>D186*0.5</f>
        <v>1.9775</v>
      </c>
      <c r="E196" s="302" t="s">
        <v>3</v>
      </c>
      <c r="F196" s="325">
        <f>VLOOKUP(B196,BQ!$B$6:$E$112,4,FALSE)</f>
        <v>30250.000000000004</v>
      </c>
      <c r="G196" s="302" t="str">
        <f>E196</f>
        <v>No</v>
      </c>
      <c r="H196" s="698">
        <f>F196*C196</f>
        <v>59895.000000000007</v>
      </c>
      <c r="I196" s="710"/>
      <c r="J196" s="710">
        <f>H196</f>
        <v>59895.000000000007</v>
      </c>
      <c r="L196" s="390"/>
      <c r="M196" s="404"/>
      <c r="N196" s="404"/>
      <c r="O196" s="404"/>
      <c r="P196" s="390"/>
      <c r="Q196" s="390"/>
      <c r="R196" s="404"/>
      <c r="S196" s="390"/>
    </row>
    <row r="197" spans="1:21" ht="22.5" customHeight="1" thickBot="1">
      <c r="A197" s="302"/>
      <c r="B197" s="303"/>
      <c r="C197" s="329"/>
      <c r="D197" s="430"/>
      <c r="E197" s="302"/>
      <c r="F197" s="449"/>
      <c r="G197" s="447"/>
      <c r="H197" s="703">
        <f>SUM(H194:H196)</f>
        <v>1074540.5</v>
      </c>
      <c r="I197" s="710"/>
      <c r="J197" s="710"/>
      <c r="L197" s="390"/>
      <c r="M197" s="404"/>
      <c r="N197" s="404"/>
      <c r="O197" s="404"/>
      <c r="P197" s="390"/>
      <c r="Q197" s="390"/>
      <c r="R197" s="404"/>
      <c r="S197" s="390"/>
      <c r="T197" s="390"/>
    </row>
    <row r="198" spans="1:21" ht="21.5" customHeight="1" thickBot="1">
      <c r="A198" s="302"/>
      <c r="B198" s="303"/>
      <c r="C198" s="329"/>
      <c r="D198" s="430"/>
      <c r="E198" s="302"/>
      <c r="F198" s="555" t="s">
        <v>266</v>
      </c>
      <c r="G198" s="503" t="s">
        <v>221</v>
      </c>
      <c r="H198" s="700">
        <f>H197+H192</f>
        <v>3037908.5</v>
      </c>
      <c r="I198" s="710"/>
      <c r="J198" s="710"/>
      <c r="L198" s="390"/>
      <c r="M198" s="404"/>
      <c r="N198" s="404"/>
      <c r="O198" s="404"/>
      <c r="P198" s="390"/>
      <c r="Q198" s="390"/>
      <c r="R198" s="404"/>
      <c r="S198" s="390"/>
      <c r="T198" s="390"/>
    </row>
    <row r="199" spans="1:21" ht="21.5" customHeight="1" thickTop="1">
      <c r="A199" s="302"/>
      <c r="B199" s="303"/>
      <c r="C199" s="329"/>
      <c r="D199" s="430"/>
      <c r="E199" s="302"/>
      <c r="F199" s="301"/>
      <c r="G199" s="302"/>
      <c r="H199" s="706"/>
      <c r="I199" s="711"/>
      <c r="J199" s="711"/>
      <c r="K199" s="398"/>
      <c r="L199" s="390"/>
      <c r="M199" s="404"/>
      <c r="N199" s="404"/>
      <c r="O199" s="404"/>
      <c r="P199" s="390"/>
      <c r="Q199" s="390"/>
      <c r="R199" s="404"/>
    </row>
    <row r="200" spans="1:21" ht="22.5" customHeight="1">
      <c r="A200" s="454"/>
      <c r="B200" s="750" t="s">
        <v>632</v>
      </c>
      <c r="C200" s="428">
        <f>ROUND(D200,2)</f>
        <v>1.07</v>
      </c>
      <c r="D200" s="439">
        <f>Detail!K287/100</f>
        <v>1.0739812899999999</v>
      </c>
      <c r="E200" s="457" t="s">
        <v>222</v>
      </c>
      <c r="F200" s="301"/>
      <c r="G200" s="302"/>
      <c r="H200" s="863">
        <f>H212</f>
        <v>825215.10000000009</v>
      </c>
      <c r="I200" s="710"/>
      <c r="J200" s="710"/>
      <c r="L200" s="390"/>
      <c r="M200" s="404"/>
      <c r="N200" s="404"/>
      <c r="O200" s="404"/>
      <c r="P200" s="390"/>
      <c r="Q200" s="390"/>
      <c r="R200" s="404"/>
    </row>
    <row r="201" spans="1:21" ht="22.5" customHeight="1">
      <c r="A201" s="302"/>
      <c r="B201" s="429" t="s">
        <v>65</v>
      </c>
      <c r="C201" s="428"/>
      <c r="D201" s="430"/>
      <c r="E201" s="302"/>
      <c r="F201" s="301"/>
      <c r="G201" s="302"/>
      <c r="H201" s="698"/>
      <c r="I201" s="710"/>
      <c r="J201" s="710"/>
      <c r="L201" s="390"/>
      <c r="M201" s="404"/>
      <c r="N201" s="404"/>
      <c r="O201" s="404"/>
      <c r="P201" s="390"/>
      <c r="Q201" s="390"/>
      <c r="R201" s="404"/>
    </row>
    <row r="202" spans="1:21" ht="22.5" customHeight="1">
      <c r="A202" s="302"/>
      <c r="B202" s="303" t="s">
        <v>14</v>
      </c>
      <c r="C202" s="329">
        <f>ROUND(D202,2)</f>
        <v>19.850000000000001</v>
      </c>
      <c r="D202" s="430">
        <f>D200*2070/112</f>
        <v>19.849475627678569</v>
      </c>
      <c r="E202" s="329" t="s">
        <v>302</v>
      </c>
      <c r="F202" s="325">
        <f>VLOOKUP(B202,BQ!$B$6:$E$112,4,FALSE)</f>
        <v>18600</v>
      </c>
      <c r="G202" s="329" t="s">
        <v>302</v>
      </c>
      <c r="H202" s="698">
        <f>F202*C202</f>
        <v>369210</v>
      </c>
      <c r="I202" s="710">
        <f>H202</f>
        <v>369210</v>
      </c>
      <c r="J202" s="710"/>
      <c r="L202" s="390"/>
      <c r="M202" s="404">
        <f>C202</f>
        <v>19.850000000000001</v>
      </c>
      <c r="N202" s="404"/>
      <c r="O202" s="404"/>
      <c r="P202" s="390"/>
      <c r="Q202" s="390"/>
      <c r="R202" s="404"/>
    </row>
    <row r="203" spans="1:21" ht="22.5" customHeight="1">
      <c r="A203" s="302"/>
      <c r="B203" s="303" t="s">
        <v>16</v>
      </c>
      <c r="C203" s="329">
        <f>ROUND(D203,2)</f>
        <v>0.49</v>
      </c>
      <c r="D203" s="430">
        <f>D200*46/100</f>
        <v>0.49403139339999996</v>
      </c>
      <c r="E203" s="329" t="s">
        <v>11</v>
      </c>
      <c r="F203" s="325">
        <f>VLOOKUP(B203,BQ!$B$6:$E$112,4,FALSE)</f>
        <v>30000</v>
      </c>
      <c r="G203" s="329" t="s">
        <v>11</v>
      </c>
      <c r="H203" s="698">
        <f>F203*C203</f>
        <v>14700</v>
      </c>
      <c r="I203" s="710">
        <f>H203</f>
        <v>14700</v>
      </c>
      <c r="J203" s="710"/>
      <c r="L203" s="390"/>
      <c r="M203" s="404"/>
      <c r="N203" s="404">
        <f>C203</f>
        <v>0.49</v>
      </c>
      <c r="O203" s="404"/>
      <c r="P203" s="390"/>
      <c r="Q203" s="390"/>
      <c r="R203" s="404"/>
    </row>
    <row r="204" spans="1:21" ht="22.5" customHeight="1">
      <c r="A204" s="302"/>
      <c r="B204" s="303" t="s">
        <v>303</v>
      </c>
      <c r="C204" s="329">
        <f>ROUND(D204,2)</f>
        <v>0.99</v>
      </c>
      <c r="D204" s="430">
        <f>D200*92/100</f>
        <v>0.98806278679999993</v>
      </c>
      <c r="E204" s="329" t="s">
        <v>11</v>
      </c>
      <c r="F204" s="325">
        <f>VLOOKUP(B204,BQ!$B$6:$E$112,4,FALSE)</f>
        <v>110000</v>
      </c>
      <c r="G204" s="329" t="s">
        <v>11</v>
      </c>
      <c r="H204" s="698">
        <f>F204*C204</f>
        <v>108900</v>
      </c>
      <c r="I204" s="710">
        <f>H204</f>
        <v>108900</v>
      </c>
      <c r="J204" s="710"/>
      <c r="L204" s="390"/>
      <c r="M204" s="404"/>
      <c r="N204" s="404"/>
      <c r="O204" s="404">
        <f>C204</f>
        <v>0.99</v>
      </c>
      <c r="P204" s="390"/>
      <c r="Q204" s="390"/>
      <c r="R204" s="404"/>
    </row>
    <row r="205" spans="1:21" ht="21" customHeight="1">
      <c r="A205" s="302"/>
      <c r="B205" s="303" t="s">
        <v>535</v>
      </c>
      <c r="C205" s="329">
        <f>ROUND(D205,2)</f>
        <v>2.15</v>
      </c>
      <c r="D205" s="430">
        <f>D200*2</f>
        <v>2.1479625799999997</v>
      </c>
      <c r="E205" s="329" t="s">
        <v>23</v>
      </c>
      <c r="F205" s="325">
        <f>VLOOKUP(B205,BQ!$B$6:$E$112,4,FALSE)</f>
        <v>18800</v>
      </c>
      <c r="G205" s="329" t="str">
        <f>E205</f>
        <v>Gal</v>
      </c>
      <c r="H205" s="698">
        <f>F205*C205</f>
        <v>40420</v>
      </c>
      <c r="I205" s="710">
        <f>H205</f>
        <v>40420</v>
      </c>
      <c r="J205" s="710"/>
      <c r="L205" s="390"/>
      <c r="M205" s="404"/>
      <c r="N205" s="404"/>
      <c r="O205" s="404"/>
      <c r="P205" s="390"/>
      <c r="Q205" s="390"/>
      <c r="R205" s="404"/>
    </row>
    <row r="206" spans="1:21" ht="22.5" customHeight="1">
      <c r="A206" s="302"/>
      <c r="B206" s="303"/>
      <c r="C206" s="329"/>
      <c r="D206" s="430"/>
      <c r="E206" s="329"/>
      <c r="F206" s="301"/>
      <c r="G206" s="329"/>
      <c r="H206" s="698">
        <f>SUM(H202:H205)</f>
        <v>533230</v>
      </c>
      <c r="I206" s="710"/>
      <c r="J206" s="710"/>
      <c r="L206" s="390"/>
      <c r="M206" s="404"/>
      <c r="N206" s="404"/>
      <c r="O206" s="404"/>
      <c r="P206" s="390"/>
      <c r="Q206" s="390"/>
      <c r="R206" s="404"/>
    </row>
    <row r="207" spans="1:21" ht="23.15" customHeight="1">
      <c r="A207" s="302"/>
      <c r="B207" s="429" t="s">
        <v>185</v>
      </c>
      <c r="C207" s="329"/>
      <c r="D207" s="430"/>
      <c r="E207" s="302"/>
      <c r="F207" s="301"/>
      <c r="G207" s="302"/>
      <c r="H207" s="698"/>
      <c r="I207" s="710"/>
      <c r="J207" s="710"/>
      <c r="L207" s="390"/>
      <c r="M207" s="404"/>
      <c r="N207" s="404"/>
      <c r="O207" s="404"/>
      <c r="P207" s="390"/>
      <c r="Q207" s="390"/>
      <c r="R207" s="404"/>
    </row>
    <row r="208" spans="1:21" ht="22.5" customHeight="1">
      <c r="A208" s="302"/>
      <c r="B208" s="303" t="s">
        <v>69</v>
      </c>
      <c r="C208" s="329">
        <f>ROUND(D208,2)</f>
        <v>2.15</v>
      </c>
      <c r="D208" s="430">
        <f>D200*2</f>
        <v>2.1479625799999997</v>
      </c>
      <c r="E208" s="302" t="s">
        <v>3</v>
      </c>
      <c r="F208" s="325">
        <f>VLOOKUP(B208,BQ!$B$6:$E$112,4,FALSE)</f>
        <v>30250.000000000004</v>
      </c>
      <c r="G208" s="302" t="s">
        <v>3</v>
      </c>
      <c r="H208" s="698">
        <f>F208*C208</f>
        <v>65037.500000000007</v>
      </c>
      <c r="I208" s="710"/>
      <c r="J208" s="710">
        <f>H208</f>
        <v>65037.500000000007</v>
      </c>
      <c r="L208" s="390"/>
      <c r="M208" s="404"/>
      <c r="N208" s="404"/>
      <c r="O208" s="404"/>
      <c r="P208" s="390"/>
      <c r="Q208" s="390"/>
      <c r="R208" s="404"/>
      <c r="U208" s="390">
        <f>C208</f>
        <v>2.15</v>
      </c>
    </row>
    <row r="209" spans="1:21" ht="22.5" customHeight="1">
      <c r="A209" s="302"/>
      <c r="B209" s="303" t="s">
        <v>67</v>
      </c>
      <c r="C209" s="329">
        <f>ROUND(D209,2)</f>
        <v>9.67</v>
      </c>
      <c r="D209" s="430">
        <f>D200*9</f>
        <v>9.6658316099999979</v>
      </c>
      <c r="E209" s="302" t="s">
        <v>3</v>
      </c>
      <c r="F209" s="325">
        <f>VLOOKUP(B209,BQ!$B$6:$E$112,4,FALSE)</f>
        <v>21780</v>
      </c>
      <c r="G209" s="302" t="s">
        <v>3</v>
      </c>
      <c r="H209" s="698">
        <f>F209*C209</f>
        <v>210612.6</v>
      </c>
      <c r="I209" s="710"/>
      <c r="J209" s="710">
        <f>H209</f>
        <v>210612.6</v>
      </c>
      <c r="L209" s="390"/>
      <c r="M209" s="404"/>
      <c r="N209" s="404"/>
      <c r="O209" s="404"/>
      <c r="P209" s="390"/>
      <c r="Q209" s="390"/>
      <c r="R209" s="404"/>
      <c r="S209" s="390">
        <f>C209</f>
        <v>9.67</v>
      </c>
      <c r="T209" s="390"/>
    </row>
    <row r="210" spans="1:21" ht="22.5" customHeight="1">
      <c r="A210" s="302"/>
      <c r="B210" s="303" t="s">
        <v>536</v>
      </c>
      <c r="C210" s="329">
        <f>ROUND(D210,2)</f>
        <v>0.54</v>
      </c>
      <c r="D210" s="430">
        <f>D200*0.5</f>
        <v>0.53699064499999993</v>
      </c>
      <c r="E210" s="302" t="s">
        <v>3</v>
      </c>
      <c r="F210" s="325">
        <f>VLOOKUP(B210,BQ!$B$6:$E$112,4,FALSE)</f>
        <v>30250.000000000004</v>
      </c>
      <c r="G210" s="302" t="str">
        <f>E210</f>
        <v>No</v>
      </c>
      <c r="H210" s="698">
        <f>F210*C210</f>
        <v>16335.000000000004</v>
      </c>
      <c r="I210" s="710"/>
      <c r="J210" s="710">
        <f>H210</f>
        <v>16335.000000000004</v>
      </c>
      <c r="L210" s="390"/>
      <c r="M210" s="404"/>
      <c r="N210" s="404"/>
      <c r="O210" s="404"/>
      <c r="P210" s="390"/>
      <c r="Q210" s="390"/>
      <c r="R210" s="404"/>
      <c r="S210" s="390"/>
    </row>
    <row r="211" spans="1:21" ht="22.5" customHeight="1" thickBot="1">
      <c r="A211" s="302"/>
      <c r="B211" s="303"/>
      <c r="C211" s="329"/>
      <c r="D211" s="430"/>
      <c r="E211" s="302"/>
      <c r="F211" s="449"/>
      <c r="G211" s="447"/>
      <c r="H211" s="703">
        <f>SUM(H208:H210)</f>
        <v>291985.10000000003</v>
      </c>
      <c r="I211" s="710"/>
      <c r="J211" s="710"/>
      <c r="L211" s="390"/>
      <c r="M211" s="404"/>
      <c r="N211" s="404"/>
      <c r="O211" s="404"/>
      <c r="P211" s="390"/>
      <c r="Q211" s="390"/>
      <c r="R211" s="404"/>
      <c r="S211" s="390"/>
      <c r="T211" s="390"/>
    </row>
    <row r="212" spans="1:21" ht="21.5" customHeight="1" thickBot="1">
      <c r="A212" s="302"/>
      <c r="B212" s="303"/>
      <c r="C212" s="329"/>
      <c r="D212" s="430"/>
      <c r="E212" s="302"/>
      <c r="F212" s="555" t="s">
        <v>266</v>
      </c>
      <c r="G212" s="503" t="s">
        <v>221</v>
      </c>
      <c r="H212" s="700">
        <f>H211+H206</f>
        <v>825215.10000000009</v>
      </c>
      <c r="I212" s="710"/>
      <c r="J212" s="710"/>
      <c r="L212" s="390"/>
      <c r="M212" s="404"/>
      <c r="N212" s="404"/>
      <c r="O212" s="404"/>
      <c r="P212" s="390"/>
      <c r="Q212" s="390"/>
      <c r="R212" s="404"/>
      <c r="S212" s="390"/>
      <c r="T212" s="390"/>
    </row>
    <row r="213" spans="1:21" ht="21.5" customHeight="1" thickTop="1">
      <c r="A213" s="302"/>
      <c r="B213" s="303"/>
      <c r="C213" s="329"/>
      <c r="D213" s="430"/>
      <c r="E213" s="302"/>
      <c r="F213" s="301"/>
      <c r="G213" s="302"/>
      <c r="H213" s="706"/>
      <c r="I213" s="711"/>
      <c r="J213" s="711"/>
      <c r="K213" s="398"/>
      <c r="L213" s="390"/>
      <c r="M213" s="404"/>
      <c r="N213" s="404"/>
      <c r="O213" s="404"/>
      <c r="P213" s="390"/>
      <c r="Q213" s="390"/>
      <c r="R213" s="404"/>
    </row>
    <row r="214" spans="1:21" ht="22.5" customHeight="1">
      <c r="A214" s="454"/>
      <c r="B214" s="750" t="s">
        <v>633</v>
      </c>
      <c r="C214" s="428">
        <f>ROUND(D214,2)</f>
        <v>2.68</v>
      </c>
      <c r="D214" s="439">
        <f>Detail!K292/100</f>
        <v>2.6798209999999996</v>
      </c>
      <c r="E214" s="457" t="s">
        <v>222</v>
      </c>
      <c r="F214" s="301"/>
      <c r="G214" s="302"/>
      <c r="H214" s="863">
        <f>H227</f>
        <v>2109634.6</v>
      </c>
      <c r="I214" s="710"/>
      <c r="J214" s="710"/>
      <c r="L214" s="390"/>
      <c r="M214" s="404"/>
      <c r="N214" s="404"/>
      <c r="O214" s="404"/>
      <c r="P214" s="390"/>
      <c r="Q214" s="390"/>
      <c r="R214" s="404"/>
    </row>
    <row r="215" spans="1:21" ht="22.5" customHeight="1">
      <c r="A215" s="302"/>
      <c r="B215" s="429" t="s">
        <v>65</v>
      </c>
      <c r="C215" s="428"/>
      <c r="D215" s="430"/>
      <c r="E215" s="302"/>
      <c r="F215" s="301"/>
      <c r="G215" s="302"/>
      <c r="H215" s="698"/>
      <c r="I215" s="710"/>
      <c r="J215" s="710"/>
      <c r="L215" s="390"/>
      <c r="M215" s="404"/>
      <c r="N215" s="404"/>
      <c r="O215" s="404"/>
      <c r="P215" s="390"/>
      <c r="Q215" s="390"/>
      <c r="R215" s="404"/>
    </row>
    <row r="216" spans="1:21" ht="22.5" customHeight="1">
      <c r="A216" s="302"/>
      <c r="B216" s="303" t="s">
        <v>14</v>
      </c>
      <c r="C216" s="329">
        <f>ROUND(D216,2)</f>
        <v>49.53</v>
      </c>
      <c r="D216" s="430">
        <f>D214*2070/112</f>
        <v>49.528834553571421</v>
      </c>
      <c r="E216" s="329" t="s">
        <v>302</v>
      </c>
      <c r="F216" s="325">
        <f>VLOOKUP(B216,BQ!$B$6:$E$112,4,FALSE)</f>
        <v>18600</v>
      </c>
      <c r="G216" s="329" t="str">
        <f>E216</f>
        <v>Bags</v>
      </c>
      <c r="H216" s="698">
        <f>F216*C216</f>
        <v>921258</v>
      </c>
      <c r="I216" s="710">
        <f>H216</f>
        <v>921258</v>
      </c>
      <c r="J216" s="710"/>
      <c r="K216" s="392">
        <v>953766</v>
      </c>
      <c r="L216" s="390"/>
      <c r="M216" s="404">
        <f>C216</f>
        <v>49.53</v>
      </c>
      <c r="N216" s="404"/>
      <c r="O216" s="404"/>
      <c r="P216" s="390"/>
      <c r="Q216" s="390"/>
      <c r="R216" s="404"/>
    </row>
    <row r="217" spans="1:21" ht="22.5" customHeight="1">
      <c r="A217" s="302"/>
      <c r="B217" s="303" t="s">
        <v>16</v>
      </c>
      <c r="C217" s="329">
        <f>ROUND(D217,2)</f>
        <v>1.23</v>
      </c>
      <c r="D217" s="430">
        <f>D214*46/100</f>
        <v>1.2327176599999998</v>
      </c>
      <c r="E217" s="329" t="s">
        <v>11</v>
      </c>
      <c r="F217" s="325">
        <f>VLOOKUP(B217,BQ!$B$6:$E$112,4,FALSE)</f>
        <v>30000</v>
      </c>
      <c r="G217" s="329" t="str">
        <f>E217</f>
        <v>Sud</v>
      </c>
      <c r="H217" s="698">
        <f>F217*C217</f>
        <v>36900</v>
      </c>
      <c r="I217" s="710">
        <f>H217</f>
        <v>36900</v>
      </c>
      <c r="J217" s="710"/>
      <c r="K217" s="392">
        <v>24475</v>
      </c>
      <c r="L217" s="390"/>
      <c r="M217" s="404"/>
      <c r="N217" s="404">
        <f>C217</f>
        <v>1.23</v>
      </c>
      <c r="O217" s="404"/>
      <c r="P217" s="390"/>
      <c r="Q217" s="390"/>
      <c r="R217" s="404"/>
    </row>
    <row r="218" spans="1:21" ht="22.5" customHeight="1">
      <c r="A218" s="302"/>
      <c r="B218" s="303" t="s">
        <v>303</v>
      </c>
      <c r="C218" s="329">
        <f>ROUND(D218,2)</f>
        <v>2.4700000000000002</v>
      </c>
      <c r="D218" s="430">
        <f>D214*92/100</f>
        <v>2.4654353199999997</v>
      </c>
      <c r="E218" s="329" t="s">
        <v>11</v>
      </c>
      <c r="F218" s="325">
        <f>VLOOKUP(B218,BQ!$B$6:$E$112,4,FALSE)</f>
        <v>110000</v>
      </c>
      <c r="G218" s="329" t="str">
        <f>E218</f>
        <v>Sud</v>
      </c>
      <c r="H218" s="698">
        <f>F218*C218</f>
        <v>271700</v>
      </c>
      <c r="I218" s="710">
        <f>H218</f>
        <v>271700</v>
      </c>
      <c r="J218" s="710"/>
      <c r="K218" s="392">
        <v>117480</v>
      </c>
      <c r="L218" s="390"/>
      <c r="M218" s="404"/>
      <c r="N218" s="404"/>
      <c r="O218" s="404">
        <f>C218</f>
        <v>2.4700000000000002</v>
      </c>
      <c r="P218" s="390"/>
      <c r="Q218" s="390"/>
      <c r="R218" s="404"/>
    </row>
    <row r="219" spans="1:21" ht="22.5" customHeight="1">
      <c r="A219" s="302"/>
      <c r="B219" s="303" t="s">
        <v>573</v>
      </c>
      <c r="C219" s="329">
        <f>ROUNDUP(D219,0)</f>
        <v>3</v>
      </c>
      <c r="D219" s="430">
        <f>Detail!N292*0.15</f>
        <v>2.3767049999999998</v>
      </c>
      <c r="E219" s="329" t="s">
        <v>572</v>
      </c>
      <c r="F219" s="325">
        <f>VLOOKUP(B219,BQ!$B$6:$E$112,4,FALSE)</f>
        <v>17000</v>
      </c>
      <c r="G219" s="329" t="str">
        <f>E219</f>
        <v>Lit</v>
      </c>
      <c r="H219" s="698">
        <f>F219*C219</f>
        <v>51000</v>
      </c>
      <c r="I219" s="710">
        <f>H219</f>
        <v>51000</v>
      </c>
      <c r="J219" s="710"/>
      <c r="K219" s="392">
        <v>49500</v>
      </c>
      <c r="L219" s="390"/>
      <c r="M219" s="404"/>
      <c r="N219" s="404"/>
      <c r="O219" s="404">
        <f>C219</f>
        <v>3</v>
      </c>
      <c r="P219" s="390"/>
      <c r="Q219" s="390"/>
      <c r="R219" s="404"/>
    </row>
    <row r="220" spans="1:21" ht="21" customHeight="1">
      <c r="A220" s="302"/>
      <c r="B220" s="303" t="s">
        <v>535</v>
      </c>
      <c r="C220" s="329">
        <f>ROUND(D220,2)</f>
        <v>5.36</v>
      </c>
      <c r="D220" s="430">
        <f>D214*2</f>
        <v>5.3596419999999991</v>
      </c>
      <c r="E220" s="329" t="s">
        <v>23</v>
      </c>
      <c r="F220" s="325">
        <f>VLOOKUP(B220,BQ!$B$6:$E$112,4,FALSE)</f>
        <v>18800</v>
      </c>
      <c r="G220" s="329" t="str">
        <f>E220</f>
        <v>Gal</v>
      </c>
      <c r="H220" s="698">
        <f>F220*C220</f>
        <v>100768</v>
      </c>
      <c r="I220" s="710">
        <f>H220</f>
        <v>100768</v>
      </c>
      <c r="J220" s="710"/>
      <c r="K220" s="392">
        <v>56502</v>
      </c>
      <c r="L220" s="390"/>
      <c r="M220" s="404"/>
      <c r="N220" s="404"/>
      <c r="O220" s="404"/>
      <c r="P220" s="390"/>
      <c r="Q220" s="390"/>
      <c r="R220" s="404"/>
    </row>
    <row r="221" spans="1:21" ht="22.5" customHeight="1">
      <c r="A221" s="302"/>
      <c r="B221" s="303"/>
      <c r="C221" s="329"/>
      <c r="D221" s="430"/>
      <c r="E221" s="329"/>
      <c r="F221" s="301"/>
      <c r="G221" s="329"/>
      <c r="H221" s="698">
        <f>SUM(H216:H220)</f>
        <v>1381626</v>
      </c>
      <c r="I221" s="710"/>
      <c r="J221" s="710"/>
      <c r="L221" s="390"/>
      <c r="M221" s="404"/>
      <c r="N221" s="404"/>
      <c r="O221" s="404"/>
      <c r="P221" s="390"/>
      <c r="Q221" s="390"/>
      <c r="R221" s="404"/>
    </row>
    <row r="222" spans="1:21" ht="23.15" customHeight="1">
      <c r="A222" s="302"/>
      <c r="B222" s="429" t="s">
        <v>185</v>
      </c>
      <c r="C222" s="329"/>
      <c r="D222" s="430"/>
      <c r="E222" s="302"/>
      <c r="F222" s="301"/>
      <c r="G222" s="302"/>
      <c r="H222" s="698"/>
      <c r="I222" s="710"/>
      <c r="J222" s="710"/>
      <c r="L222" s="390"/>
      <c r="M222" s="404"/>
      <c r="N222" s="404"/>
      <c r="O222" s="404"/>
      <c r="P222" s="390"/>
      <c r="Q222" s="390"/>
      <c r="R222" s="404"/>
    </row>
    <row r="223" spans="1:21" ht="22.5" customHeight="1">
      <c r="A223" s="302"/>
      <c r="B223" s="303" t="s">
        <v>69</v>
      </c>
      <c r="C223" s="329">
        <f>ROUND(D223,2)</f>
        <v>5.36</v>
      </c>
      <c r="D223" s="430">
        <f>D214*2</f>
        <v>5.3596419999999991</v>
      </c>
      <c r="E223" s="302" t="s">
        <v>3</v>
      </c>
      <c r="F223" s="325">
        <f>VLOOKUP(B223,BQ!$B$6:$E$112,4,FALSE)</f>
        <v>30250.000000000004</v>
      </c>
      <c r="G223" s="302" t="s">
        <v>3</v>
      </c>
      <c r="H223" s="698">
        <f>F223*C223</f>
        <v>162140.00000000003</v>
      </c>
      <c r="I223" s="710"/>
      <c r="J223" s="710">
        <f>H223</f>
        <v>162140.00000000003</v>
      </c>
      <c r="L223" s="390"/>
      <c r="M223" s="404"/>
      <c r="N223" s="404"/>
      <c r="O223" s="404"/>
      <c r="P223" s="390"/>
      <c r="Q223" s="390"/>
      <c r="R223" s="404"/>
      <c r="U223" s="390">
        <f>C223</f>
        <v>5.36</v>
      </c>
    </row>
    <row r="224" spans="1:21" ht="22.5" customHeight="1">
      <c r="A224" s="302"/>
      <c r="B224" s="303" t="s">
        <v>67</v>
      </c>
      <c r="C224" s="329">
        <f>ROUND(D224,2)</f>
        <v>24.12</v>
      </c>
      <c r="D224" s="430">
        <f>D214*9</f>
        <v>24.118388999999997</v>
      </c>
      <c r="E224" s="302" t="s">
        <v>3</v>
      </c>
      <c r="F224" s="325">
        <f>VLOOKUP(B224,BQ!$B$6:$E$112,4,FALSE)</f>
        <v>21780</v>
      </c>
      <c r="G224" s="302" t="s">
        <v>3</v>
      </c>
      <c r="H224" s="698">
        <f>F224*C224</f>
        <v>525333.6</v>
      </c>
      <c r="I224" s="710"/>
      <c r="J224" s="710">
        <f>H224</f>
        <v>525333.6</v>
      </c>
      <c r="L224" s="390"/>
      <c r="M224" s="404"/>
      <c r="N224" s="404"/>
      <c r="O224" s="404"/>
      <c r="P224" s="390"/>
      <c r="Q224" s="390"/>
      <c r="R224" s="404"/>
      <c r="S224" s="390">
        <f>C224</f>
        <v>24.12</v>
      </c>
      <c r="T224" s="390"/>
    </row>
    <row r="225" spans="1:21" ht="22.5" customHeight="1">
      <c r="A225" s="302"/>
      <c r="B225" s="303" t="s">
        <v>536</v>
      </c>
      <c r="C225" s="329">
        <f>ROUND(D225,2)</f>
        <v>1.34</v>
      </c>
      <c r="D225" s="430">
        <f>D214*0.5</f>
        <v>1.3399104999999998</v>
      </c>
      <c r="E225" s="302" t="s">
        <v>3</v>
      </c>
      <c r="F225" s="325">
        <f>VLOOKUP(B225,BQ!$B$6:$E$112,4,FALSE)</f>
        <v>30250.000000000004</v>
      </c>
      <c r="G225" s="302" t="str">
        <f>E225</f>
        <v>No</v>
      </c>
      <c r="H225" s="698">
        <f>F225*C225</f>
        <v>40535.000000000007</v>
      </c>
      <c r="I225" s="710"/>
      <c r="J225" s="710">
        <f>H225</f>
        <v>40535.000000000007</v>
      </c>
      <c r="L225" s="390"/>
      <c r="M225" s="404"/>
      <c r="N225" s="404"/>
      <c r="O225" s="404"/>
      <c r="P225" s="390"/>
      <c r="Q225" s="390"/>
      <c r="R225" s="404"/>
      <c r="S225" s="390"/>
    </row>
    <row r="226" spans="1:21" ht="22.5" customHeight="1" thickBot="1">
      <c r="A226" s="302"/>
      <c r="B226" s="303"/>
      <c r="C226" s="329"/>
      <c r="D226" s="430"/>
      <c r="E226" s="302"/>
      <c r="F226" s="449"/>
      <c r="G226" s="447"/>
      <c r="H226" s="703">
        <f>SUM(H223:H225)</f>
        <v>728008.6</v>
      </c>
      <c r="I226" s="710"/>
      <c r="J226" s="710"/>
      <c r="L226" s="390"/>
      <c r="M226" s="404"/>
      <c r="N226" s="404"/>
      <c r="O226" s="404"/>
      <c r="P226" s="390"/>
      <c r="Q226" s="390"/>
      <c r="R226" s="404"/>
      <c r="S226" s="390"/>
      <c r="T226" s="390"/>
    </row>
    <row r="227" spans="1:21" ht="21.5" customHeight="1" thickBot="1">
      <c r="A227" s="302"/>
      <c r="B227" s="303"/>
      <c r="C227" s="329"/>
      <c r="D227" s="430"/>
      <c r="E227" s="302"/>
      <c r="F227" s="555" t="s">
        <v>266</v>
      </c>
      <c r="G227" s="503" t="s">
        <v>221</v>
      </c>
      <c r="H227" s="700">
        <f>H226+H221</f>
        <v>2109634.6</v>
      </c>
      <c r="I227" s="710"/>
      <c r="J227" s="710"/>
      <c r="L227" s="390"/>
      <c r="M227" s="404"/>
      <c r="N227" s="404"/>
      <c r="O227" s="404"/>
      <c r="P227" s="390"/>
      <c r="Q227" s="390"/>
      <c r="R227" s="404"/>
      <c r="S227" s="390"/>
      <c r="T227" s="390"/>
    </row>
    <row r="228" spans="1:21" ht="21.5" customHeight="1" thickTop="1">
      <c r="A228" s="302"/>
      <c r="B228" s="303"/>
      <c r="C228" s="329"/>
      <c r="D228" s="430"/>
      <c r="E228" s="302"/>
      <c r="F228" s="301"/>
      <c r="G228" s="302"/>
      <c r="H228" s="706"/>
      <c r="I228" s="711"/>
      <c r="J228" s="711"/>
      <c r="K228" s="398"/>
      <c r="L228" s="390"/>
      <c r="M228" s="404"/>
      <c r="N228" s="404"/>
      <c r="O228" s="404"/>
      <c r="P228" s="390"/>
      <c r="Q228" s="390"/>
      <c r="R228" s="404"/>
    </row>
    <row r="229" spans="1:21" ht="22.5" customHeight="1">
      <c r="A229" s="454"/>
      <c r="B229" s="750" t="s">
        <v>634</v>
      </c>
      <c r="C229" s="428">
        <f>ROUND(D229,2)</f>
        <v>3.35</v>
      </c>
      <c r="D229" s="439">
        <f>Detail!K322/100</f>
        <v>3.3548544999999996</v>
      </c>
      <c r="E229" s="457" t="s">
        <v>222</v>
      </c>
      <c r="F229" s="301"/>
      <c r="G229" s="302"/>
      <c r="H229" s="863">
        <f>H241</f>
        <v>2576783.7000000002</v>
      </c>
      <c r="I229" s="710"/>
      <c r="J229" s="710"/>
      <c r="L229" s="390"/>
      <c r="M229" s="404"/>
      <c r="N229" s="404"/>
      <c r="O229" s="404"/>
      <c r="P229" s="390"/>
      <c r="Q229" s="390"/>
      <c r="R229" s="404"/>
    </row>
    <row r="230" spans="1:21" ht="22.5" customHeight="1">
      <c r="A230" s="302"/>
      <c r="B230" s="429" t="s">
        <v>65</v>
      </c>
      <c r="C230" s="428"/>
      <c r="D230" s="430"/>
      <c r="E230" s="302"/>
      <c r="F230" s="301"/>
      <c r="G230" s="302"/>
      <c r="H230" s="698"/>
      <c r="I230" s="710"/>
      <c r="J230" s="710"/>
      <c r="L230" s="390"/>
      <c r="M230" s="404"/>
      <c r="N230" s="404"/>
      <c r="O230" s="404"/>
      <c r="P230" s="390"/>
      <c r="Q230" s="390"/>
      <c r="R230" s="404"/>
    </row>
    <row r="231" spans="1:21" ht="22.5" customHeight="1">
      <c r="A231" s="302"/>
      <c r="B231" s="303" t="s">
        <v>14</v>
      </c>
      <c r="C231" s="329">
        <f>ROUND(D231,2)</f>
        <v>62</v>
      </c>
      <c r="D231" s="430">
        <f>D229*2070/112</f>
        <v>62.004900133928565</v>
      </c>
      <c r="E231" s="329" t="s">
        <v>302</v>
      </c>
      <c r="F231" s="325">
        <f>VLOOKUP(B231,BQ!$B$6:$E$112,4,FALSE)</f>
        <v>18600</v>
      </c>
      <c r="G231" s="329" t="s">
        <v>302</v>
      </c>
      <c r="H231" s="698">
        <f>F231*C231</f>
        <v>1153200</v>
      </c>
      <c r="I231" s="710">
        <f>H231</f>
        <v>1153200</v>
      </c>
      <c r="J231" s="710"/>
      <c r="L231" s="390"/>
      <c r="M231" s="404">
        <f>C231</f>
        <v>62</v>
      </c>
      <c r="N231" s="404"/>
      <c r="O231" s="404"/>
      <c r="P231" s="390"/>
      <c r="Q231" s="390"/>
      <c r="R231" s="404"/>
    </row>
    <row r="232" spans="1:21" ht="22.5" customHeight="1">
      <c r="A232" s="302"/>
      <c r="B232" s="303" t="s">
        <v>16</v>
      </c>
      <c r="C232" s="329">
        <f>ROUND(D232,2)</f>
        <v>1.54</v>
      </c>
      <c r="D232" s="430">
        <f>D229*46/100</f>
        <v>1.5432330699999997</v>
      </c>
      <c r="E232" s="329" t="s">
        <v>11</v>
      </c>
      <c r="F232" s="325">
        <f>VLOOKUP(B232,BQ!$B$6:$E$112,4,FALSE)</f>
        <v>30000</v>
      </c>
      <c r="G232" s="329" t="s">
        <v>11</v>
      </c>
      <c r="H232" s="698">
        <f>F232*C232</f>
        <v>46200</v>
      </c>
      <c r="I232" s="710">
        <f>H232</f>
        <v>46200</v>
      </c>
      <c r="J232" s="710"/>
      <c r="L232" s="390"/>
      <c r="M232" s="404"/>
      <c r="N232" s="404">
        <f>C232</f>
        <v>1.54</v>
      </c>
      <c r="O232" s="404"/>
      <c r="P232" s="390"/>
      <c r="Q232" s="390"/>
      <c r="R232" s="404"/>
    </row>
    <row r="233" spans="1:21" ht="22.5" customHeight="1">
      <c r="A233" s="302"/>
      <c r="B233" s="303" t="s">
        <v>303</v>
      </c>
      <c r="C233" s="329">
        <f>ROUND(D233,2)</f>
        <v>3.09</v>
      </c>
      <c r="D233" s="430">
        <f>D229*92/100</f>
        <v>3.0864661399999993</v>
      </c>
      <c r="E233" s="329" t="s">
        <v>11</v>
      </c>
      <c r="F233" s="325">
        <f>VLOOKUP(B233,BQ!$B$6:$E$112,4,FALSE)</f>
        <v>110000</v>
      </c>
      <c r="G233" s="329" t="s">
        <v>11</v>
      </c>
      <c r="H233" s="698">
        <f>F233*C233</f>
        <v>339900</v>
      </c>
      <c r="I233" s="710">
        <f>H233</f>
        <v>339900</v>
      </c>
      <c r="J233" s="710"/>
      <c r="L233" s="390"/>
      <c r="M233" s="404"/>
      <c r="N233" s="404"/>
      <c r="O233" s="404">
        <f>C233</f>
        <v>3.09</v>
      </c>
      <c r="P233" s="390"/>
      <c r="Q233" s="390"/>
      <c r="R233" s="404"/>
    </row>
    <row r="234" spans="1:21" ht="21" customHeight="1">
      <c r="A234" s="302"/>
      <c r="B234" s="303" t="s">
        <v>535</v>
      </c>
      <c r="C234" s="329">
        <f>ROUND(D234,2)</f>
        <v>6.71</v>
      </c>
      <c r="D234" s="430">
        <f>D229*2</f>
        <v>6.7097089999999993</v>
      </c>
      <c r="E234" s="329" t="s">
        <v>23</v>
      </c>
      <c r="F234" s="325">
        <f>VLOOKUP(B234,BQ!$B$6:$E$112,4,FALSE)</f>
        <v>18800</v>
      </c>
      <c r="G234" s="329" t="str">
        <f>E234</f>
        <v>Gal</v>
      </c>
      <c r="H234" s="698">
        <f>F234*C234</f>
        <v>126148</v>
      </c>
      <c r="I234" s="710">
        <f>H234</f>
        <v>126148</v>
      </c>
      <c r="J234" s="710"/>
      <c r="L234" s="390"/>
      <c r="M234" s="404"/>
      <c r="N234" s="404"/>
      <c r="O234" s="404"/>
      <c r="P234" s="390"/>
      <c r="Q234" s="390"/>
      <c r="R234" s="404"/>
    </row>
    <row r="235" spans="1:21" ht="22.5" customHeight="1">
      <c r="A235" s="302"/>
      <c r="B235" s="303"/>
      <c r="C235" s="329"/>
      <c r="D235" s="430"/>
      <c r="E235" s="329"/>
      <c r="F235" s="301"/>
      <c r="G235" s="329"/>
      <c r="H235" s="698">
        <f>SUM(H231:H234)</f>
        <v>1665448</v>
      </c>
      <c r="I235" s="710"/>
      <c r="J235" s="710"/>
      <c r="L235" s="390"/>
      <c r="M235" s="404"/>
      <c r="N235" s="404"/>
      <c r="O235" s="404"/>
      <c r="P235" s="390"/>
      <c r="Q235" s="390"/>
      <c r="R235" s="404"/>
    </row>
    <row r="236" spans="1:21" ht="23.15" customHeight="1">
      <c r="A236" s="302"/>
      <c r="B236" s="429" t="s">
        <v>185</v>
      </c>
      <c r="C236" s="329"/>
      <c r="D236" s="430"/>
      <c r="E236" s="302"/>
      <c r="F236" s="301"/>
      <c r="G236" s="302"/>
      <c r="H236" s="698"/>
      <c r="I236" s="710"/>
      <c r="J236" s="710"/>
      <c r="L236" s="390"/>
      <c r="M236" s="404"/>
      <c r="N236" s="404"/>
      <c r="O236" s="404"/>
      <c r="P236" s="390"/>
      <c r="Q236" s="390"/>
      <c r="R236" s="404"/>
    </row>
    <row r="237" spans="1:21" ht="22.5" customHeight="1">
      <c r="A237" s="302"/>
      <c r="B237" s="303" t="s">
        <v>69</v>
      </c>
      <c r="C237" s="329">
        <f>ROUND(D237,2)</f>
        <v>6.71</v>
      </c>
      <c r="D237" s="430">
        <f>D229*2</f>
        <v>6.7097089999999993</v>
      </c>
      <c r="E237" s="302" t="s">
        <v>3</v>
      </c>
      <c r="F237" s="325">
        <f>VLOOKUP(B237,BQ!$B$6:$E$112,4,FALSE)</f>
        <v>30250.000000000004</v>
      </c>
      <c r="G237" s="302" t="s">
        <v>3</v>
      </c>
      <c r="H237" s="698">
        <f>F237*C237</f>
        <v>202977.50000000003</v>
      </c>
      <c r="I237" s="710"/>
      <c r="J237" s="710">
        <f>H237</f>
        <v>202977.50000000003</v>
      </c>
      <c r="L237" s="390"/>
      <c r="M237" s="404"/>
      <c r="N237" s="404"/>
      <c r="O237" s="404"/>
      <c r="P237" s="390"/>
      <c r="Q237" s="390"/>
      <c r="R237" s="404"/>
      <c r="U237" s="390">
        <f>C237</f>
        <v>6.71</v>
      </c>
    </row>
    <row r="238" spans="1:21" ht="22.5" customHeight="1">
      <c r="A238" s="302"/>
      <c r="B238" s="303" t="s">
        <v>67</v>
      </c>
      <c r="C238" s="329">
        <f>ROUND(D238,2)</f>
        <v>30.19</v>
      </c>
      <c r="D238" s="430">
        <f>D229*9</f>
        <v>30.193690499999995</v>
      </c>
      <c r="E238" s="302" t="s">
        <v>3</v>
      </c>
      <c r="F238" s="325">
        <f>VLOOKUP(B238,BQ!$B$6:$E$112,4,FALSE)</f>
        <v>21780</v>
      </c>
      <c r="G238" s="302" t="s">
        <v>3</v>
      </c>
      <c r="H238" s="698">
        <f>F238*C238</f>
        <v>657538.20000000007</v>
      </c>
      <c r="I238" s="710"/>
      <c r="J238" s="710">
        <f>H238</f>
        <v>657538.20000000007</v>
      </c>
      <c r="L238" s="390"/>
      <c r="M238" s="404"/>
      <c r="N238" s="404"/>
      <c r="O238" s="404"/>
      <c r="P238" s="390"/>
      <c r="Q238" s="390"/>
      <c r="R238" s="404"/>
      <c r="S238" s="390">
        <f>C238</f>
        <v>30.19</v>
      </c>
      <c r="T238" s="390"/>
    </row>
    <row r="239" spans="1:21" ht="22.5" customHeight="1">
      <c r="A239" s="302"/>
      <c r="B239" s="303" t="s">
        <v>536</v>
      </c>
      <c r="C239" s="329">
        <f>ROUND(D239,2)</f>
        <v>1.68</v>
      </c>
      <c r="D239" s="430">
        <f>D229*0.5</f>
        <v>1.6774272499999998</v>
      </c>
      <c r="E239" s="302" t="s">
        <v>3</v>
      </c>
      <c r="F239" s="325">
        <f>VLOOKUP(B239,BQ!$B$6:$E$112,4,FALSE)</f>
        <v>30250.000000000004</v>
      </c>
      <c r="G239" s="302" t="str">
        <f>E239</f>
        <v>No</v>
      </c>
      <c r="H239" s="698">
        <f>F239*C239</f>
        <v>50820.000000000007</v>
      </c>
      <c r="I239" s="710"/>
      <c r="J239" s="710">
        <f>H239</f>
        <v>50820.000000000007</v>
      </c>
      <c r="L239" s="390"/>
      <c r="M239" s="404"/>
      <c r="N239" s="404"/>
      <c r="O239" s="404"/>
      <c r="P239" s="390"/>
      <c r="Q239" s="390"/>
      <c r="R239" s="404"/>
      <c r="S239" s="390"/>
    </row>
    <row r="240" spans="1:21" ht="22.5" customHeight="1" thickBot="1">
      <c r="A240" s="302"/>
      <c r="B240" s="303"/>
      <c r="C240" s="329"/>
      <c r="D240" s="430"/>
      <c r="E240" s="302"/>
      <c r="F240" s="449"/>
      <c r="G240" s="447"/>
      <c r="H240" s="703">
        <f>SUM(H237:H239)</f>
        <v>911335.70000000007</v>
      </c>
      <c r="I240" s="710"/>
      <c r="J240" s="710"/>
      <c r="L240" s="390"/>
      <c r="M240" s="404"/>
      <c r="N240" s="404"/>
      <c r="O240" s="404"/>
      <c r="P240" s="390"/>
      <c r="Q240" s="390"/>
      <c r="R240" s="404"/>
      <c r="S240" s="390"/>
      <c r="T240" s="390"/>
    </row>
    <row r="241" spans="1:21" ht="21.5" customHeight="1" thickBot="1">
      <c r="A241" s="302"/>
      <c r="B241" s="303"/>
      <c r="C241" s="329"/>
      <c r="D241" s="430"/>
      <c r="E241" s="302"/>
      <c r="F241" s="555" t="s">
        <v>266</v>
      </c>
      <c r="G241" s="503" t="s">
        <v>221</v>
      </c>
      <c r="H241" s="700">
        <f>H240+H235</f>
        <v>2576783.7000000002</v>
      </c>
      <c r="I241" s="710"/>
      <c r="J241" s="710"/>
      <c r="L241" s="390"/>
      <c r="M241" s="404"/>
      <c r="N241" s="404"/>
      <c r="O241" s="404"/>
      <c r="P241" s="390"/>
      <c r="Q241" s="390"/>
      <c r="R241" s="404"/>
      <c r="S241" s="390"/>
      <c r="T241" s="390"/>
    </row>
    <row r="242" spans="1:21" ht="21.5" customHeight="1" thickTop="1">
      <c r="A242" s="302"/>
      <c r="B242" s="303"/>
      <c r="C242" s="329"/>
      <c r="D242" s="430"/>
      <c r="E242" s="302"/>
      <c r="F242" s="301"/>
      <c r="G242" s="302"/>
      <c r="H242" s="706"/>
      <c r="I242" s="711"/>
      <c r="J242" s="711"/>
      <c r="K242" s="398"/>
      <c r="L242" s="390"/>
      <c r="M242" s="404"/>
      <c r="N242" s="404"/>
      <c r="O242" s="404"/>
      <c r="P242" s="390"/>
      <c r="Q242" s="390"/>
      <c r="R242" s="404"/>
    </row>
    <row r="243" spans="1:21" ht="22.5" customHeight="1">
      <c r="A243" s="454"/>
      <c r="B243" s="750" t="s">
        <v>635</v>
      </c>
      <c r="C243" s="428">
        <f>ROUND(D243,2)</f>
        <v>3.61</v>
      </c>
      <c r="D243" s="439">
        <f>Detail!K343/100</f>
        <v>3.6113847799999999</v>
      </c>
      <c r="E243" s="457" t="s">
        <v>222</v>
      </c>
      <c r="F243" s="301"/>
      <c r="G243" s="302"/>
      <c r="H243" s="863">
        <f>H256</f>
        <v>3056938.5</v>
      </c>
      <c r="I243" s="710"/>
      <c r="J243" s="710"/>
      <c r="L243" s="390"/>
      <c r="M243" s="404"/>
      <c r="N243" s="404"/>
      <c r="O243" s="404"/>
      <c r="P243" s="390"/>
      <c r="Q243" s="390"/>
      <c r="R243" s="404"/>
    </row>
    <row r="244" spans="1:21" ht="22.5" customHeight="1">
      <c r="A244" s="302"/>
      <c r="B244" s="429" t="s">
        <v>65</v>
      </c>
      <c r="C244" s="428"/>
      <c r="D244" s="430"/>
      <c r="E244" s="302"/>
      <c r="F244" s="301"/>
      <c r="G244" s="302"/>
      <c r="H244" s="698"/>
      <c r="I244" s="710"/>
      <c r="J244" s="710"/>
      <c r="L244" s="390"/>
      <c r="M244" s="404"/>
      <c r="N244" s="404"/>
      <c r="O244" s="404"/>
      <c r="P244" s="390"/>
      <c r="Q244" s="390"/>
      <c r="R244" s="404"/>
    </row>
    <row r="245" spans="1:21" ht="22.5" customHeight="1">
      <c r="A245" s="302"/>
      <c r="B245" s="303" t="s">
        <v>14</v>
      </c>
      <c r="C245" s="329">
        <f>ROUND(D245,2)</f>
        <v>66.75</v>
      </c>
      <c r="D245" s="430">
        <f>D243*2070/112</f>
        <v>66.746129416071426</v>
      </c>
      <c r="E245" s="329" t="s">
        <v>302</v>
      </c>
      <c r="F245" s="325">
        <f>VLOOKUP(B245,BQ!$B$6:$E$112,4,FALSE)</f>
        <v>18600</v>
      </c>
      <c r="G245" s="329" t="s">
        <v>302</v>
      </c>
      <c r="H245" s="698">
        <f>F245*C245</f>
        <v>1241550</v>
      </c>
      <c r="I245" s="710">
        <f>H245</f>
        <v>1241550</v>
      </c>
      <c r="J245" s="710"/>
      <c r="L245" s="390"/>
      <c r="M245" s="404">
        <f>C245</f>
        <v>66.75</v>
      </c>
      <c r="N245" s="404"/>
      <c r="O245" s="404"/>
      <c r="P245" s="390"/>
      <c r="Q245" s="390"/>
      <c r="R245" s="404"/>
    </row>
    <row r="246" spans="1:21" ht="22.5" customHeight="1">
      <c r="A246" s="302"/>
      <c r="B246" s="303" t="s">
        <v>16</v>
      </c>
      <c r="C246" s="329">
        <f>ROUND(D246,2)</f>
        <v>1.66</v>
      </c>
      <c r="D246" s="430">
        <f>D243*46/100</f>
        <v>1.6612369988</v>
      </c>
      <c r="E246" s="329" t="s">
        <v>11</v>
      </c>
      <c r="F246" s="325">
        <f>VLOOKUP(B246,BQ!$B$6:$E$112,4,FALSE)</f>
        <v>30000</v>
      </c>
      <c r="G246" s="329" t="s">
        <v>11</v>
      </c>
      <c r="H246" s="698">
        <f>F246*C246</f>
        <v>49800</v>
      </c>
      <c r="I246" s="710">
        <f>H246</f>
        <v>49800</v>
      </c>
      <c r="J246" s="710"/>
      <c r="L246" s="390"/>
      <c r="M246" s="404"/>
      <c r="N246" s="404">
        <f>C246</f>
        <v>1.66</v>
      </c>
      <c r="O246" s="404"/>
      <c r="P246" s="390"/>
      <c r="Q246" s="390"/>
      <c r="R246" s="404"/>
    </row>
    <row r="247" spans="1:21" ht="22.5" customHeight="1">
      <c r="A247" s="302"/>
      <c r="B247" s="303" t="s">
        <v>303</v>
      </c>
      <c r="C247" s="329">
        <f>ROUND(D247,2)</f>
        <v>3.32</v>
      </c>
      <c r="D247" s="430">
        <f>D243*92/100</f>
        <v>3.3224739976</v>
      </c>
      <c r="E247" s="329" t="s">
        <v>11</v>
      </c>
      <c r="F247" s="325">
        <f>VLOOKUP(B247,BQ!$B$6:$E$112,4,FALSE)</f>
        <v>110000</v>
      </c>
      <c r="G247" s="329" t="s">
        <v>11</v>
      </c>
      <c r="H247" s="698">
        <f>F247*C247</f>
        <v>365200</v>
      </c>
      <c r="I247" s="710">
        <f>H247</f>
        <v>365200</v>
      </c>
      <c r="J247" s="710"/>
      <c r="L247" s="390"/>
      <c r="M247" s="404"/>
      <c r="N247" s="404"/>
      <c r="O247" s="404">
        <f>C247</f>
        <v>3.32</v>
      </c>
      <c r="P247" s="390"/>
      <c r="Q247" s="390"/>
      <c r="R247" s="404"/>
    </row>
    <row r="248" spans="1:21" ht="22.5" customHeight="1">
      <c r="A248" s="302"/>
      <c r="B248" s="303" t="s">
        <v>571</v>
      </c>
      <c r="C248" s="329">
        <f>ROUND(D248,2)</f>
        <v>33.369999999999997</v>
      </c>
      <c r="D248" s="430">
        <f>D245/2</f>
        <v>33.373064708035713</v>
      </c>
      <c r="E248" s="329" t="s">
        <v>572</v>
      </c>
      <c r="F248" s="325">
        <f>VLOOKUP(B248,BQ!$B$6:$E$112,4,FALSE)</f>
        <v>8500</v>
      </c>
      <c r="G248" s="329" t="str">
        <f>E248</f>
        <v>Lit</v>
      </c>
      <c r="H248" s="698">
        <f>F248*C248</f>
        <v>283645</v>
      </c>
      <c r="I248" s="710">
        <f>H248</f>
        <v>283645</v>
      </c>
      <c r="J248" s="710"/>
      <c r="L248" s="390"/>
      <c r="M248" s="404"/>
      <c r="N248" s="404"/>
      <c r="O248" s="404">
        <f>C248</f>
        <v>33.369999999999997</v>
      </c>
      <c r="P248" s="390"/>
      <c r="Q248" s="390"/>
      <c r="R248" s="404"/>
    </row>
    <row r="249" spans="1:21" ht="21" customHeight="1">
      <c r="A249" s="302"/>
      <c r="B249" s="303" t="s">
        <v>535</v>
      </c>
      <c r="C249" s="329">
        <f>ROUND(D249,2)</f>
        <v>7.22</v>
      </c>
      <c r="D249" s="430">
        <f>D243*2</f>
        <v>7.2227695599999997</v>
      </c>
      <c r="E249" s="329" t="s">
        <v>23</v>
      </c>
      <c r="F249" s="325">
        <f>VLOOKUP(B249,BQ!$B$6:$E$112,4,FALSE)</f>
        <v>18800</v>
      </c>
      <c r="G249" s="329" t="str">
        <f>E249</f>
        <v>Gal</v>
      </c>
      <c r="H249" s="698">
        <f>F249*C249</f>
        <v>135736</v>
      </c>
      <c r="I249" s="710">
        <f>H249</f>
        <v>135736</v>
      </c>
      <c r="J249" s="710"/>
      <c r="L249" s="390"/>
      <c r="M249" s="404"/>
      <c r="N249" s="404"/>
      <c r="O249" s="404"/>
      <c r="P249" s="390"/>
      <c r="Q249" s="390"/>
      <c r="R249" s="404"/>
    </row>
    <row r="250" spans="1:21" ht="22.5" customHeight="1">
      <c r="A250" s="302"/>
      <c r="B250" s="303"/>
      <c r="C250" s="329"/>
      <c r="D250" s="430"/>
      <c r="E250" s="329"/>
      <c r="F250" s="301"/>
      <c r="G250" s="329"/>
      <c r="H250" s="698">
        <f>SUM(H245:H249)</f>
        <v>2075931</v>
      </c>
      <c r="I250" s="710"/>
      <c r="J250" s="710"/>
      <c r="L250" s="390"/>
      <c r="M250" s="404"/>
      <c r="N250" s="404"/>
      <c r="O250" s="404"/>
      <c r="P250" s="390"/>
      <c r="Q250" s="390"/>
      <c r="R250" s="404"/>
    </row>
    <row r="251" spans="1:21" ht="23.15" customHeight="1">
      <c r="A251" s="302"/>
      <c r="B251" s="429" t="s">
        <v>185</v>
      </c>
      <c r="C251" s="329"/>
      <c r="D251" s="430"/>
      <c r="E251" s="302"/>
      <c r="F251" s="301"/>
      <c r="G251" s="302"/>
      <c r="H251" s="698"/>
      <c r="I251" s="710"/>
      <c r="J251" s="710"/>
      <c r="L251" s="390"/>
      <c r="M251" s="404"/>
      <c r="N251" s="404"/>
      <c r="O251" s="404"/>
      <c r="P251" s="390"/>
      <c r="Q251" s="390"/>
      <c r="R251" s="404"/>
    </row>
    <row r="252" spans="1:21" ht="22.5" customHeight="1">
      <c r="A252" s="302"/>
      <c r="B252" s="303" t="s">
        <v>69</v>
      </c>
      <c r="C252" s="329">
        <f>ROUND(D252,2)</f>
        <v>7.22</v>
      </c>
      <c r="D252" s="430">
        <f>D243*2</f>
        <v>7.2227695599999997</v>
      </c>
      <c r="E252" s="302" t="s">
        <v>3</v>
      </c>
      <c r="F252" s="325">
        <f>VLOOKUP(B252,BQ!$B$6:$E$112,4,FALSE)</f>
        <v>30250.000000000004</v>
      </c>
      <c r="G252" s="302" t="s">
        <v>3</v>
      </c>
      <c r="H252" s="698">
        <f>F252*C252</f>
        <v>218405.00000000003</v>
      </c>
      <c r="I252" s="710"/>
      <c r="J252" s="710">
        <f>H252</f>
        <v>218405.00000000003</v>
      </c>
      <c r="L252" s="390"/>
      <c r="M252" s="404"/>
      <c r="N252" s="404"/>
      <c r="O252" s="404"/>
      <c r="P252" s="390"/>
      <c r="Q252" s="390"/>
      <c r="R252" s="404"/>
      <c r="U252" s="390">
        <f>C252</f>
        <v>7.22</v>
      </c>
    </row>
    <row r="253" spans="1:21" ht="22.5" customHeight="1">
      <c r="A253" s="302"/>
      <c r="B253" s="303" t="s">
        <v>67</v>
      </c>
      <c r="C253" s="329">
        <f>ROUND(D253,2)</f>
        <v>32.5</v>
      </c>
      <c r="D253" s="430">
        <f>D243*9</f>
        <v>32.50246302</v>
      </c>
      <c r="E253" s="302" t="s">
        <v>3</v>
      </c>
      <c r="F253" s="325">
        <f>VLOOKUP(B253,BQ!$B$6:$E$112,4,FALSE)</f>
        <v>21780</v>
      </c>
      <c r="G253" s="302" t="s">
        <v>3</v>
      </c>
      <c r="H253" s="698">
        <f>F253*C253</f>
        <v>707850</v>
      </c>
      <c r="I253" s="710"/>
      <c r="J253" s="710">
        <f>H253</f>
        <v>707850</v>
      </c>
      <c r="L253" s="390"/>
      <c r="M253" s="404"/>
      <c r="N253" s="404"/>
      <c r="O253" s="404"/>
      <c r="P253" s="390"/>
      <c r="Q253" s="390"/>
      <c r="R253" s="404"/>
      <c r="S253" s="390">
        <f>C253</f>
        <v>32.5</v>
      </c>
      <c r="T253" s="390"/>
    </row>
    <row r="254" spans="1:21" ht="22.5" customHeight="1">
      <c r="A254" s="302"/>
      <c r="B254" s="303" t="s">
        <v>536</v>
      </c>
      <c r="C254" s="329">
        <f>ROUND(D254,2)</f>
        <v>1.81</v>
      </c>
      <c r="D254" s="430">
        <f>D243*0.5</f>
        <v>1.8056923899999999</v>
      </c>
      <c r="E254" s="302" t="s">
        <v>3</v>
      </c>
      <c r="F254" s="325">
        <f>VLOOKUP(B254,BQ!$B$6:$E$112,4,FALSE)</f>
        <v>30250.000000000004</v>
      </c>
      <c r="G254" s="302" t="str">
        <f>E254</f>
        <v>No</v>
      </c>
      <c r="H254" s="698">
        <f>F254*C254</f>
        <v>54752.500000000007</v>
      </c>
      <c r="I254" s="710"/>
      <c r="J254" s="710">
        <f>H254</f>
        <v>54752.500000000007</v>
      </c>
      <c r="L254" s="390"/>
      <c r="M254" s="404"/>
      <c r="N254" s="404"/>
      <c r="O254" s="404"/>
      <c r="P254" s="390"/>
      <c r="Q254" s="390"/>
      <c r="R254" s="404"/>
      <c r="S254" s="390"/>
    </row>
    <row r="255" spans="1:21" ht="22.5" customHeight="1" thickBot="1">
      <c r="A255" s="302"/>
      <c r="B255" s="303"/>
      <c r="C255" s="329"/>
      <c r="D255" s="430"/>
      <c r="E255" s="302"/>
      <c r="F255" s="449"/>
      <c r="G255" s="447"/>
      <c r="H255" s="703">
        <f>SUM(H252:H254)</f>
        <v>981007.5</v>
      </c>
      <c r="I255" s="710"/>
      <c r="J255" s="710"/>
      <c r="L255" s="390"/>
      <c r="M255" s="404"/>
      <c r="N255" s="404"/>
      <c r="O255" s="404"/>
      <c r="P255" s="390"/>
      <c r="Q255" s="390"/>
      <c r="R255" s="404"/>
      <c r="S255" s="390"/>
      <c r="T255" s="390"/>
    </row>
    <row r="256" spans="1:21" ht="21.5" customHeight="1" thickBot="1">
      <c r="A256" s="302"/>
      <c r="B256" s="303"/>
      <c r="C256" s="329"/>
      <c r="D256" s="430"/>
      <c r="E256" s="302"/>
      <c r="F256" s="555" t="s">
        <v>266</v>
      </c>
      <c r="G256" s="503" t="s">
        <v>221</v>
      </c>
      <c r="H256" s="700">
        <f>H255+H250</f>
        <v>3056938.5</v>
      </c>
      <c r="I256" s="710"/>
      <c r="J256" s="710"/>
      <c r="L256" s="390"/>
      <c r="M256" s="404"/>
      <c r="N256" s="404"/>
      <c r="O256" s="404"/>
      <c r="P256" s="390"/>
      <c r="Q256" s="390"/>
      <c r="R256" s="404"/>
      <c r="S256" s="390"/>
      <c r="T256" s="390"/>
    </row>
    <row r="257" spans="1:21" ht="21.5" customHeight="1" thickTop="1">
      <c r="A257" s="302"/>
      <c r="B257" s="303"/>
      <c r="C257" s="329"/>
      <c r="D257" s="430"/>
      <c r="E257" s="302"/>
      <c r="F257" s="301"/>
      <c r="G257" s="302"/>
      <c r="H257" s="706"/>
      <c r="I257" s="711"/>
      <c r="J257" s="711"/>
      <c r="K257" s="398"/>
      <c r="L257" s="390"/>
      <c r="M257" s="404"/>
      <c r="N257" s="404"/>
      <c r="O257" s="404"/>
      <c r="P257" s="390"/>
      <c r="Q257" s="390"/>
      <c r="R257" s="404"/>
    </row>
    <row r="258" spans="1:21" ht="22.5" customHeight="1">
      <c r="A258" s="454"/>
      <c r="B258" s="750" t="s">
        <v>713</v>
      </c>
      <c r="C258" s="428">
        <f>ROUND(D258,2)</f>
        <v>3.26</v>
      </c>
      <c r="D258" s="439">
        <f>Detail!K351/100</f>
        <v>3.2620170000000002</v>
      </c>
      <c r="E258" s="457" t="s">
        <v>222</v>
      </c>
      <c r="F258" s="301"/>
      <c r="G258" s="302"/>
      <c r="H258" s="863">
        <f>H271</f>
        <v>2761158.3</v>
      </c>
      <c r="I258" s="710"/>
      <c r="J258" s="710"/>
      <c r="L258" s="390"/>
      <c r="M258" s="404"/>
      <c r="N258" s="404"/>
      <c r="O258" s="404"/>
      <c r="P258" s="390"/>
      <c r="Q258" s="390"/>
      <c r="R258" s="404"/>
    </row>
    <row r="259" spans="1:21" ht="22.5" customHeight="1">
      <c r="A259" s="302"/>
      <c r="B259" s="429" t="s">
        <v>65</v>
      </c>
      <c r="C259" s="428"/>
      <c r="D259" s="430"/>
      <c r="E259" s="302"/>
      <c r="F259" s="301"/>
      <c r="G259" s="302"/>
      <c r="H259" s="698"/>
      <c r="I259" s="710"/>
      <c r="J259" s="710"/>
      <c r="L259" s="390"/>
      <c r="M259" s="404"/>
      <c r="N259" s="404"/>
      <c r="O259" s="404"/>
      <c r="P259" s="390"/>
      <c r="Q259" s="390"/>
      <c r="R259" s="404"/>
    </row>
    <row r="260" spans="1:21" ht="22.5" customHeight="1">
      <c r="A260" s="302"/>
      <c r="B260" s="303" t="s">
        <v>14</v>
      </c>
      <c r="C260" s="329">
        <f>ROUND(D260,2)</f>
        <v>60.29</v>
      </c>
      <c r="D260" s="430">
        <f>D258*2070/112</f>
        <v>60.289064196428576</v>
      </c>
      <c r="E260" s="329" t="s">
        <v>302</v>
      </c>
      <c r="F260" s="325">
        <f>VLOOKUP(B260,BQ!$B$6:$E$112,4,FALSE)</f>
        <v>18600</v>
      </c>
      <c r="G260" s="329" t="s">
        <v>302</v>
      </c>
      <c r="H260" s="698">
        <f>F260*C260</f>
        <v>1121394</v>
      </c>
      <c r="I260" s="710">
        <f>H260</f>
        <v>1121394</v>
      </c>
      <c r="J260" s="710"/>
      <c r="L260" s="390"/>
      <c r="M260" s="404">
        <f>C260</f>
        <v>60.29</v>
      </c>
      <c r="N260" s="404"/>
      <c r="O260" s="404"/>
      <c r="P260" s="390"/>
      <c r="Q260" s="390"/>
      <c r="R260" s="404"/>
    </row>
    <row r="261" spans="1:21" ht="22.5" customHeight="1">
      <c r="A261" s="302"/>
      <c r="B261" s="303" t="s">
        <v>16</v>
      </c>
      <c r="C261" s="329">
        <f>ROUND(D261,2)</f>
        <v>1.5</v>
      </c>
      <c r="D261" s="430">
        <f>D258*46/100</f>
        <v>1.5005278200000001</v>
      </c>
      <c r="E261" s="329" t="s">
        <v>11</v>
      </c>
      <c r="F261" s="325">
        <f>VLOOKUP(B261,BQ!$B$6:$E$112,4,FALSE)</f>
        <v>30000</v>
      </c>
      <c r="G261" s="329" t="s">
        <v>11</v>
      </c>
      <c r="H261" s="698">
        <f>F261*C261</f>
        <v>45000</v>
      </c>
      <c r="I261" s="710">
        <f>H261</f>
        <v>45000</v>
      </c>
      <c r="J261" s="710"/>
      <c r="L261" s="390"/>
      <c r="M261" s="404"/>
      <c r="N261" s="404">
        <f>C261</f>
        <v>1.5</v>
      </c>
      <c r="O261" s="404"/>
      <c r="P261" s="390"/>
      <c r="Q261" s="390"/>
      <c r="R261" s="404"/>
    </row>
    <row r="262" spans="1:21" ht="22.5" customHeight="1">
      <c r="A262" s="302"/>
      <c r="B262" s="303" t="s">
        <v>303</v>
      </c>
      <c r="C262" s="329">
        <f>ROUND(D262,2)</f>
        <v>3</v>
      </c>
      <c r="D262" s="430">
        <f>D258*92/100</f>
        <v>3.0010556400000001</v>
      </c>
      <c r="E262" s="329" t="s">
        <v>11</v>
      </c>
      <c r="F262" s="325">
        <f>VLOOKUP(B262,BQ!$B$6:$E$112,4,FALSE)</f>
        <v>110000</v>
      </c>
      <c r="G262" s="329" t="s">
        <v>11</v>
      </c>
      <c r="H262" s="698">
        <f>F262*C262</f>
        <v>330000</v>
      </c>
      <c r="I262" s="710">
        <f>H262</f>
        <v>330000</v>
      </c>
      <c r="J262" s="710"/>
      <c r="L262" s="390"/>
      <c r="M262" s="404"/>
      <c r="N262" s="404"/>
      <c r="O262" s="404">
        <f>C262</f>
        <v>3</v>
      </c>
      <c r="P262" s="390"/>
      <c r="Q262" s="390"/>
      <c r="R262" s="404"/>
    </row>
    <row r="263" spans="1:21" ht="22.5" customHeight="1">
      <c r="A263" s="302"/>
      <c r="B263" s="303" t="s">
        <v>571</v>
      </c>
      <c r="C263" s="329">
        <f>ROUND(D263,2)</f>
        <v>30.14</v>
      </c>
      <c r="D263" s="821">
        <f>D260/2</f>
        <v>30.144532098214288</v>
      </c>
      <c r="E263" s="329" t="s">
        <v>572</v>
      </c>
      <c r="F263" s="325">
        <f>VLOOKUP(B263,BQ!$B$6:$E$112,4,FALSE)</f>
        <v>8500</v>
      </c>
      <c r="G263" s="329" t="str">
        <f>E263</f>
        <v>Lit</v>
      </c>
      <c r="H263" s="698">
        <f>F263*C263</f>
        <v>256190</v>
      </c>
      <c r="I263" s="710">
        <f>H263</f>
        <v>256190</v>
      </c>
      <c r="J263" s="710"/>
      <c r="L263" s="390"/>
      <c r="M263" s="404"/>
      <c r="N263" s="404"/>
      <c r="O263" s="404">
        <f>C263</f>
        <v>30.14</v>
      </c>
      <c r="P263" s="390"/>
      <c r="Q263" s="390"/>
      <c r="R263" s="404"/>
    </row>
    <row r="264" spans="1:21" ht="21" customHeight="1">
      <c r="A264" s="302"/>
      <c r="B264" s="303" t="s">
        <v>535</v>
      </c>
      <c r="C264" s="329">
        <f>ROUND(D264,2)</f>
        <v>6.52</v>
      </c>
      <c r="D264" s="430">
        <f>D258*2</f>
        <v>6.5240340000000003</v>
      </c>
      <c r="E264" s="329" t="s">
        <v>23</v>
      </c>
      <c r="F264" s="325">
        <f>VLOOKUP(B264,BQ!$B$6:$E$112,4,FALSE)</f>
        <v>18800</v>
      </c>
      <c r="G264" s="329" t="str">
        <f>E264</f>
        <v>Gal</v>
      </c>
      <c r="H264" s="698">
        <f>F264*C264</f>
        <v>122575.99999999999</v>
      </c>
      <c r="I264" s="710">
        <f>H264</f>
        <v>122575.99999999999</v>
      </c>
      <c r="J264" s="710"/>
      <c r="L264" s="390"/>
      <c r="M264" s="404"/>
      <c r="N264" s="404"/>
      <c r="O264" s="404"/>
      <c r="P264" s="390"/>
      <c r="Q264" s="390"/>
      <c r="R264" s="404"/>
    </row>
    <row r="265" spans="1:21" ht="22.5" customHeight="1">
      <c r="A265" s="302"/>
      <c r="B265" s="303"/>
      <c r="C265" s="329"/>
      <c r="D265" s="430"/>
      <c r="E265" s="329"/>
      <c r="F265" s="301"/>
      <c r="G265" s="329"/>
      <c r="H265" s="698">
        <f>SUM(H260:H264)</f>
        <v>1875160</v>
      </c>
      <c r="I265" s="710"/>
      <c r="J265" s="710"/>
      <c r="L265" s="390"/>
      <c r="M265" s="404"/>
      <c r="N265" s="404"/>
      <c r="O265" s="404"/>
      <c r="P265" s="390"/>
      <c r="Q265" s="390"/>
      <c r="R265" s="404"/>
    </row>
    <row r="266" spans="1:21" ht="23.15" customHeight="1">
      <c r="A266" s="302"/>
      <c r="B266" s="429" t="s">
        <v>185</v>
      </c>
      <c r="C266" s="329"/>
      <c r="D266" s="430"/>
      <c r="E266" s="302"/>
      <c r="F266" s="301"/>
      <c r="G266" s="302"/>
      <c r="H266" s="698"/>
      <c r="I266" s="710"/>
      <c r="J266" s="710"/>
      <c r="L266" s="390"/>
      <c r="M266" s="404"/>
      <c r="N266" s="404"/>
      <c r="O266" s="404"/>
      <c r="P266" s="390"/>
      <c r="Q266" s="390"/>
      <c r="R266" s="404"/>
    </row>
    <row r="267" spans="1:21" ht="22.5" customHeight="1">
      <c r="A267" s="302"/>
      <c r="B267" s="303" t="s">
        <v>69</v>
      </c>
      <c r="C267" s="329">
        <f>ROUND(D267,2)</f>
        <v>6.52</v>
      </c>
      <c r="D267" s="430">
        <f>D258*2</f>
        <v>6.5240340000000003</v>
      </c>
      <c r="E267" s="302" t="s">
        <v>3</v>
      </c>
      <c r="F267" s="325">
        <f>VLOOKUP(B267,BQ!$B$6:$E$112,4,FALSE)</f>
        <v>30250.000000000004</v>
      </c>
      <c r="G267" s="302" t="s">
        <v>3</v>
      </c>
      <c r="H267" s="698">
        <f>F267*C267</f>
        <v>197230</v>
      </c>
      <c r="I267" s="710"/>
      <c r="J267" s="710">
        <f>H267</f>
        <v>197230</v>
      </c>
      <c r="L267" s="390"/>
      <c r="M267" s="404"/>
      <c r="N267" s="404"/>
      <c r="O267" s="404"/>
      <c r="P267" s="390"/>
      <c r="Q267" s="390"/>
      <c r="R267" s="404"/>
      <c r="U267" s="390">
        <f>C267</f>
        <v>6.52</v>
      </c>
    </row>
    <row r="268" spans="1:21" ht="22.5" customHeight="1">
      <c r="A268" s="302"/>
      <c r="B268" s="303" t="s">
        <v>67</v>
      </c>
      <c r="C268" s="329">
        <f>ROUND(D268,2)</f>
        <v>29.36</v>
      </c>
      <c r="D268" s="430">
        <f>D258*9</f>
        <v>29.358153000000001</v>
      </c>
      <c r="E268" s="302" t="s">
        <v>3</v>
      </c>
      <c r="F268" s="325">
        <f>VLOOKUP(B268,BQ!$B$6:$E$112,4,FALSE)</f>
        <v>21780</v>
      </c>
      <c r="G268" s="302" t="s">
        <v>3</v>
      </c>
      <c r="H268" s="698">
        <f>F268*C268</f>
        <v>639460.79999999993</v>
      </c>
      <c r="I268" s="710"/>
      <c r="J268" s="710">
        <f>H268</f>
        <v>639460.79999999993</v>
      </c>
      <c r="L268" s="390"/>
      <c r="M268" s="404"/>
      <c r="N268" s="404"/>
      <c r="O268" s="404"/>
      <c r="P268" s="390"/>
      <c r="Q268" s="390"/>
      <c r="R268" s="404"/>
      <c r="S268" s="390">
        <f>C268</f>
        <v>29.36</v>
      </c>
      <c r="T268" s="390"/>
    </row>
    <row r="269" spans="1:21" ht="22.5" customHeight="1">
      <c r="A269" s="302"/>
      <c r="B269" s="303" t="s">
        <v>536</v>
      </c>
      <c r="C269" s="329">
        <f>ROUND(D269,2)</f>
        <v>1.63</v>
      </c>
      <c r="D269" s="430">
        <f>D258*0.5</f>
        <v>1.6310085000000001</v>
      </c>
      <c r="E269" s="302" t="s">
        <v>3</v>
      </c>
      <c r="F269" s="325">
        <f>VLOOKUP(B269,BQ!$B$6:$E$112,4,FALSE)</f>
        <v>30250.000000000004</v>
      </c>
      <c r="G269" s="302" t="str">
        <f>E269</f>
        <v>No</v>
      </c>
      <c r="H269" s="698">
        <f>F269*C269</f>
        <v>49307.5</v>
      </c>
      <c r="I269" s="710"/>
      <c r="J269" s="710">
        <f>H269</f>
        <v>49307.5</v>
      </c>
      <c r="L269" s="390"/>
      <c r="M269" s="404"/>
      <c r="N269" s="404"/>
      <c r="O269" s="404"/>
      <c r="P269" s="390"/>
      <c r="Q269" s="390"/>
      <c r="R269" s="404"/>
      <c r="S269" s="390"/>
    </row>
    <row r="270" spans="1:21" ht="22.5" customHeight="1" thickBot="1">
      <c r="A270" s="302"/>
      <c r="B270" s="303"/>
      <c r="C270" s="329"/>
      <c r="D270" s="430"/>
      <c r="E270" s="302"/>
      <c r="F270" s="449"/>
      <c r="G270" s="447"/>
      <c r="H270" s="703">
        <f>SUM(H267:H269)</f>
        <v>885998.29999999993</v>
      </c>
      <c r="I270" s="710"/>
      <c r="J270" s="710"/>
      <c r="L270" s="390"/>
      <c r="M270" s="404"/>
      <c r="N270" s="404"/>
      <c r="O270" s="404"/>
      <c r="P270" s="390"/>
      <c r="Q270" s="390"/>
      <c r="R270" s="404"/>
      <c r="S270" s="390"/>
      <c r="T270" s="390"/>
    </row>
    <row r="271" spans="1:21" ht="21.5" customHeight="1" thickBot="1">
      <c r="A271" s="302"/>
      <c r="B271" s="303"/>
      <c r="C271" s="329"/>
      <c r="D271" s="430"/>
      <c r="E271" s="302"/>
      <c r="F271" s="555" t="s">
        <v>266</v>
      </c>
      <c r="G271" s="503" t="s">
        <v>221</v>
      </c>
      <c r="H271" s="700">
        <f>H270+H265</f>
        <v>2761158.3</v>
      </c>
      <c r="I271" s="710"/>
      <c r="J271" s="710"/>
      <c r="L271" s="390"/>
      <c r="M271" s="404"/>
      <c r="N271" s="404"/>
      <c r="O271" s="404"/>
      <c r="P271" s="390"/>
      <c r="Q271" s="390"/>
      <c r="R271" s="404"/>
      <c r="S271" s="390"/>
      <c r="T271" s="390"/>
    </row>
    <row r="272" spans="1:21" ht="21.5" customHeight="1" thickTop="1">
      <c r="A272" s="302"/>
      <c r="B272" s="303"/>
      <c r="C272" s="329"/>
      <c r="D272" s="430"/>
      <c r="E272" s="302"/>
      <c r="F272" s="301"/>
      <c r="G272" s="302"/>
      <c r="H272" s="706"/>
      <c r="I272" s="711"/>
      <c r="J272" s="711"/>
      <c r="K272" s="398"/>
      <c r="L272" s="390"/>
      <c r="M272" s="404"/>
      <c r="N272" s="404"/>
      <c r="O272" s="404"/>
      <c r="P272" s="390"/>
      <c r="Q272" s="390"/>
      <c r="R272" s="404"/>
    </row>
    <row r="273" spans="1:21" ht="22.5" customHeight="1">
      <c r="A273" s="454"/>
      <c r="B273" s="750" t="s">
        <v>636</v>
      </c>
      <c r="C273" s="428">
        <f>ROUND(D273,2)</f>
        <v>2.15</v>
      </c>
      <c r="D273" s="439">
        <f>(Detail!K368+Detail!K372)/100</f>
        <v>2.1500249999999999</v>
      </c>
      <c r="E273" s="457" t="s">
        <v>222</v>
      </c>
      <c r="F273" s="301"/>
      <c r="G273" s="302"/>
      <c r="H273" s="863">
        <f>H285</f>
        <v>1651692</v>
      </c>
      <c r="I273" s="710"/>
      <c r="J273" s="710"/>
      <c r="L273" s="390"/>
      <c r="M273" s="404"/>
      <c r="N273" s="404"/>
      <c r="O273" s="404"/>
      <c r="P273" s="390"/>
      <c r="Q273" s="390"/>
      <c r="R273" s="404"/>
    </row>
    <row r="274" spans="1:21" ht="22.5" customHeight="1">
      <c r="A274" s="302"/>
      <c r="B274" s="429" t="s">
        <v>65</v>
      </c>
      <c r="C274" s="428"/>
      <c r="D274" s="430"/>
      <c r="E274" s="302"/>
      <c r="F274" s="301"/>
      <c r="G274" s="302"/>
      <c r="H274" s="698"/>
      <c r="I274" s="710"/>
      <c r="J274" s="710"/>
      <c r="L274" s="390"/>
      <c r="M274" s="404"/>
      <c r="N274" s="404"/>
      <c r="O274" s="404"/>
      <c r="P274" s="390"/>
      <c r="Q274" s="390"/>
      <c r="R274" s="404"/>
    </row>
    <row r="275" spans="1:21" ht="22.5" customHeight="1">
      <c r="A275" s="302"/>
      <c r="B275" s="303" t="s">
        <v>14</v>
      </c>
      <c r="C275" s="329">
        <f>ROUND(D275,2)</f>
        <v>39.74</v>
      </c>
      <c r="D275" s="430">
        <f>D273*2070/112</f>
        <v>39.737069196428571</v>
      </c>
      <c r="E275" s="329" t="s">
        <v>302</v>
      </c>
      <c r="F275" s="325">
        <f>VLOOKUP(B275,BQ!$B$6:$E$112,4,FALSE)</f>
        <v>18600</v>
      </c>
      <c r="G275" s="329" t="s">
        <v>302</v>
      </c>
      <c r="H275" s="698">
        <f>F275*C275</f>
        <v>739164</v>
      </c>
      <c r="I275" s="710">
        <f>H275</f>
        <v>739164</v>
      </c>
      <c r="J275" s="710"/>
      <c r="L275" s="390"/>
      <c r="M275" s="404">
        <f>C275</f>
        <v>39.74</v>
      </c>
      <c r="N275" s="404"/>
      <c r="O275" s="404"/>
      <c r="P275" s="390"/>
      <c r="Q275" s="390"/>
      <c r="R275" s="404"/>
    </row>
    <row r="276" spans="1:21" ht="22.5" customHeight="1">
      <c r="A276" s="302"/>
      <c r="B276" s="303" t="s">
        <v>16</v>
      </c>
      <c r="C276" s="329">
        <f>ROUND(D276,2)</f>
        <v>0.99</v>
      </c>
      <c r="D276" s="430">
        <f>D273*46/100</f>
        <v>0.98901149999999982</v>
      </c>
      <c r="E276" s="329" t="s">
        <v>11</v>
      </c>
      <c r="F276" s="325">
        <f>VLOOKUP(B276,BQ!$B$6:$E$112,4,FALSE)</f>
        <v>30000</v>
      </c>
      <c r="G276" s="329" t="s">
        <v>11</v>
      </c>
      <c r="H276" s="698">
        <f>F276*C276</f>
        <v>29700</v>
      </c>
      <c r="I276" s="710">
        <f>H276</f>
        <v>29700</v>
      </c>
      <c r="J276" s="710"/>
      <c r="L276" s="390"/>
      <c r="M276" s="404"/>
      <c r="N276" s="404">
        <f>C276</f>
        <v>0.99</v>
      </c>
      <c r="O276" s="404"/>
      <c r="P276" s="390"/>
      <c r="Q276" s="390"/>
      <c r="R276" s="404"/>
    </row>
    <row r="277" spans="1:21" ht="22.5" customHeight="1">
      <c r="A277" s="302"/>
      <c r="B277" s="303" t="s">
        <v>303</v>
      </c>
      <c r="C277" s="329">
        <f>ROUND(D277,2)</f>
        <v>1.98</v>
      </c>
      <c r="D277" s="430">
        <f>D273*92/100</f>
        <v>1.9780229999999996</v>
      </c>
      <c r="E277" s="329" t="s">
        <v>11</v>
      </c>
      <c r="F277" s="325">
        <f>VLOOKUP(B277,BQ!$B$6:$E$112,4,FALSE)</f>
        <v>110000</v>
      </c>
      <c r="G277" s="329" t="s">
        <v>11</v>
      </c>
      <c r="H277" s="698">
        <f>F277*C277</f>
        <v>217800</v>
      </c>
      <c r="I277" s="710">
        <f>H277</f>
        <v>217800</v>
      </c>
      <c r="J277" s="710"/>
      <c r="L277" s="390"/>
      <c r="M277" s="404"/>
      <c r="N277" s="404"/>
      <c r="O277" s="404">
        <f>C277</f>
        <v>1.98</v>
      </c>
      <c r="P277" s="390"/>
      <c r="Q277" s="390"/>
      <c r="R277" s="404"/>
    </row>
    <row r="278" spans="1:21" ht="21" customHeight="1">
      <c r="A278" s="302"/>
      <c r="B278" s="303" t="s">
        <v>535</v>
      </c>
      <c r="C278" s="329">
        <f>ROUND(D278,2)</f>
        <v>4.3</v>
      </c>
      <c r="D278" s="430">
        <f>D273*2</f>
        <v>4.3000499999999997</v>
      </c>
      <c r="E278" s="329" t="s">
        <v>23</v>
      </c>
      <c r="F278" s="325">
        <f>VLOOKUP(B278,BQ!$B$6:$E$112,4,FALSE)</f>
        <v>18800</v>
      </c>
      <c r="G278" s="329" t="str">
        <f>E278</f>
        <v>Gal</v>
      </c>
      <c r="H278" s="698">
        <f>F278*C278</f>
        <v>80840</v>
      </c>
      <c r="I278" s="710">
        <f>H278</f>
        <v>80840</v>
      </c>
      <c r="J278" s="710"/>
      <c r="L278" s="390"/>
      <c r="M278" s="404"/>
      <c r="N278" s="404"/>
      <c r="O278" s="404"/>
      <c r="P278" s="390"/>
      <c r="Q278" s="390"/>
      <c r="R278" s="404"/>
    </row>
    <row r="279" spans="1:21" ht="22.5" customHeight="1">
      <c r="A279" s="302"/>
      <c r="B279" s="303"/>
      <c r="C279" s="329"/>
      <c r="D279" s="430"/>
      <c r="E279" s="329"/>
      <c r="F279" s="301"/>
      <c r="G279" s="329"/>
      <c r="H279" s="698">
        <f>SUM(H275:H278)</f>
        <v>1067504</v>
      </c>
      <c r="I279" s="710"/>
      <c r="J279" s="710"/>
      <c r="L279" s="390"/>
      <c r="M279" s="404"/>
      <c r="N279" s="404"/>
      <c r="O279" s="404"/>
      <c r="P279" s="390"/>
      <c r="Q279" s="390"/>
      <c r="R279" s="404"/>
    </row>
    <row r="280" spans="1:21" ht="23.15" customHeight="1">
      <c r="A280" s="302"/>
      <c r="B280" s="429" t="s">
        <v>185</v>
      </c>
      <c r="C280" s="329"/>
      <c r="D280" s="430"/>
      <c r="E280" s="302"/>
      <c r="F280" s="301"/>
      <c r="G280" s="302"/>
      <c r="H280" s="698"/>
      <c r="I280" s="710"/>
      <c r="J280" s="710"/>
      <c r="L280" s="390"/>
      <c r="M280" s="404"/>
      <c r="N280" s="404"/>
      <c r="O280" s="404"/>
      <c r="P280" s="390"/>
      <c r="Q280" s="390"/>
      <c r="R280" s="404"/>
    </row>
    <row r="281" spans="1:21" ht="22.5" customHeight="1">
      <c r="A281" s="302"/>
      <c r="B281" s="303" t="s">
        <v>69</v>
      </c>
      <c r="C281" s="329">
        <f>ROUND(D281,2)</f>
        <v>4.3</v>
      </c>
      <c r="D281" s="430">
        <f>D273*2</f>
        <v>4.3000499999999997</v>
      </c>
      <c r="E281" s="302" t="s">
        <v>3</v>
      </c>
      <c r="F281" s="325">
        <f>VLOOKUP(B281,BQ!$B$6:$E$112,4,FALSE)</f>
        <v>30250.000000000004</v>
      </c>
      <c r="G281" s="302" t="s">
        <v>3</v>
      </c>
      <c r="H281" s="698">
        <f>F281*C281</f>
        <v>130075.00000000001</v>
      </c>
      <c r="I281" s="710"/>
      <c r="J281" s="710">
        <f>H281</f>
        <v>130075.00000000001</v>
      </c>
      <c r="L281" s="390"/>
      <c r="M281" s="404"/>
      <c r="N281" s="404"/>
      <c r="O281" s="404"/>
      <c r="P281" s="390"/>
      <c r="Q281" s="390"/>
      <c r="R281" s="404"/>
      <c r="U281" s="390">
        <f>C281</f>
        <v>4.3</v>
      </c>
    </row>
    <row r="282" spans="1:21" ht="22.5" customHeight="1">
      <c r="A282" s="302"/>
      <c r="B282" s="303" t="s">
        <v>67</v>
      </c>
      <c r="C282" s="329">
        <f>ROUND(D282,2)</f>
        <v>19.350000000000001</v>
      </c>
      <c r="D282" s="430">
        <f>D273*9</f>
        <v>19.350224999999998</v>
      </c>
      <c r="E282" s="302" t="s">
        <v>3</v>
      </c>
      <c r="F282" s="325">
        <f>VLOOKUP(B282,BQ!$B$6:$E$112,4,FALSE)</f>
        <v>21780</v>
      </c>
      <c r="G282" s="302" t="s">
        <v>3</v>
      </c>
      <c r="H282" s="698">
        <f>F282*C282</f>
        <v>421443.00000000006</v>
      </c>
      <c r="I282" s="710"/>
      <c r="J282" s="710">
        <f>H282</f>
        <v>421443.00000000006</v>
      </c>
      <c r="L282" s="390"/>
      <c r="M282" s="404"/>
      <c r="N282" s="404"/>
      <c r="O282" s="404"/>
      <c r="P282" s="390"/>
      <c r="Q282" s="390"/>
      <c r="R282" s="404"/>
      <c r="S282" s="390">
        <f>C282</f>
        <v>19.350000000000001</v>
      </c>
      <c r="T282" s="390"/>
    </row>
    <row r="283" spans="1:21" ht="22.5" customHeight="1">
      <c r="A283" s="302"/>
      <c r="B283" s="303" t="s">
        <v>536</v>
      </c>
      <c r="C283" s="329">
        <f>ROUND(D283,2)</f>
        <v>1.08</v>
      </c>
      <c r="D283" s="430">
        <f>D273*0.5</f>
        <v>1.0750124999999999</v>
      </c>
      <c r="E283" s="302" t="s">
        <v>3</v>
      </c>
      <c r="F283" s="325">
        <f>VLOOKUP(B283,BQ!$B$6:$E$112,4,FALSE)</f>
        <v>30250.000000000004</v>
      </c>
      <c r="G283" s="302" t="str">
        <f>E283</f>
        <v>No</v>
      </c>
      <c r="H283" s="698">
        <f>F283*C283</f>
        <v>32670.000000000007</v>
      </c>
      <c r="I283" s="710"/>
      <c r="J283" s="710">
        <f>H283</f>
        <v>32670.000000000007</v>
      </c>
      <c r="L283" s="390"/>
      <c r="M283" s="404"/>
      <c r="N283" s="404"/>
      <c r="O283" s="404"/>
      <c r="P283" s="390"/>
      <c r="Q283" s="390"/>
      <c r="R283" s="404"/>
      <c r="S283" s="390"/>
    </row>
    <row r="284" spans="1:21" ht="22.5" customHeight="1" thickBot="1">
      <c r="A284" s="302"/>
      <c r="B284" s="303"/>
      <c r="C284" s="329"/>
      <c r="D284" s="430"/>
      <c r="E284" s="302"/>
      <c r="F284" s="449"/>
      <c r="G284" s="447"/>
      <c r="H284" s="703">
        <f>SUM(H281:H283)</f>
        <v>584188.00000000012</v>
      </c>
      <c r="I284" s="710"/>
      <c r="J284" s="710"/>
      <c r="L284" s="390"/>
      <c r="M284" s="404"/>
      <c r="N284" s="404"/>
      <c r="O284" s="404"/>
      <c r="P284" s="390"/>
      <c r="Q284" s="390"/>
      <c r="R284" s="404"/>
      <c r="S284" s="390"/>
      <c r="T284" s="390"/>
    </row>
    <row r="285" spans="1:21" ht="21.5" customHeight="1" thickBot="1">
      <c r="A285" s="302"/>
      <c r="B285" s="303"/>
      <c r="C285" s="329"/>
      <c r="D285" s="430"/>
      <c r="E285" s="302"/>
      <c r="F285" s="555" t="s">
        <v>266</v>
      </c>
      <c r="G285" s="503" t="s">
        <v>221</v>
      </c>
      <c r="H285" s="700">
        <f>H284+H279</f>
        <v>1651692</v>
      </c>
      <c r="I285" s="710"/>
      <c r="J285" s="710"/>
      <c r="L285" s="390"/>
      <c r="M285" s="404"/>
      <c r="N285" s="404"/>
      <c r="O285" s="404"/>
      <c r="P285" s="390"/>
      <c r="Q285" s="390"/>
      <c r="R285" s="404"/>
      <c r="S285" s="390"/>
      <c r="T285" s="390"/>
    </row>
    <row r="286" spans="1:21" ht="21.5" customHeight="1" thickTop="1">
      <c r="A286" s="302"/>
      <c r="B286" s="303"/>
      <c r="C286" s="329"/>
      <c r="D286" s="430"/>
      <c r="E286" s="302"/>
      <c r="F286" s="813"/>
      <c r="G286" s="884"/>
      <c r="H286" s="704"/>
      <c r="I286" s="710"/>
      <c r="J286" s="710"/>
      <c r="L286" s="390"/>
      <c r="M286" s="404"/>
      <c r="N286" s="404"/>
      <c r="O286" s="404"/>
      <c r="P286" s="390"/>
      <c r="Q286" s="390"/>
      <c r="R286" s="404"/>
      <c r="S286" s="390"/>
      <c r="T286" s="390"/>
    </row>
    <row r="287" spans="1:21" ht="22.5" customHeight="1">
      <c r="A287" s="454"/>
      <c r="B287" s="750" t="s">
        <v>654</v>
      </c>
      <c r="C287" s="428">
        <f>ROUND(D287,2)</f>
        <v>0.3</v>
      </c>
      <c r="D287" s="439">
        <f>(Detail!K382)/100</f>
        <v>0.30454974000000001</v>
      </c>
      <c r="E287" s="457" t="s">
        <v>222</v>
      </c>
      <c r="F287" s="301"/>
      <c r="G287" s="302"/>
      <c r="H287" s="863">
        <f>H299</f>
        <v>233853.2</v>
      </c>
      <c r="I287" s="710"/>
      <c r="J287" s="710"/>
      <c r="L287" s="390"/>
      <c r="M287" s="404"/>
      <c r="N287" s="404"/>
      <c r="O287" s="404"/>
      <c r="P287" s="390"/>
      <c r="Q287" s="390"/>
      <c r="R287" s="404"/>
    </row>
    <row r="288" spans="1:21" ht="22.5" customHeight="1">
      <c r="A288" s="302"/>
      <c r="B288" s="429" t="s">
        <v>65</v>
      </c>
      <c r="C288" s="428"/>
      <c r="D288" s="430"/>
      <c r="E288" s="302"/>
      <c r="F288" s="301"/>
      <c r="G288" s="302"/>
      <c r="H288" s="698"/>
      <c r="I288" s="710"/>
      <c r="J288" s="710"/>
      <c r="L288" s="390"/>
      <c r="M288" s="404"/>
      <c r="N288" s="404"/>
      <c r="O288" s="404"/>
      <c r="P288" s="390"/>
      <c r="Q288" s="390"/>
      <c r="R288" s="404"/>
    </row>
    <row r="289" spans="1:21" ht="22.5" customHeight="1">
      <c r="A289" s="302"/>
      <c r="B289" s="303" t="s">
        <v>14</v>
      </c>
      <c r="C289" s="329">
        <f>ROUND(D289,2)</f>
        <v>5.63</v>
      </c>
      <c r="D289" s="430">
        <f>D287*2070/112</f>
        <v>5.6287318017857144</v>
      </c>
      <c r="E289" s="329" t="s">
        <v>302</v>
      </c>
      <c r="F289" s="325">
        <f>VLOOKUP(B289,BQ!$B$6:$E$112,4,FALSE)</f>
        <v>18600</v>
      </c>
      <c r="G289" s="329" t="s">
        <v>302</v>
      </c>
      <c r="H289" s="698">
        <f>F289*C289</f>
        <v>104718</v>
      </c>
      <c r="I289" s="710">
        <f>H289</f>
        <v>104718</v>
      </c>
      <c r="J289" s="710"/>
      <c r="L289" s="390"/>
      <c r="M289" s="404">
        <f>C289</f>
        <v>5.63</v>
      </c>
      <c r="N289" s="404"/>
      <c r="O289" s="404"/>
      <c r="P289" s="390"/>
      <c r="Q289" s="390"/>
      <c r="R289" s="404"/>
    </row>
    <row r="290" spans="1:21" ht="22.5" customHeight="1">
      <c r="A290" s="302"/>
      <c r="B290" s="303" t="s">
        <v>16</v>
      </c>
      <c r="C290" s="329">
        <f>ROUND(D290,2)</f>
        <v>0.14000000000000001</v>
      </c>
      <c r="D290" s="430">
        <f>D287*46/100</f>
        <v>0.14009288040000001</v>
      </c>
      <c r="E290" s="329" t="s">
        <v>11</v>
      </c>
      <c r="F290" s="325">
        <f>VLOOKUP(B290,BQ!$B$6:$E$112,4,FALSE)</f>
        <v>30000</v>
      </c>
      <c r="G290" s="329" t="s">
        <v>11</v>
      </c>
      <c r="H290" s="698">
        <f>F290*C290</f>
        <v>4200</v>
      </c>
      <c r="I290" s="710">
        <f>H290</f>
        <v>4200</v>
      </c>
      <c r="J290" s="710"/>
      <c r="L290" s="390"/>
      <c r="M290" s="404"/>
      <c r="N290" s="404">
        <f>C290</f>
        <v>0.14000000000000001</v>
      </c>
      <c r="O290" s="404"/>
      <c r="P290" s="390"/>
      <c r="Q290" s="390"/>
      <c r="R290" s="404"/>
    </row>
    <row r="291" spans="1:21" ht="22.5" customHeight="1">
      <c r="A291" s="302"/>
      <c r="B291" s="303" t="s">
        <v>303</v>
      </c>
      <c r="C291" s="329">
        <f>ROUND(D291,2)</f>
        <v>0.28000000000000003</v>
      </c>
      <c r="D291" s="430">
        <f>D287*92/100</f>
        <v>0.28018576080000002</v>
      </c>
      <c r="E291" s="329" t="s">
        <v>11</v>
      </c>
      <c r="F291" s="325">
        <f>VLOOKUP(B291,BQ!$B$6:$E$112,4,FALSE)</f>
        <v>110000</v>
      </c>
      <c r="G291" s="329" t="s">
        <v>11</v>
      </c>
      <c r="H291" s="698">
        <f>F291*C291</f>
        <v>30800.000000000004</v>
      </c>
      <c r="I291" s="710">
        <f>H291</f>
        <v>30800.000000000004</v>
      </c>
      <c r="J291" s="710"/>
      <c r="L291" s="390"/>
      <c r="M291" s="404"/>
      <c r="N291" s="404"/>
      <c r="O291" s="404">
        <f>C291</f>
        <v>0.28000000000000003</v>
      </c>
      <c r="P291" s="390"/>
      <c r="Q291" s="390"/>
      <c r="R291" s="404"/>
    </row>
    <row r="292" spans="1:21" ht="21" customHeight="1">
      <c r="A292" s="302"/>
      <c r="B292" s="303" t="s">
        <v>535</v>
      </c>
      <c r="C292" s="329">
        <f>ROUND(D292,2)</f>
        <v>0.61</v>
      </c>
      <c r="D292" s="430">
        <f>D287*2</f>
        <v>0.60909948000000003</v>
      </c>
      <c r="E292" s="329" t="s">
        <v>23</v>
      </c>
      <c r="F292" s="325">
        <f>VLOOKUP(B292,BQ!$B$6:$E$112,4,FALSE)</f>
        <v>18800</v>
      </c>
      <c r="G292" s="329" t="str">
        <f>E292</f>
        <v>Gal</v>
      </c>
      <c r="H292" s="698">
        <f>F292*C292</f>
        <v>11468</v>
      </c>
      <c r="I292" s="710">
        <f>H292</f>
        <v>11468</v>
      </c>
      <c r="J292" s="710"/>
      <c r="L292" s="390"/>
      <c r="M292" s="404"/>
      <c r="N292" s="404"/>
      <c r="O292" s="404"/>
      <c r="P292" s="390"/>
      <c r="Q292" s="390"/>
      <c r="R292" s="404"/>
    </row>
    <row r="293" spans="1:21" ht="22.5" customHeight="1">
      <c r="A293" s="302"/>
      <c r="B293" s="303"/>
      <c r="C293" s="329"/>
      <c r="D293" s="430"/>
      <c r="E293" s="329"/>
      <c r="F293" s="301"/>
      <c r="G293" s="329"/>
      <c r="H293" s="698">
        <f>SUM(H289:H292)</f>
        <v>151186</v>
      </c>
      <c r="I293" s="710"/>
      <c r="J293" s="710"/>
      <c r="L293" s="390"/>
      <c r="M293" s="404"/>
      <c r="N293" s="404"/>
      <c r="O293" s="404"/>
      <c r="P293" s="390"/>
      <c r="Q293" s="390"/>
      <c r="R293" s="404"/>
    </row>
    <row r="294" spans="1:21" ht="23.15" customHeight="1">
      <c r="A294" s="302"/>
      <c r="B294" s="429" t="s">
        <v>185</v>
      </c>
      <c r="C294" s="329"/>
      <c r="D294" s="430"/>
      <c r="E294" s="302"/>
      <c r="F294" s="301"/>
      <c r="G294" s="302"/>
      <c r="H294" s="698"/>
      <c r="I294" s="710"/>
      <c r="J294" s="710"/>
      <c r="L294" s="390"/>
      <c r="M294" s="404"/>
      <c r="N294" s="404"/>
      <c r="O294" s="404"/>
      <c r="P294" s="390"/>
      <c r="Q294" s="390"/>
      <c r="R294" s="404"/>
    </row>
    <row r="295" spans="1:21" ht="22.5" customHeight="1">
      <c r="A295" s="302"/>
      <c r="B295" s="303" t="s">
        <v>69</v>
      </c>
      <c r="C295" s="329">
        <f>ROUND(D295,2)</f>
        <v>0.61</v>
      </c>
      <c r="D295" s="430">
        <f>D287*2</f>
        <v>0.60909948000000003</v>
      </c>
      <c r="E295" s="302" t="s">
        <v>3</v>
      </c>
      <c r="F295" s="325">
        <f>VLOOKUP(B295,BQ!$B$6:$E$112,4,FALSE)</f>
        <v>30250.000000000004</v>
      </c>
      <c r="G295" s="302" t="s">
        <v>3</v>
      </c>
      <c r="H295" s="698">
        <f>F295*C295</f>
        <v>18452.5</v>
      </c>
      <c r="I295" s="710"/>
      <c r="J295" s="710">
        <f>H295</f>
        <v>18452.5</v>
      </c>
      <c r="L295" s="390"/>
      <c r="M295" s="404"/>
      <c r="N295" s="404"/>
      <c r="O295" s="404"/>
      <c r="P295" s="390"/>
      <c r="Q295" s="390"/>
      <c r="R295" s="404"/>
      <c r="U295" s="390">
        <f>C295</f>
        <v>0.61</v>
      </c>
    </row>
    <row r="296" spans="1:21" ht="22.5" customHeight="1">
      <c r="A296" s="302"/>
      <c r="B296" s="303" t="s">
        <v>67</v>
      </c>
      <c r="C296" s="329">
        <f>ROUND(D296,2)</f>
        <v>2.74</v>
      </c>
      <c r="D296" s="430">
        <f>D287*9</f>
        <v>2.7409476600000002</v>
      </c>
      <c r="E296" s="302" t="s">
        <v>3</v>
      </c>
      <c r="F296" s="325">
        <f>VLOOKUP(B296,BQ!$B$6:$E$112,4,FALSE)</f>
        <v>21780</v>
      </c>
      <c r="G296" s="302" t="s">
        <v>3</v>
      </c>
      <c r="H296" s="698">
        <f>F296*C296</f>
        <v>59677.200000000004</v>
      </c>
      <c r="I296" s="710"/>
      <c r="J296" s="710">
        <f>H296</f>
        <v>59677.200000000004</v>
      </c>
      <c r="L296" s="390"/>
      <c r="M296" s="404"/>
      <c r="N296" s="404"/>
      <c r="O296" s="404"/>
      <c r="P296" s="390"/>
      <c r="Q296" s="390"/>
      <c r="R296" s="404"/>
      <c r="S296" s="390">
        <f>C296</f>
        <v>2.74</v>
      </c>
      <c r="T296" s="390"/>
    </row>
    <row r="297" spans="1:21" ht="22.5" customHeight="1">
      <c r="A297" s="302"/>
      <c r="B297" s="303" t="s">
        <v>536</v>
      </c>
      <c r="C297" s="329">
        <f>ROUND(D297,2)</f>
        <v>0.15</v>
      </c>
      <c r="D297" s="430">
        <f>D287*0.5</f>
        <v>0.15227487000000001</v>
      </c>
      <c r="E297" s="302" t="s">
        <v>3</v>
      </c>
      <c r="F297" s="325">
        <f>VLOOKUP(B297,BQ!$B$6:$E$112,4,FALSE)</f>
        <v>30250.000000000004</v>
      </c>
      <c r="G297" s="302" t="str">
        <f>E297</f>
        <v>No</v>
      </c>
      <c r="H297" s="698">
        <f>F297*C297</f>
        <v>4537.5</v>
      </c>
      <c r="I297" s="710"/>
      <c r="J297" s="710">
        <f>H297</f>
        <v>4537.5</v>
      </c>
      <c r="L297" s="390"/>
      <c r="M297" s="404"/>
      <c r="N297" s="404"/>
      <c r="O297" s="404"/>
      <c r="P297" s="390"/>
      <c r="Q297" s="390"/>
      <c r="R297" s="404"/>
      <c r="S297" s="390"/>
    </row>
    <row r="298" spans="1:21" ht="22.5" customHeight="1" thickBot="1">
      <c r="A298" s="302"/>
      <c r="B298" s="303"/>
      <c r="C298" s="329"/>
      <c r="D298" s="430"/>
      <c r="E298" s="302"/>
      <c r="F298" s="449"/>
      <c r="G298" s="447"/>
      <c r="H298" s="703">
        <f>SUM(H295:H297)</f>
        <v>82667.200000000012</v>
      </c>
      <c r="I298" s="710"/>
      <c r="J298" s="710"/>
      <c r="L298" s="390"/>
      <c r="M298" s="404"/>
      <c r="N298" s="404"/>
      <c r="O298" s="404"/>
      <c r="P298" s="390"/>
      <c r="Q298" s="390"/>
      <c r="R298" s="404"/>
      <c r="S298" s="390"/>
      <c r="T298" s="390"/>
    </row>
    <row r="299" spans="1:21" ht="21.5" customHeight="1" thickBot="1">
      <c r="A299" s="302"/>
      <c r="B299" s="303"/>
      <c r="C299" s="329"/>
      <c r="D299" s="430"/>
      <c r="E299" s="302"/>
      <c r="F299" s="555" t="s">
        <v>266</v>
      </c>
      <c r="G299" s="503" t="s">
        <v>221</v>
      </c>
      <c r="H299" s="700">
        <f>H298+H293</f>
        <v>233853.2</v>
      </c>
      <c r="I299" s="710"/>
      <c r="J299" s="710"/>
      <c r="L299" s="390"/>
      <c r="M299" s="404"/>
      <c r="N299" s="404"/>
      <c r="O299" s="404"/>
      <c r="P299" s="390"/>
      <c r="Q299" s="390"/>
      <c r="R299" s="404"/>
      <c r="S299" s="390"/>
      <c r="T299" s="390"/>
    </row>
    <row r="300" spans="1:21" ht="21.5" customHeight="1" thickTop="1">
      <c r="A300" s="302"/>
      <c r="B300" s="303"/>
      <c r="C300" s="329"/>
      <c r="D300" s="430"/>
      <c r="E300" s="302"/>
      <c r="F300" s="813"/>
      <c r="G300" s="884"/>
      <c r="H300" s="704"/>
      <c r="I300" s="710"/>
      <c r="J300" s="710"/>
      <c r="L300" s="390"/>
      <c r="M300" s="404"/>
      <c r="N300" s="404"/>
      <c r="O300" s="404"/>
      <c r="P300" s="390"/>
      <c r="Q300" s="390"/>
      <c r="R300" s="404"/>
      <c r="S300" s="390"/>
      <c r="T300" s="390"/>
    </row>
    <row r="301" spans="1:21" ht="21.5" customHeight="1">
      <c r="A301" s="302"/>
      <c r="B301" s="303"/>
      <c r="C301" s="329"/>
      <c r="D301" s="430">
        <f>D317+D331+D345+D359+D373+D387+D401+D415</f>
        <v>11.427551050340734</v>
      </c>
      <c r="E301" s="302"/>
      <c r="F301" s="301"/>
      <c r="G301" s="302"/>
      <c r="H301" s="706"/>
      <c r="I301" s="711"/>
      <c r="J301" s="711"/>
      <c r="K301" s="398"/>
      <c r="L301" s="390"/>
      <c r="M301" s="404"/>
      <c r="N301" s="404"/>
      <c r="O301" s="404"/>
      <c r="P301" s="390"/>
      <c r="Q301" s="390"/>
      <c r="R301" s="404"/>
    </row>
    <row r="302" spans="1:21" ht="45" customHeight="1">
      <c r="A302" s="463">
        <v>10</v>
      </c>
      <c r="B302" s="464" t="s">
        <v>493</v>
      </c>
      <c r="C302" s="428">
        <f>D302</f>
        <v>11.427551050340734</v>
      </c>
      <c r="D302" s="439">
        <f>Detail!K896</f>
        <v>11.427551050340734</v>
      </c>
      <c r="E302" s="312" t="s">
        <v>9</v>
      </c>
      <c r="F302" s="301"/>
      <c r="G302" s="302"/>
      <c r="H302" s="863">
        <f>H329+H343+H357+H371+H385+H399+H413+H427</f>
        <v>32982717.643195283</v>
      </c>
      <c r="I302" s="710"/>
      <c r="J302" s="710"/>
    </row>
    <row r="303" spans="1:21" s="828" customFormat="1" ht="23.15" hidden="1" customHeight="1">
      <c r="A303" s="822"/>
      <c r="B303" s="829" t="s">
        <v>65</v>
      </c>
      <c r="C303" s="824"/>
      <c r="D303" s="430"/>
      <c r="E303" s="822"/>
      <c r="F303" s="825"/>
      <c r="G303" s="822"/>
      <c r="H303" s="830"/>
      <c r="I303" s="826"/>
      <c r="J303" s="826"/>
      <c r="K303" s="827"/>
    </row>
    <row r="304" spans="1:21" s="828" customFormat="1" ht="18" hidden="1" customHeight="1">
      <c r="A304" s="822"/>
      <c r="B304" s="421" t="s">
        <v>637</v>
      </c>
      <c r="C304" s="824">
        <f t="shared" ref="C304:C309" si="1">D304</f>
        <v>0</v>
      </c>
      <c r="D304" s="430"/>
      <c r="E304" s="822" t="s">
        <v>9</v>
      </c>
      <c r="F304" s="825"/>
      <c r="G304" s="822" t="s">
        <v>9</v>
      </c>
      <c r="H304" s="830">
        <f t="shared" ref="H304:H309" si="2">F304*C304</f>
        <v>0</v>
      </c>
      <c r="I304" s="826">
        <f t="shared" ref="I304:I309" si="3">H304</f>
        <v>0</v>
      </c>
      <c r="J304" s="826"/>
      <c r="K304" s="827"/>
    </row>
    <row r="305" spans="1:11" s="828" customFormat="1" ht="18" hidden="1" customHeight="1">
      <c r="A305" s="822"/>
      <c r="B305" s="421" t="s">
        <v>495</v>
      </c>
      <c r="C305" s="824">
        <f t="shared" si="1"/>
        <v>0</v>
      </c>
      <c r="D305" s="430"/>
      <c r="E305" s="822" t="s">
        <v>9</v>
      </c>
      <c r="F305" s="825">
        <f>VLOOKUP(B305,BQ!$B$5:$E$120,4,FALSE)</f>
        <v>2130000</v>
      </c>
      <c r="G305" s="822" t="s">
        <v>9</v>
      </c>
      <c r="H305" s="830">
        <f t="shared" si="2"/>
        <v>0</v>
      </c>
      <c r="I305" s="826">
        <f t="shared" si="3"/>
        <v>0</v>
      </c>
      <c r="J305" s="826"/>
      <c r="K305" s="827"/>
    </row>
    <row r="306" spans="1:11" s="828" customFormat="1" ht="18" hidden="1" customHeight="1">
      <c r="A306" s="822"/>
      <c r="B306" s="421" t="s">
        <v>638</v>
      </c>
      <c r="C306" s="824">
        <f t="shared" si="1"/>
        <v>0</v>
      </c>
      <c r="D306" s="430"/>
      <c r="E306" s="822" t="s">
        <v>9</v>
      </c>
      <c r="F306" s="825">
        <f>VLOOKUP(B306,BQ!$B$5:$E$120,4,FALSE)</f>
        <v>1930000</v>
      </c>
      <c r="G306" s="822" t="s">
        <v>9</v>
      </c>
      <c r="H306" s="830">
        <f t="shared" si="2"/>
        <v>0</v>
      </c>
      <c r="I306" s="826">
        <f t="shared" si="3"/>
        <v>0</v>
      </c>
      <c r="J306" s="826"/>
      <c r="K306" s="827"/>
    </row>
    <row r="307" spans="1:11" s="828" customFormat="1" ht="18" hidden="1" customHeight="1">
      <c r="A307" s="822"/>
      <c r="B307" s="421" t="s">
        <v>494</v>
      </c>
      <c r="C307" s="824">
        <f t="shared" si="1"/>
        <v>0</v>
      </c>
      <c r="D307" s="430"/>
      <c r="E307" s="822" t="s">
        <v>9</v>
      </c>
      <c r="F307" s="825">
        <f>VLOOKUP(B307,BQ!$B$5:$E$120,4,FALSE)</f>
        <v>1640000</v>
      </c>
      <c r="G307" s="822" t="s">
        <v>9</v>
      </c>
      <c r="H307" s="830">
        <f t="shared" si="2"/>
        <v>0</v>
      </c>
      <c r="I307" s="826">
        <f t="shared" si="3"/>
        <v>0</v>
      </c>
      <c r="J307" s="826"/>
      <c r="K307" s="827"/>
    </row>
    <row r="308" spans="1:11" ht="18" hidden="1" customHeight="1">
      <c r="A308" s="302"/>
      <c r="B308" s="421" t="s">
        <v>527</v>
      </c>
      <c r="C308" s="329">
        <f t="shared" si="1"/>
        <v>0</v>
      </c>
      <c r="D308" s="430">
        <f>Detail!K413*1.05/1000</f>
        <v>0</v>
      </c>
      <c r="E308" s="302" t="s">
        <v>9</v>
      </c>
      <c r="F308" s="301">
        <f>VLOOKUP(B308,BQ!$B$5:$E$120,4,FALSE)</f>
        <v>3450000</v>
      </c>
      <c r="G308" s="302" t="s">
        <v>9</v>
      </c>
      <c r="H308" s="698">
        <f t="shared" si="2"/>
        <v>0</v>
      </c>
      <c r="I308" s="710">
        <f t="shared" si="3"/>
        <v>0</v>
      </c>
      <c r="J308" s="710"/>
    </row>
    <row r="309" spans="1:11" s="828" customFormat="1" ht="23.15" hidden="1" customHeight="1">
      <c r="A309" s="822"/>
      <c r="B309" s="831" t="s">
        <v>20</v>
      </c>
      <c r="C309" s="824">
        <f t="shared" si="1"/>
        <v>0</v>
      </c>
      <c r="D309" s="430"/>
      <c r="E309" s="822" t="s">
        <v>52</v>
      </c>
      <c r="F309" s="825">
        <f>VLOOKUP(B309,BQ!$B$5:$E$120,4,FALSE)</f>
        <v>9200</v>
      </c>
      <c r="G309" s="822" t="s">
        <v>52</v>
      </c>
      <c r="H309" s="830">
        <f t="shared" si="2"/>
        <v>0</v>
      </c>
      <c r="I309" s="826">
        <f t="shared" si="3"/>
        <v>0</v>
      </c>
      <c r="J309" s="826"/>
      <c r="K309" s="827"/>
    </row>
    <row r="310" spans="1:11" s="828" customFormat="1" ht="23.15" hidden="1" customHeight="1">
      <c r="A310" s="822"/>
      <c r="B310" s="831"/>
      <c r="C310" s="824"/>
      <c r="D310" s="430"/>
      <c r="E310" s="822"/>
      <c r="F310" s="825"/>
      <c r="G310" s="822"/>
      <c r="H310" s="830">
        <f>SUM(H304:H309)</f>
        <v>0</v>
      </c>
      <c r="I310" s="826"/>
      <c r="J310" s="826"/>
      <c r="K310" s="827"/>
    </row>
    <row r="311" spans="1:11" s="828" customFormat="1" ht="23.15" hidden="1" customHeight="1">
      <c r="A311" s="822"/>
      <c r="B311" s="829" t="s">
        <v>185</v>
      </c>
      <c r="C311" s="824"/>
      <c r="D311" s="430"/>
      <c r="E311" s="822"/>
      <c r="F311" s="825"/>
      <c r="G311" s="822"/>
      <c r="H311" s="830"/>
      <c r="I311" s="826"/>
      <c r="J311" s="826"/>
      <c r="K311" s="827"/>
    </row>
    <row r="312" spans="1:11" s="828" customFormat="1" ht="23.15" hidden="1" customHeight="1">
      <c r="A312" s="822"/>
      <c r="B312" s="823" t="s">
        <v>242</v>
      </c>
      <c r="C312" s="824">
        <f>ROUND(D312,2)</f>
        <v>0</v>
      </c>
      <c r="D312" s="430"/>
      <c r="E312" s="822" t="s">
        <v>1</v>
      </c>
      <c r="F312" s="825">
        <f>VLOOKUP(B312,BQ!$B$6:$E$120,4,FALSE)</f>
        <v>30250.000000000004</v>
      </c>
      <c r="G312" s="822" t="s">
        <v>1</v>
      </c>
      <c r="H312" s="830">
        <f>F312*C312</f>
        <v>0</v>
      </c>
      <c r="I312" s="826"/>
      <c r="J312" s="826">
        <f>H312</f>
        <v>0</v>
      </c>
      <c r="K312" s="827"/>
    </row>
    <row r="313" spans="1:11" s="828" customFormat="1" ht="23.15" hidden="1" customHeight="1">
      <c r="A313" s="822"/>
      <c r="B313" s="823" t="s">
        <v>67</v>
      </c>
      <c r="C313" s="824">
        <f>ROUND(D313,2)</f>
        <v>0</v>
      </c>
      <c r="D313" s="430"/>
      <c r="E313" s="822" t="s">
        <v>1</v>
      </c>
      <c r="F313" s="825">
        <f>VLOOKUP(B313,BQ!$B$6:$E$120,4,FALSE)</f>
        <v>21780</v>
      </c>
      <c r="G313" s="822" t="s">
        <v>1</v>
      </c>
      <c r="H313" s="830">
        <f>F313*C313</f>
        <v>0</v>
      </c>
      <c r="I313" s="826"/>
      <c r="J313" s="826">
        <f>H313</f>
        <v>0</v>
      </c>
      <c r="K313" s="827"/>
    </row>
    <row r="314" spans="1:11" s="828" customFormat="1" ht="23.15" hidden="1" customHeight="1" thickBot="1">
      <c r="A314" s="822"/>
      <c r="B314" s="823"/>
      <c r="C314" s="824"/>
      <c r="D314" s="430"/>
      <c r="E314" s="822"/>
      <c r="F314" s="832"/>
      <c r="G314" s="833"/>
      <c r="H314" s="834">
        <f>SUM(H312:H313)</f>
        <v>0</v>
      </c>
      <c r="I314" s="826"/>
      <c r="J314" s="826"/>
      <c r="K314" s="827"/>
    </row>
    <row r="315" spans="1:11" s="828" customFormat="1" ht="23.15" hidden="1" customHeight="1" thickBot="1">
      <c r="A315" s="822"/>
      <c r="B315" s="823"/>
      <c r="C315" s="824"/>
      <c r="D315" s="430"/>
      <c r="E315" s="822"/>
      <c r="F315" s="367" t="s">
        <v>266</v>
      </c>
      <c r="G315" s="835" t="s">
        <v>221</v>
      </c>
      <c r="H315" s="836">
        <f>H314+H310</f>
        <v>0</v>
      </c>
      <c r="I315" s="826"/>
      <c r="J315" s="826"/>
      <c r="K315" s="827"/>
    </row>
    <row r="316" spans="1:11" s="828" customFormat="1" ht="23.15" hidden="1" customHeight="1" thickTop="1">
      <c r="A316" s="822"/>
      <c r="B316" s="823"/>
      <c r="C316" s="824"/>
      <c r="D316" s="430"/>
      <c r="E316" s="822"/>
      <c r="F316" s="860"/>
      <c r="G316" s="861"/>
      <c r="H316" s="862"/>
      <c r="I316" s="826"/>
      <c r="J316" s="826"/>
      <c r="K316" s="827"/>
    </row>
    <row r="317" spans="1:11" ht="23.15" customHeight="1">
      <c r="A317" s="302"/>
      <c r="B317" s="438" t="s">
        <v>639</v>
      </c>
      <c r="C317" s="428">
        <f>D317</f>
        <v>1.1310671949608857</v>
      </c>
      <c r="D317" s="439">
        <f>(Detail!K405)/1000</f>
        <v>1.1310671949608857</v>
      </c>
      <c r="E317" s="312" t="s">
        <v>9</v>
      </c>
      <c r="F317" s="301"/>
      <c r="G317" s="302"/>
      <c r="H317" s="863">
        <f>H329</f>
        <v>3473281.4876595885</v>
      </c>
      <c r="I317" s="710"/>
      <c r="J317" s="710"/>
    </row>
    <row r="318" spans="1:11" ht="23.15" customHeight="1">
      <c r="A318" s="302"/>
      <c r="B318" s="429" t="s">
        <v>65</v>
      </c>
      <c r="C318" s="329"/>
      <c r="D318" s="430">
        <f>SUM(D319:D321)</f>
        <v>1.18762055470893</v>
      </c>
      <c r="E318" s="302"/>
      <c r="F318" s="301"/>
      <c r="G318" s="302"/>
      <c r="H318" s="698"/>
      <c r="I318" s="710"/>
      <c r="J318" s="710"/>
    </row>
    <row r="319" spans="1:11" ht="18" customHeight="1">
      <c r="A319" s="302"/>
      <c r="B319" s="421" t="s">
        <v>495</v>
      </c>
      <c r="C319" s="329">
        <f>D319</f>
        <v>1.18762055470893</v>
      </c>
      <c r="D319" s="430">
        <f>Detail!K405*1.05/1000</f>
        <v>1.18762055470893</v>
      </c>
      <c r="E319" s="302" t="s">
        <v>9</v>
      </c>
      <c r="F319" s="325">
        <f>VLOOKUP(B319,BQ!$B$6:$E$112,4,FALSE)</f>
        <v>2130000</v>
      </c>
      <c r="G319" s="302" t="s">
        <v>9</v>
      </c>
      <c r="H319" s="698">
        <f>F319*C319</f>
        <v>2529631.7815300208</v>
      </c>
      <c r="I319" s="710">
        <f>H319</f>
        <v>2529631.7815300208</v>
      </c>
      <c r="J319" s="710"/>
    </row>
    <row r="320" spans="1:11" ht="18" customHeight="1">
      <c r="A320" s="302"/>
      <c r="B320" s="421" t="s">
        <v>638</v>
      </c>
      <c r="C320" s="329">
        <f>D320</f>
        <v>0</v>
      </c>
      <c r="D320" s="430"/>
      <c r="E320" s="302" t="s">
        <v>9</v>
      </c>
      <c r="F320" s="325">
        <f>VLOOKUP(B320,BQ!$B$6:$E$112,4,FALSE)</f>
        <v>1930000</v>
      </c>
      <c r="G320" s="302" t="s">
        <v>9</v>
      </c>
      <c r="H320" s="698">
        <f>F320*C320</f>
        <v>0</v>
      </c>
      <c r="I320" s="710">
        <f>H320</f>
        <v>0</v>
      </c>
      <c r="J320" s="710"/>
    </row>
    <row r="321" spans="1:10" ht="18" customHeight="1">
      <c r="A321" s="302"/>
      <c r="B321" s="421" t="s">
        <v>494</v>
      </c>
      <c r="C321" s="329">
        <f>D321</f>
        <v>0</v>
      </c>
      <c r="D321" s="430"/>
      <c r="E321" s="302" t="s">
        <v>9</v>
      </c>
      <c r="F321" s="325">
        <f>VLOOKUP(B321,BQ!$B$6:$E$112,4,FALSE)</f>
        <v>1640000</v>
      </c>
      <c r="G321" s="302" t="s">
        <v>9</v>
      </c>
      <c r="H321" s="698">
        <f>F321*C321</f>
        <v>0</v>
      </c>
      <c r="I321" s="710">
        <f>H321</f>
        <v>0</v>
      </c>
      <c r="J321" s="710"/>
    </row>
    <row r="322" spans="1:10" ht="18" customHeight="1">
      <c r="A322" s="302"/>
      <c r="B322" s="421" t="s">
        <v>527</v>
      </c>
      <c r="C322" s="329">
        <f>D322</f>
        <v>0</v>
      </c>
      <c r="D322" s="430"/>
      <c r="E322" s="302" t="s">
        <v>9</v>
      </c>
      <c r="F322" s="325">
        <f>VLOOKUP(B322,BQ!$B$6:$E$112,4,FALSE)</f>
        <v>3450000</v>
      </c>
      <c r="G322" s="302" t="s">
        <v>9</v>
      </c>
      <c r="H322" s="698">
        <f>F322*C322</f>
        <v>0</v>
      </c>
      <c r="I322" s="710">
        <f>H322</f>
        <v>0</v>
      </c>
      <c r="J322" s="710"/>
    </row>
    <row r="323" spans="1:10" ht="23.15" customHeight="1">
      <c r="A323" s="302"/>
      <c r="B323" s="421" t="s">
        <v>20</v>
      </c>
      <c r="C323" s="329">
        <f>D323</f>
        <v>6.5978919706051666</v>
      </c>
      <c r="D323" s="430">
        <f>((D317*20)/3.6)*1.05</f>
        <v>6.5978919706051666</v>
      </c>
      <c r="E323" s="302" t="s">
        <v>52</v>
      </c>
      <c r="F323" s="325">
        <f>VLOOKUP(B323,BQ!$B$6:$E$112,4,FALSE)</f>
        <v>9200</v>
      </c>
      <c r="G323" s="302" t="s">
        <v>52</v>
      </c>
      <c r="H323" s="698">
        <f>F323*C323</f>
        <v>60700.606129567532</v>
      </c>
      <c r="I323" s="710">
        <f>H323</f>
        <v>60700.606129567532</v>
      </c>
      <c r="J323" s="710"/>
    </row>
    <row r="324" spans="1:10" ht="23.15" customHeight="1">
      <c r="A324" s="302"/>
      <c r="B324" s="421"/>
      <c r="C324" s="329"/>
      <c r="D324" s="430"/>
      <c r="E324" s="302"/>
      <c r="F324" s="301"/>
      <c r="G324" s="302"/>
      <c r="H324" s="698">
        <f>SUM(H319:H323)</f>
        <v>2590332.3876595884</v>
      </c>
      <c r="I324" s="710"/>
      <c r="J324" s="710"/>
    </row>
    <row r="325" spans="1:10" ht="23.15" customHeight="1">
      <c r="A325" s="302"/>
      <c r="B325" s="429" t="s">
        <v>185</v>
      </c>
      <c r="C325" s="329"/>
      <c r="D325" s="430"/>
      <c r="E325" s="302"/>
      <c r="F325" s="301"/>
      <c r="G325" s="302"/>
      <c r="H325" s="698"/>
      <c r="I325" s="710"/>
      <c r="J325" s="710"/>
    </row>
    <row r="326" spans="1:10" ht="23.15" customHeight="1">
      <c r="A326" s="302"/>
      <c r="B326" s="303" t="s">
        <v>242</v>
      </c>
      <c r="C326" s="329">
        <f>ROUND(D326,2)</f>
        <v>16.97</v>
      </c>
      <c r="D326" s="430">
        <f>D317*20*0.75</f>
        <v>16.966007924413283</v>
      </c>
      <c r="E326" s="302" t="s">
        <v>1</v>
      </c>
      <c r="F326" s="325">
        <f>VLOOKUP(B326,BQ!$B$6:$E$112,4,FALSE)</f>
        <v>30250.000000000004</v>
      </c>
      <c r="G326" s="302" t="s">
        <v>1</v>
      </c>
      <c r="H326" s="698">
        <f>F326*C326</f>
        <v>513342.5</v>
      </c>
      <c r="I326" s="710"/>
      <c r="J326" s="710">
        <f>H326</f>
        <v>513342.5</v>
      </c>
    </row>
    <row r="327" spans="1:10" ht="23.15" customHeight="1">
      <c r="A327" s="302"/>
      <c r="B327" s="303" t="s">
        <v>67</v>
      </c>
      <c r="C327" s="329">
        <f>ROUND(D327,2)</f>
        <v>16.97</v>
      </c>
      <c r="D327" s="430">
        <f>D317*20*0.75</f>
        <v>16.966007924413283</v>
      </c>
      <c r="E327" s="302" t="s">
        <v>1</v>
      </c>
      <c r="F327" s="325">
        <f>VLOOKUP(B327,BQ!$B$6:$E$112,4,FALSE)</f>
        <v>21780</v>
      </c>
      <c r="G327" s="302" t="s">
        <v>1</v>
      </c>
      <c r="H327" s="698">
        <f>F327*C327</f>
        <v>369606.6</v>
      </c>
      <c r="I327" s="710"/>
      <c r="J327" s="710">
        <f>H327</f>
        <v>369606.6</v>
      </c>
    </row>
    <row r="328" spans="1:10" ht="23.15" customHeight="1" thickBot="1">
      <c r="A328" s="302"/>
      <c r="B328" s="303"/>
      <c r="C328" s="329"/>
      <c r="D328" s="430"/>
      <c r="E328" s="302"/>
      <c r="F328" s="449"/>
      <c r="G328" s="447"/>
      <c r="H328" s="703">
        <f>SUM(H326:H327)</f>
        <v>882949.1</v>
      </c>
      <c r="I328" s="710"/>
      <c r="J328" s="710"/>
    </row>
    <row r="329" spans="1:10" ht="23.15" customHeight="1" thickBot="1">
      <c r="A329" s="302"/>
      <c r="B329" s="303"/>
      <c r="C329" s="329"/>
      <c r="D329" s="430"/>
      <c r="E329" s="302"/>
      <c r="F329" s="555" t="s">
        <v>266</v>
      </c>
      <c r="G329" s="503" t="s">
        <v>221</v>
      </c>
      <c r="H329" s="700">
        <f>H328+H324</f>
        <v>3473281.4876595885</v>
      </c>
      <c r="I329" s="710"/>
      <c r="J329" s="710"/>
    </row>
    <row r="330" spans="1:10" ht="23.15" customHeight="1" thickTop="1">
      <c r="A330" s="302"/>
      <c r="B330" s="303"/>
      <c r="C330" s="329"/>
      <c r="D330" s="430"/>
      <c r="E330" s="302"/>
      <c r="F330" s="301"/>
      <c r="G330" s="302"/>
      <c r="H330" s="863"/>
      <c r="I330" s="710"/>
      <c r="J330" s="710"/>
    </row>
    <row r="331" spans="1:10" ht="23.15" customHeight="1">
      <c r="A331" s="302"/>
      <c r="B331" s="438" t="s">
        <v>640</v>
      </c>
      <c r="C331" s="428">
        <f>D331</f>
        <v>1.3135706827111575</v>
      </c>
      <c r="D331" s="439">
        <f>(Detail!K445+Detail!K447+Detail!K449)/1000</f>
        <v>1.3135706827111575</v>
      </c>
      <c r="E331" s="312" t="s">
        <v>9</v>
      </c>
      <c r="F331" s="301"/>
      <c r="G331" s="302"/>
      <c r="H331" s="863">
        <f>H343</f>
        <v>3993224.6132967388</v>
      </c>
      <c r="I331" s="710"/>
      <c r="J331" s="710"/>
    </row>
    <row r="332" spans="1:10" ht="23.15" customHeight="1">
      <c r="A332" s="302"/>
      <c r="B332" s="429" t="s">
        <v>65</v>
      </c>
      <c r="C332" s="329"/>
      <c r="D332" s="430">
        <f>SUM(D333:D336)</f>
        <v>1.3792492168467154</v>
      </c>
      <c r="E332" s="302"/>
      <c r="F332" s="301"/>
      <c r="G332" s="302"/>
      <c r="H332" s="698"/>
      <c r="I332" s="710"/>
      <c r="J332" s="710"/>
    </row>
    <row r="333" spans="1:10" ht="18" customHeight="1">
      <c r="A333" s="302"/>
      <c r="B333" s="421" t="s">
        <v>495</v>
      </c>
      <c r="C333" s="329">
        <f>D333</f>
        <v>1.0422150718818786</v>
      </c>
      <c r="D333" s="430">
        <f>Detail!K445*1.05/1000</f>
        <v>1.0422150718818786</v>
      </c>
      <c r="E333" s="302" t="s">
        <v>9</v>
      </c>
      <c r="F333" s="325">
        <f>VLOOKUP(B333,BQ!$B$6:$E$112,4,FALSE)</f>
        <v>2130000</v>
      </c>
      <c r="G333" s="302" t="s">
        <v>9</v>
      </c>
      <c r="H333" s="698">
        <f>F333*C333</f>
        <v>2219918.1031084014</v>
      </c>
      <c r="I333" s="710">
        <f>H333</f>
        <v>2219918.1031084014</v>
      </c>
      <c r="J333" s="710"/>
    </row>
    <row r="334" spans="1:10" ht="18" customHeight="1">
      <c r="A334" s="302"/>
      <c r="B334" s="421" t="s">
        <v>638</v>
      </c>
      <c r="C334" s="329">
        <f>D334</f>
        <v>0</v>
      </c>
      <c r="D334" s="430"/>
      <c r="E334" s="302" t="s">
        <v>9</v>
      </c>
      <c r="F334" s="325">
        <f>VLOOKUP(B334,BQ!$B$6:$E$112,4,FALSE)</f>
        <v>1930000</v>
      </c>
      <c r="G334" s="302" t="s">
        <v>9</v>
      </c>
      <c r="H334" s="698">
        <f>F334*C334</f>
        <v>0</v>
      </c>
      <c r="I334" s="710">
        <f>H334</f>
        <v>0</v>
      </c>
      <c r="J334" s="710"/>
    </row>
    <row r="335" spans="1:10" ht="19.25" customHeight="1">
      <c r="A335" s="302"/>
      <c r="B335" s="421" t="s">
        <v>494</v>
      </c>
      <c r="C335" s="329">
        <f>D335</f>
        <v>0.26792665741022942</v>
      </c>
      <c r="D335" s="430">
        <f>Detail!K447*1.05/1000</f>
        <v>0.26792665741022942</v>
      </c>
      <c r="E335" s="302" t="s">
        <v>9</v>
      </c>
      <c r="F335" s="325">
        <f>VLOOKUP(B335,BQ!$B$6:$E$112,4,FALSE)</f>
        <v>1640000</v>
      </c>
      <c r="G335" s="302" t="s">
        <v>9</v>
      </c>
      <c r="H335" s="698">
        <f>F335*C335</f>
        <v>439399.71815277624</v>
      </c>
      <c r="I335" s="710">
        <f>H335</f>
        <v>439399.71815277624</v>
      </c>
      <c r="J335" s="710"/>
    </row>
    <row r="336" spans="1:10" ht="18" customHeight="1">
      <c r="A336" s="302"/>
      <c r="B336" s="421" t="s">
        <v>527</v>
      </c>
      <c r="C336" s="329">
        <f>D336</f>
        <v>6.9107487554607341E-2</v>
      </c>
      <c r="D336" s="430">
        <f>Detail!K449*1.05/1000</f>
        <v>6.9107487554607341E-2</v>
      </c>
      <c r="E336" s="302" t="s">
        <v>9</v>
      </c>
      <c r="F336" s="325">
        <f>VLOOKUP(B336,BQ!$B$6:$E$112,4,FALSE)</f>
        <v>3450000</v>
      </c>
      <c r="G336" s="302" t="s">
        <v>9</v>
      </c>
      <c r="H336" s="698">
        <f>F336*C336</f>
        <v>238420.83206339533</v>
      </c>
      <c r="I336" s="710">
        <f>H336</f>
        <v>238420.83206339533</v>
      </c>
      <c r="J336" s="710"/>
    </row>
    <row r="337" spans="1:10" ht="23.15" customHeight="1">
      <c r="A337" s="302"/>
      <c r="B337" s="421" t="s">
        <v>20</v>
      </c>
      <c r="C337" s="329">
        <f>D337</f>
        <v>7.6624956491484184</v>
      </c>
      <c r="D337" s="430">
        <f>(D332*20)/3.6</f>
        <v>7.6624956491484184</v>
      </c>
      <c r="E337" s="302" t="s">
        <v>52</v>
      </c>
      <c r="F337" s="325">
        <f>VLOOKUP(B337,BQ!$B$6:$E$112,4,FALSE)</f>
        <v>9200</v>
      </c>
      <c r="G337" s="302" t="s">
        <v>52</v>
      </c>
      <c r="H337" s="698">
        <f>F337*C337</f>
        <v>70494.959972165452</v>
      </c>
      <c r="I337" s="710">
        <f>H337</f>
        <v>70494.959972165452</v>
      </c>
      <c r="J337" s="710"/>
    </row>
    <row r="338" spans="1:10" ht="23.15" customHeight="1">
      <c r="A338" s="302"/>
      <c r="B338" s="421"/>
      <c r="C338" s="329"/>
      <c r="D338" s="430"/>
      <c r="E338" s="302"/>
      <c r="F338" s="301"/>
      <c r="G338" s="302"/>
      <c r="H338" s="698">
        <f>SUM(H333:H337)</f>
        <v>2968233.6132967388</v>
      </c>
      <c r="I338" s="710"/>
      <c r="J338" s="710"/>
    </row>
    <row r="339" spans="1:10" ht="23.15" customHeight="1">
      <c r="A339" s="302"/>
      <c r="B339" s="429" t="s">
        <v>185</v>
      </c>
      <c r="C339" s="329"/>
      <c r="D339" s="430"/>
      <c r="E339" s="302"/>
      <c r="F339" s="301"/>
      <c r="G339" s="302"/>
      <c r="H339" s="698"/>
      <c r="I339" s="710"/>
      <c r="J339" s="710"/>
    </row>
    <row r="340" spans="1:10" ht="23.15" customHeight="1">
      <c r="A340" s="302"/>
      <c r="B340" s="303" t="s">
        <v>242</v>
      </c>
      <c r="C340" s="329">
        <f>ROUND(D340,2)</f>
        <v>19.7</v>
      </c>
      <c r="D340" s="430">
        <f>D331*20*0.75</f>
        <v>19.703560240667361</v>
      </c>
      <c r="E340" s="302" t="s">
        <v>1</v>
      </c>
      <c r="F340" s="325">
        <f>VLOOKUP(B340,BQ!$B$6:$E$112,4,FALSE)</f>
        <v>30250.000000000004</v>
      </c>
      <c r="G340" s="302" t="s">
        <v>1</v>
      </c>
      <c r="H340" s="698">
        <f>F340*C340</f>
        <v>595925</v>
      </c>
      <c r="I340" s="710"/>
      <c r="J340" s="710">
        <f>H340</f>
        <v>595925</v>
      </c>
    </row>
    <row r="341" spans="1:10" ht="23.15" customHeight="1">
      <c r="A341" s="302"/>
      <c r="B341" s="303" t="s">
        <v>67</v>
      </c>
      <c r="C341" s="329">
        <f>ROUND(D341,2)</f>
        <v>19.7</v>
      </c>
      <c r="D341" s="430">
        <f>D331*20*0.75</f>
        <v>19.703560240667361</v>
      </c>
      <c r="E341" s="302" t="s">
        <v>1</v>
      </c>
      <c r="F341" s="325">
        <f>VLOOKUP(B341,BQ!$B$6:$E$112,4,FALSE)</f>
        <v>21780</v>
      </c>
      <c r="G341" s="302" t="s">
        <v>1</v>
      </c>
      <c r="H341" s="698">
        <f>F341*C341</f>
        <v>429066</v>
      </c>
      <c r="I341" s="710"/>
      <c r="J341" s="710">
        <f>H341</f>
        <v>429066</v>
      </c>
    </row>
    <row r="342" spans="1:10" ht="23.15" customHeight="1" thickBot="1">
      <c r="A342" s="302"/>
      <c r="B342" s="303"/>
      <c r="C342" s="329"/>
      <c r="D342" s="430"/>
      <c r="E342" s="302"/>
      <c r="F342" s="449"/>
      <c r="G342" s="447"/>
      <c r="H342" s="703">
        <f>SUM(H340:H341)</f>
        <v>1024991</v>
      </c>
      <c r="I342" s="710"/>
      <c r="J342" s="710"/>
    </row>
    <row r="343" spans="1:10" ht="23.15" customHeight="1" thickBot="1">
      <c r="A343" s="302"/>
      <c r="B343" s="303"/>
      <c r="C343" s="329"/>
      <c r="D343" s="430"/>
      <c r="E343" s="302"/>
      <c r="F343" s="555" t="s">
        <v>266</v>
      </c>
      <c r="G343" s="503" t="s">
        <v>221</v>
      </c>
      <c r="H343" s="700">
        <f>H342+H338</f>
        <v>3993224.6132967388</v>
      </c>
      <c r="I343" s="710"/>
      <c r="J343" s="710"/>
    </row>
    <row r="344" spans="1:10" ht="23.15" customHeight="1" thickTop="1">
      <c r="A344" s="302"/>
      <c r="B344" s="303"/>
      <c r="C344" s="329"/>
      <c r="D344" s="430"/>
      <c r="E344" s="302"/>
      <c r="F344" s="301"/>
      <c r="G344" s="302"/>
      <c r="H344" s="863"/>
      <c r="I344" s="710"/>
      <c r="J344" s="710"/>
    </row>
    <row r="345" spans="1:10" ht="23.15" customHeight="1">
      <c r="A345" s="302"/>
      <c r="B345" s="438" t="s">
        <v>641</v>
      </c>
      <c r="C345" s="428">
        <f>D345</f>
        <v>1.5798140363710249</v>
      </c>
      <c r="D345" s="439">
        <f>(Detail!K472+Detail!K474+Detail!K476)/1000</f>
        <v>1.5798140363710249</v>
      </c>
      <c r="E345" s="312" t="s">
        <v>9</v>
      </c>
      <c r="F345" s="301"/>
      <c r="G345" s="302"/>
      <c r="H345" s="863">
        <f>H357</f>
        <v>4734644.4256261075</v>
      </c>
      <c r="I345" s="710"/>
      <c r="J345" s="710"/>
    </row>
    <row r="346" spans="1:10" ht="23.15" customHeight="1">
      <c r="A346" s="302"/>
      <c r="B346" s="429" t="s">
        <v>65</v>
      </c>
      <c r="C346" s="329"/>
      <c r="D346" s="430">
        <f>SUM(D347:D350)</f>
        <v>1.6588047381895761</v>
      </c>
      <c r="E346" s="302"/>
      <c r="F346" s="301"/>
      <c r="G346" s="302"/>
      <c r="H346" s="698"/>
      <c r="I346" s="710"/>
      <c r="J346" s="710"/>
    </row>
    <row r="347" spans="1:10" ht="18" customHeight="1">
      <c r="A347" s="302"/>
      <c r="B347" s="421" t="s">
        <v>495</v>
      </c>
      <c r="C347" s="329">
        <f>D347</f>
        <v>0.97431088751171158</v>
      </c>
      <c r="D347" s="430">
        <f>Detail!K472*1.05/1000</f>
        <v>0.97431088751171158</v>
      </c>
      <c r="E347" s="302" t="s">
        <v>9</v>
      </c>
      <c r="F347" s="325">
        <f>VLOOKUP(B347,BQ!$B$6:$E$112,4,FALSE)</f>
        <v>2130000</v>
      </c>
      <c r="G347" s="302" t="s">
        <v>9</v>
      </c>
      <c r="H347" s="698">
        <f>F347*C347</f>
        <v>2075282.1903999457</v>
      </c>
      <c r="I347" s="710">
        <f>H347</f>
        <v>2075282.1903999457</v>
      </c>
      <c r="J347" s="710"/>
    </row>
    <row r="348" spans="1:10" ht="18" customHeight="1">
      <c r="A348" s="302"/>
      <c r="B348" s="421" t="s">
        <v>638</v>
      </c>
      <c r="C348" s="329">
        <f>D348</f>
        <v>0</v>
      </c>
      <c r="D348" s="430"/>
      <c r="E348" s="302" t="s">
        <v>9</v>
      </c>
      <c r="F348" s="325">
        <f>VLOOKUP(B348,BQ!$B$6:$E$112,4,FALSE)</f>
        <v>1930000</v>
      </c>
      <c r="G348" s="302" t="s">
        <v>9</v>
      </c>
      <c r="H348" s="698">
        <f>F348*C348</f>
        <v>0</v>
      </c>
      <c r="I348" s="710">
        <f>H348</f>
        <v>0</v>
      </c>
      <c r="J348" s="710"/>
    </row>
    <row r="349" spans="1:10" ht="18" customHeight="1">
      <c r="A349" s="302"/>
      <c r="B349" s="421" t="s">
        <v>494</v>
      </c>
      <c r="C349" s="329">
        <f>D349</f>
        <v>0.56355574745730175</v>
      </c>
      <c r="D349" s="430">
        <f>Detail!K474*1.05/1000</f>
        <v>0.56355574745730175</v>
      </c>
      <c r="E349" s="302" t="s">
        <v>9</v>
      </c>
      <c r="F349" s="325">
        <f>VLOOKUP(B349,BQ!$B$6:$E$112,4,FALSE)</f>
        <v>1640000</v>
      </c>
      <c r="G349" s="302" t="s">
        <v>9</v>
      </c>
      <c r="H349" s="698">
        <f>F349*C349</f>
        <v>924231.42582997482</v>
      </c>
      <c r="I349" s="710">
        <f>H349</f>
        <v>924231.42582997482</v>
      </c>
      <c r="J349" s="710"/>
    </row>
    <row r="350" spans="1:10" ht="18" customHeight="1">
      <c r="A350" s="302"/>
      <c r="B350" s="421" t="s">
        <v>527</v>
      </c>
      <c r="C350" s="329">
        <f>D350</f>
        <v>0.12093810322056284</v>
      </c>
      <c r="D350" s="430">
        <f>Detail!K476*1.05/1000</f>
        <v>0.12093810322056284</v>
      </c>
      <c r="E350" s="302" t="s">
        <v>9</v>
      </c>
      <c r="F350" s="325">
        <f>VLOOKUP(B350,BQ!$B$6:$E$112,4,FALSE)</f>
        <v>3450000</v>
      </c>
      <c r="G350" s="302" t="s">
        <v>9</v>
      </c>
      <c r="H350" s="698">
        <f>F350*C350</f>
        <v>417236.45611094177</v>
      </c>
      <c r="I350" s="710">
        <f>H350</f>
        <v>417236.45611094177</v>
      </c>
      <c r="J350" s="710"/>
    </row>
    <row r="351" spans="1:10" ht="23.15" customHeight="1">
      <c r="A351" s="302"/>
      <c r="B351" s="421" t="s">
        <v>20</v>
      </c>
      <c r="C351" s="329">
        <f>D351</f>
        <v>9.2155818788309798</v>
      </c>
      <c r="D351" s="430">
        <f>(D346*20)/3.6</f>
        <v>9.2155818788309798</v>
      </c>
      <c r="E351" s="302" t="s">
        <v>52</v>
      </c>
      <c r="F351" s="325">
        <f>VLOOKUP(B351,BQ!$B$6:$E$112,4,FALSE)</f>
        <v>9200</v>
      </c>
      <c r="G351" s="302" t="s">
        <v>52</v>
      </c>
      <c r="H351" s="698">
        <f>F351*C351</f>
        <v>84783.353285245015</v>
      </c>
      <c r="I351" s="710">
        <f>H351</f>
        <v>84783.353285245015</v>
      </c>
      <c r="J351" s="710"/>
    </row>
    <row r="352" spans="1:10" ht="23.15" customHeight="1">
      <c r="A352" s="302"/>
      <c r="B352" s="421"/>
      <c r="C352" s="329"/>
      <c r="D352" s="430"/>
      <c r="E352" s="302"/>
      <c r="F352" s="301"/>
      <c r="G352" s="302"/>
      <c r="H352" s="698">
        <f>SUM(H347:H351)</f>
        <v>3501533.4256261075</v>
      </c>
      <c r="I352" s="710"/>
      <c r="J352" s="710"/>
    </row>
    <row r="353" spans="1:10" ht="23.15" customHeight="1">
      <c r="A353" s="302"/>
      <c r="B353" s="429" t="s">
        <v>185</v>
      </c>
      <c r="C353" s="329"/>
      <c r="D353" s="430"/>
      <c r="E353" s="302"/>
      <c r="F353" s="301"/>
      <c r="G353" s="302"/>
      <c r="H353" s="698"/>
      <c r="I353" s="710"/>
      <c r="J353" s="710"/>
    </row>
    <row r="354" spans="1:10" ht="23.15" customHeight="1">
      <c r="A354" s="302"/>
      <c r="B354" s="303" t="s">
        <v>242</v>
      </c>
      <c r="C354" s="329">
        <f>ROUND(D354,2)</f>
        <v>23.7</v>
      </c>
      <c r="D354" s="430">
        <f>D345*20*0.75</f>
        <v>23.697210545565376</v>
      </c>
      <c r="E354" s="302" t="s">
        <v>1</v>
      </c>
      <c r="F354" s="325">
        <f>VLOOKUP(B354,BQ!$B$6:$E$112,4,FALSE)</f>
        <v>30250.000000000004</v>
      </c>
      <c r="G354" s="302" t="s">
        <v>1</v>
      </c>
      <c r="H354" s="698">
        <f>F354*C354</f>
        <v>716925.00000000012</v>
      </c>
      <c r="I354" s="710"/>
      <c r="J354" s="710">
        <f>H354</f>
        <v>716925.00000000012</v>
      </c>
    </row>
    <row r="355" spans="1:10" ht="23.15" customHeight="1">
      <c r="A355" s="302"/>
      <c r="B355" s="303" t="s">
        <v>67</v>
      </c>
      <c r="C355" s="329">
        <f>ROUND(D355,2)</f>
        <v>23.7</v>
      </c>
      <c r="D355" s="430">
        <f>D345*20*0.75</f>
        <v>23.697210545565376</v>
      </c>
      <c r="E355" s="302" t="s">
        <v>1</v>
      </c>
      <c r="F355" s="325">
        <f>VLOOKUP(B355,BQ!$B$6:$E$112,4,FALSE)</f>
        <v>21780</v>
      </c>
      <c r="G355" s="302" t="s">
        <v>1</v>
      </c>
      <c r="H355" s="698">
        <f>F355*C355</f>
        <v>516186</v>
      </c>
      <c r="I355" s="710"/>
      <c r="J355" s="710">
        <f>H355</f>
        <v>516186</v>
      </c>
    </row>
    <row r="356" spans="1:10" ht="23.15" customHeight="1" thickBot="1">
      <c r="A356" s="302"/>
      <c r="B356" s="303"/>
      <c r="C356" s="329"/>
      <c r="D356" s="430"/>
      <c r="E356" s="302"/>
      <c r="F356" s="449"/>
      <c r="G356" s="447"/>
      <c r="H356" s="703">
        <f>SUM(H354:H355)</f>
        <v>1233111</v>
      </c>
      <c r="I356" s="710"/>
      <c r="J356" s="710"/>
    </row>
    <row r="357" spans="1:10" ht="23.15" customHeight="1" thickBot="1">
      <c r="A357" s="302"/>
      <c r="B357" s="303"/>
      <c r="C357" s="329"/>
      <c r="D357" s="430"/>
      <c r="E357" s="302"/>
      <c r="F357" s="555" t="s">
        <v>266</v>
      </c>
      <c r="G357" s="503" t="s">
        <v>221</v>
      </c>
      <c r="H357" s="700">
        <f>H356+H352</f>
        <v>4734644.4256261075</v>
      </c>
      <c r="I357" s="710"/>
      <c r="J357" s="710"/>
    </row>
    <row r="358" spans="1:10" ht="23.15" customHeight="1" thickTop="1">
      <c r="A358" s="302"/>
      <c r="B358" s="303"/>
      <c r="C358" s="329"/>
      <c r="D358" s="430"/>
      <c r="E358" s="302"/>
      <c r="F358" s="301"/>
      <c r="G358" s="302"/>
      <c r="H358" s="863"/>
      <c r="I358" s="710"/>
      <c r="J358" s="710"/>
    </row>
    <row r="359" spans="1:10" ht="23.15" customHeight="1">
      <c r="A359" s="302"/>
      <c r="B359" s="438" t="s">
        <v>832</v>
      </c>
      <c r="C359" s="428">
        <f>D359</f>
        <v>2.1829888758897407</v>
      </c>
      <c r="D359" s="439">
        <f>(Detail!K644+Detail!K646+Detail!K648)/1000</f>
        <v>2.1829888758897407</v>
      </c>
      <c r="E359" s="312" t="s">
        <v>9</v>
      </c>
      <c r="F359" s="301"/>
      <c r="G359" s="302"/>
      <c r="H359" s="863">
        <f>H371</f>
        <v>6347458.0654095514</v>
      </c>
      <c r="I359" s="710"/>
      <c r="J359" s="710"/>
    </row>
    <row r="360" spans="1:10" ht="23.15" customHeight="1">
      <c r="A360" s="302"/>
      <c r="B360" s="429" t="s">
        <v>65</v>
      </c>
      <c r="C360" s="329"/>
      <c r="D360" s="430">
        <f>SUM(D361:D363)</f>
        <v>2.2921383196842275</v>
      </c>
      <c r="E360" s="302"/>
      <c r="F360" s="301"/>
      <c r="G360" s="302"/>
      <c r="H360" s="698"/>
      <c r="I360" s="710"/>
      <c r="J360" s="710"/>
    </row>
    <row r="361" spans="1:10" ht="18" customHeight="1">
      <c r="A361" s="302"/>
      <c r="B361" s="421" t="s">
        <v>495</v>
      </c>
      <c r="C361" s="329">
        <f>D361</f>
        <v>1.5617964006577338</v>
      </c>
      <c r="D361" s="430">
        <f>Detail!K644*1.05/1000</f>
        <v>1.5617964006577338</v>
      </c>
      <c r="E361" s="302" t="s">
        <v>9</v>
      </c>
      <c r="F361" s="325">
        <f>VLOOKUP(B361,BQ!$B$6:$E$112,4,FALSE)</f>
        <v>2130000</v>
      </c>
      <c r="G361" s="302" t="s">
        <v>9</v>
      </c>
      <c r="H361" s="698">
        <f>F361*C361</f>
        <v>3326626.3334009731</v>
      </c>
      <c r="I361" s="710">
        <f>H361</f>
        <v>3326626.3334009731</v>
      </c>
      <c r="J361" s="710"/>
    </row>
    <row r="362" spans="1:10" ht="18" customHeight="1">
      <c r="A362" s="302"/>
      <c r="B362" s="421" t="s">
        <v>638</v>
      </c>
      <c r="C362" s="329">
        <f>D362</f>
        <v>8.4656843645230101E-3</v>
      </c>
      <c r="D362" s="444">
        <f>Detail!K646*1.05/1000</f>
        <v>8.4656843645230101E-3</v>
      </c>
      <c r="E362" s="302" t="s">
        <v>9</v>
      </c>
      <c r="F362" s="325">
        <f>VLOOKUP(B362,BQ!$B$6:$E$112,4,FALSE)</f>
        <v>1930000</v>
      </c>
      <c r="G362" s="302" t="s">
        <v>9</v>
      </c>
      <c r="H362" s="698">
        <f>F362*C362</f>
        <v>16338.77082352941</v>
      </c>
      <c r="I362" s="710">
        <f>H362</f>
        <v>16338.77082352941</v>
      </c>
      <c r="J362" s="710"/>
    </row>
    <row r="363" spans="1:10" ht="18" customHeight="1">
      <c r="A363" s="302"/>
      <c r="B363" s="421" t="s">
        <v>494</v>
      </c>
      <c r="C363" s="329">
        <f>D363</f>
        <v>0.72187623466197082</v>
      </c>
      <c r="D363" s="430">
        <f>Detail!K648*1.05/1000</f>
        <v>0.72187623466197082</v>
      </c>
      <c r="E363" s="302" t="s">
        <v>9</v>
      </c>
      <c r="F363" s="325">
        <f>VLOOKUP(B363,BQ!$B$6:$E$112,4,FALSE)</f>
        <v>1640000</v>
      </c>
      <c r="G363" s="302" t="s">
        <v>9</v>
      </c>
      <c r="H363" s="698">
        <f>F363*C363</f>
        <v>1183877.024845632</v>
      </c>
      <c r="I363" s="710">
        <f>H363</f>
        <v>1183877.024845632</v>
      </c>
      <c r="J363" s="710"/>
    </row>
    <row r="364" spans="1:10" ht="18" customHeight="1">
      <c r="A364" s="302"/>
      <c r="B364" s="421" t="s">
        <v>527</v>
      </c>
      <c r="C364" s="329">
        <f>D364</f>
        <v>0</v>
      </c>
      <c r="D364" s="430"/>
      <c r="E364" s="302" t="s">
        <v>9</v>
      </c>
      <c r="F364" s="325">
        <f>VLOOKUP(B364,BQ!$B$6:$E$112,4,FALSE)</f>
        <v>3450000</v>
      </c>
      <c r="G364" s="302" t="s">
        <v>9</v>
      </c>
      <c r="H364" s="698">
        <f>F364*C364</f>
        <v>0</v>
      </c>
      <c r="I364" s="710">
        <f>H364</f>
        <v>0</v>
      </c>
      <c r="J364" s="710"/>
    </row>
    <row r="365" spans="1:10" ht="23.15" customHeight="1">
      <c r="A365" s="302"/>
      <c r="B365" s="421" t="s">
        <v>20</v>
      </c>
      <c r="C365" s="329">
        <f>D365</f>
        <v>12.734101776023486</v>
      </c>
      <c r="D365" s="430">
        <f>(D360*20)/3.6</f>
        <v>12.734101776023486</v>
      </c>
      <c r="E365" s="302" t="s">
        <v>52</v>
      </c>
      <c r="F365" s="325">
        <f>VLOOKUP(B365,BQ!$B$6:$E$112,4,FALSE)</f>
        <v>9200</v>
      </c>
      <c r="G365" s="302" t="s">
        <v>52</v>
      </c>
      <c r="H365" s="698">
        <f>F365*C365</f>
        <v>117153.73633941608</v>
      </c>
      <c r="I365" s="710">
        <f>H365</f>
        <v>117153.73633941608</v>
      </c>
      <c r="J365" s="710"/>
    </row>
    <row r="366" spans="1:10" ht="23.15" customHeight="1">
      <c r="A366" s="302"/>
      <c r="B366" s="421"/>
      <c r="C366" s="329"/>
      <c r="D366" s="430"/>
      <c r="E366" s="302"/>
      <c r="F366" s="301"/>
      <c r="G366" s="302"/>
      <c r="H366" s="698">
        <f>SUM(H361:H365)</f>
        <v>4643995.8654095512</v>
      </c>
      <c r="I366" s="710"/>
      <c r="J366" s="710"/>
    </row>
    <row r="367" spans="1:10" ht="23.15" customHeight="1">
      <c r="A367" s="302"/>
      <c r="B367" s="429" t="s">
        <v>185</v>
      </c>
      <c r="C367" s="329"/>
      <c r="D367" s="430"/>
      <c r="E367" s="302"/>
      <c r="F367" s="301"/>
      <c r="G367" s="302"/>
      <c r="H367" s="698"/>
      <c r="I367" s="710"/>
      <c r="J367" s="710"/>
    </row>
    <row r="368" spans="1:10" ht="23.15" customHeight="1">
      <c r="A368" s="302"/>
      <c r="B368" s="303" t="s">
        <v>242</v>
      </c>
      <c r="C368" s="329">
        <f>ROUND(D368,2)</f>
        <v>32.74</v>
      </c>
      <c r="D368" s="430">
        <f>D359*20*0.75</f>
        <v>32.74483313834611</v>
      </c>
      <c r="E368" s="302" t="s">
        <v>1</v>
      </c>
      <c r="F368" s="325">
        <f>VLOOKUP(B368,BQ!$B$6:$E$112,4,FALSE)</f>
        <v>30250.000000000004</v>
      </c>
      <c r="G368" s="302" t="s">
        <v>1</v>
      </c>
      <c r="H368" s="698">
        <f>F368*C368</f>
        <v>990385.00000000023</v>
      </c>
      <c r="I368" s="710"/>
      <c r="J368" s="710">
        <f>H368</f>
        <v>990385.00000000023</v>
      </c>
    </row>
    <row r="369" spans="1:10" ht="23.15" customHeight="1">
      <c r="A369" s="302"/>
      <c r="B369" s="303" t="s">
        <v>67</v>
      </c>
      <c r="C369" s="329">
        <f>ROUND(D369,2)</f>
        <v>32.74</v>
      </c>
      <c r="D369" s="430">
        <f>D359*20*0.75</f>
        <v>32.74483313834611</v>
      </c>
      <c r="E369" s="302" t="s">
        <v>1</v>
      </c>
      <c r="F369" s="325">
        <f>VLOOKUP(B369,BQ!$B$6:$E$112,4,FALSE)</f>
        <v>21780</v>
      </c>
      <c r="G369" s="302" t="s">
        <v>1</v>
      </c>
      <c r="H369" s="698">
        <f>F369*C369</f>
        <v>713077.20000000007</v>
      </c>
      <c r="I369" s="710"/>
      <c r="J369" s="710">
        <f>H369</f>
        <v>713077.20000000007</v>
      </c>
    </row>
    <row r="370" spans="1:10" ht="23.15" customHeight="1" thickBot="1">
      <c r="A370" s="302"/>
      <c r="B370" s="303"/>
      <c r="C370" s="329"/>
      <c r="D370" s="430"/>
      <c r="E370" s="302"/>
      <c r="F370" s="449"/>
      <c r="G370" s="447"/>
      <c r="H370" s="703">
        <f>SUM(H368:H369)</f>
        <v>1703462.2000000002</v>
      </c>
      <c r="I370" s="710"/>
      <c r="J370" s="710"/>
    </row>
    <row r="371" spans="1:10" ht="23.15" customHeight="1" thickBot="1">
      <c r="A371" s="302"/>
      <c r="B371" s="303"/>
      <c r="C371" s="329"/>
      <c r="D371" s="430"/>
      <c r="E371" s="302"/>
      <c r="F371" s="555" t="s">
        <v>266</v>
      </c>
      <c r="G371" s="503" t="s">
        <v>221</v>
      </c>
      <c r="H371" s="700">
        <f>H370+H366</f>
        <v>6347458.0654095514</v>
      </c>
      <c r="I371" s="710"/>
      <c r="J371" s="710"/>
    </row>
    <row r="372" spans="1:10" ht="23.15" customHeight="1" thickTop="1">
      <c r="A372" s="302"/>
      <c r="B372" s="303"/>
      <c r="C372" s="329"/>
      <c r="D372" s="430"/>
      <c r="E372" s="302"/>
      <c r="F372" s="301"/>
      <c r="G372" s="302"/>
      <c r="H372" s="863"/>
      <c r="I372" s="710"/>
      <c r="J372" s="710"/>
    </row>
    <row r="373" spans="1:10" ht="23.15" customHeight="1">
      <c r="A373" s="302"/>
      <c r="B373" s="438" t="s">
        <v>642</v>
      </c>
      <c r="C373" s="428">
        <f>D373</f>
        <v>2.329080009662817</v>
      </c>
      <c r="D373" s="439">
        <f>(Detail!K755+Detail!K757+Detail!K759)/1000</f>
        <v>2.329080009662817</v>
      </c>
      <c r="E373" s="312" t="s">
        <v>9</v>
      </c>
      <c r="F373" s="301"/>
      <c r="G373" s="302"/>
      <c r="H373" s="863">
        <f>H385</f>
        <v>6782100.4740181146</v>
      </c>
      <c r="I373" s="710"/>
      <c r="J373" s="710"/>
    </row>
    <row r="374" spans="1:10" ht="23.15" customHeight="1">
      <c r="A374" s="302"/>
      <c r="B374" s="429" t="s">
        <v>65</v>
      </c>
      <c r="C374" s="329"/>
      <c r="D374" s="430">
        <f>SUM(D375:D377)</f>
        <v>2.4455340101459582</v>
      </c>
      <c r="E374" s="302"/>
      <c r="F374" s="301"/>
      <c r="G374" s="302"/>
      <c r="H374" s="698"/>
      <c r="I374" s="710"/>
      <c r="J374" s="710"/>
    </row>
    <row r="375" spans="1:10" ht="18" customHeight="1">
      <c r="A375" s="302"/>
      <c r="B375" s="421" t="s">
        <v>495</v>
      </c>
      <c r="C375" s="329">
        <f>D375</f>
        <v>1.6908215037962682</v>
      </c>
      <c r="D375" s="430">
        <f>Detail!K755*1.05/1000</f>
        <v>1.6908215037962682</v>
      </c>
      <c r="E375" s="302" t="s">
        <v>9</v>
      </c>
      <c r="F375" s="325">
        <f>VLOOKUP(B375,BQ!$B$6:$E$112,4,FALSE)</f>
        <v>2130000</v>
      </c>
      <c r="G375" s="302" t="s">
        <v>9</v>
      </c>
      <c r="H375" s="698">
        <f>F375*C375</f>
        <v>3601449.8030860513</v>
      </c>
      <c r="I375" s="710">
        <f>H375</f>
        <v>3601449.8030860513</v>
      </c>
      <c r="J375" s="710"/>
    </row>
    <row r="376" spans="1:10" ht="18" customHeight="1">
      <c r="A376" s="302"/>
      <c r="B376" s="421" t="s">
        <v>638</v>
      </c>
      <c r="C376" s="329">
        <f>D376</f>
        <v>0</v>
      </c>
      <c r="D376" s="430">
        <f>Detail!K757*1.05/1000</f>
        <v>0</v>
      </c>
      <c r="E376" s="302" t="s">
        <v>9</v>
      </c>
      <c r="F376" s="325">
        <f>VLOOKUP(B376,BQ!$B$6:$E$112,4,FALSE)</f>
        <v>1930000</v>
      </c>
      <c r="G376" s="302" t="s">
        <v>9</v>
      </c>
      <c r="H376" s="698">
        <f>F376*C376</f>
        <v>0</v>
      </c>
      <c r="I376" s="710">
        <f>H376</f>
        <v>0</v>
      </c>
      <c r="J376" s="710"/>
    </row>
    <row r="377" spans="1:10" ht="18" customHeight="1">
      <c r="A377" s="302"/>
      <c r="B377" s="421" t="s">
        <v>494</v>
      </c>
      <c r="C377" s="329">
        <f>D377</f>
        <v>0.75471250634969</v>
      </c>
      <c r="D377" s="430">
        <f>Detail!K759*1.05/1000</f>
        <v>0.75471250634969</v>
      </c>
      <c r="E377" s="302" t="s">
        <v>9</v>
      </c>
      <c r="F377" s="325">
        <f>VLOOKUP(B377,BQ!$B$6:$E$112,4,FALSE)</f>
        <v>1640000</v>
      </c>
      <c r="G377" s="302" t="s">
        <v>9</v>
      </c>
      <c r="H377" s="698">
        <f>F377*C377</f>
        <v>1237728.5104134916</v>
      </c>
      <c r="I377" s="710">
        <f>H377</f>
        <v>1237728.5104134916</v>
      </c>
      <c r="J377" s="710"/>
    </row>
    <row r="378" spans="1:10" ht="18" customHeight="1">
      <c r="A378" s="302"/>
      <c r="B378" s="421" t="s">
        <v>527</v>
      </c>
      <c r="C378" s="329">
        <f>D378</f>
        <v>0</v>
      </c>
      <c r="D378" s="430"/>
      <c r="E378" s="302" t="s">
        <v>9</v>
      </c>
      <c r="F378" s="325">
        <f>VLOOKUP(B378,BQ!$B$6:$E$112,4,FALSE)</f>
        <v>3450000</v>
      </c>
      <c r="G378" s="302" t="s">
        <v>9</v>
      </c>
      <c r="H378" s="698">
        <f>F378*C378</f>
        <v>0</v>
      </c>
      <c r="I378" s="710">
        <f>H378</f>
        <v>0</v>
      </c>
      <c r="J378" s="710"/>
    </row>
    <row r="379" spans="1:10" ht="23.15" customHeight="1">
      <c r="A379" s="302"/>
      <c r="B379" s="421" t="s">
        <v>20</v>
      </c>
      <c r="C379" s="329">
        <f>D379</f>
        <v>13.586300056366435</v>
      </c>
      <c r="D379" s="430">
        <f>(D374*20)/3.6</f>
        <v>13.586300056366435</v>
      </c>
      <c r="E379" s="302" t="s">
        <v>52</v>
      </c>
      <c r="F379" s="325">
        <f>VLOOKUP(B379,BQ!$B$6:$E$112,4,FALSE)</f>
        <v>9200</v>
      </c>
      <c r="G379" s="302" t="s">
        <v>52</v>
      </c>
      <c r="H379" s="698">
        <f>F379*C379</f>
        <v>124993.9605185712</v>
      </c>
      <c r="I379" s="710">
        <f>H379</f>
        <v>124993.9605185712</v>
      </c>
      <c r="J379" s="710"/>
    </row>
    <row r="380" spans="1:10" ht="23.15" customHeight="1">
      <c r="A380" s="302"/>
      <c r="B380" s="421"/>
      <c r="C380" s="329"/>
      <c r="D380" s="430"/>
      <c r="E380" s="302"/>
      <c r="F380" s="301"/>
      <c r="G380" s="302"/>
      <c r="H380" s="698">
        <f>SUM(H375:H379)</f>
        <v>4964172.2740181144</v>
      </c>
      <c r="I380" s="710"/>
      <c r="J380" s="710"/>
    </row>
    <row r="381" spans="1:10" ht="23.15" customHeight="1">
      <c r="A381" s="302"/>
      <c r="B381" s="429" t="s">
        <v>185</v>
      </c>
      <c r="C381" s="329"/>
      <c r="D381" s="430"/>
      <c r="E381" s="302"/>
      <c r="F381" s="301"/>
      <c r="G381" s="302"/>
      <c r="H381" s="698"/>
      <c r="I381" s="710"/>
      <c r="J381" s="710"/>
    </row>
    <row r="382" spans="1:10" ht="23.15" customHeight="1">
      <c r="A382" s="302"/>
      <c r="B382" s="303" t="s">
        <v>242</v>
      </c>
      <c r="C382" s="329">
        <f>ROUND(D382,2)</f>
        <v>34.94</v>
      </c>
      <c r="D382" s="430">
        <f>D373*20*0.75</f>
        <v>34.936200144942255</v>
      </c>
      <c r="E382" s="302" t="s">
        <v>1</v>
      </c>
      <c r="F382" s="325">
        <f>VLOOKUP(B382,BQ!$B$6:$E$112,4,FALSE)</f>
        <v>30250.000000000004</v>
      </c>
      <c r="G382" s="302" t="s">
        <v>1</v>
      </c>
      <c r="H382" s="698">
        <f>F382*C382</f>
        <v>1056935</v>
      </c>
      <c r="I382" s="710"/>
      <c r="J382" s="710">
        <f>H382</f>
        <v>1056935</v>
      </c>
    </row>
    <row r="383" spans="1:10" ht="23.15" customHeight="1">
      <c r="A383" s="302"/>
      <c r="B383" s="303" t="s">
        <v>67</v>
      </c>
      <c r="C383" s="329">
        <f>ROUND(D383,2)</f>
        <v>34.94</v>
      </c>
      <c r="D383" s="430">
        <f>D373*20*0.75</f>
        <v>34.936200144942255</v>
      </c>
      <c r="E383" s="302" t="s">
        <v>1</v>
      </c>
      <c r="F383" s="325">
        <f>VLOOKUP(B383,BQ!$B$6:$E$112,4,FALSE)</f>
        <v>21780</v>
      </c>
      <c r="G383" s="302" t="s">
        <v>1</v>
      </c>
      <c r="H383" s="698">
        <f>F383*C383</f>
        <v>760993.2</v>
      </c>
      <c r="I383" s="710"/>
      <c r="J383" s="710">
        <f>H383</f>
        <v>760993.2</v>
      </c>
    </row>
    <row r="384" spans="1:10" ht="23.15" customHeight="1" thickBot="1">
      <c r="A384" s="302"/>
      <c r="B384" s="303"/>
      <c r="C384" s="329"/>
      <c r="D384" s="430"/>
      <c r="E384" s="302"/>
      <c r="F384" s="449"/>
      <c r="G384" s="447"/>
      <c r="H384" s="703">
        <f>SUM(H382:H383)</f>
        <v>1817928.2</v>
      </c>
      <c r="I384" s="710"/>
      <c r="J384" s="710"/>
    </row>
    <row r="385" spans="1:10" ht="23.15" customHeight="1" thickBot="1">
      <c r="A385" s="302"/>
      <c r="B385" s="303"/>
      <c r="C385" s="329"/>
      <c r="D385" s="430"/>
      <c r="E385" s="302"/>
      <c r="F385" s="555" t="s">
        <v>266</v>
      </c>
      <c r="G385" s="503" t="s">
        <v>221</v>
      </c>
      <c r="H385" s="700">
        <f>H384+H380</f>
        <v>6782100.4740181146</v>
      </c>
      <c r="I385" s="710"/>
      <c r="J385" s="710"/>
    </row>
    <row r="386" spans="1:10" ht="23.15" customHeight="1" thickTop="1">
      <c r="A386" s="302"/>
      <c r="B386" s="303"/>
      <c r="C386" s="329"/>
      <c r="D386" s="430"/>
      <c r="E386" s="302"/>
      <c r="F386" s="301"/>
      <c r="G386" s="302"/>
      <c r="H386" s="863"/>
      <c r="I386" s="710"/>
      <c r="J386" s="710"/>
    </row>
    <row r="387" spans="1:10" ht="23.15" customHeight="1">
      <c r="A387" s="302"/>
      <c r="B387" s="438" t="s">
        <v>714</v>
      </c>
      <c r="C387" s="428">
        <f>D387</f>
        <v>2.3148201845427674</v>
      </c>
      <c r="D387" s="439">
        <f>(Detail!K782+Detail!K784)/1000</f>
        <v>2.3148201845427674</v>
      </c>
      <c r="E387" s="312" t="s">
        <v>9</v>
      </c>
      <c r="F387" s="301"/>
      <c r="G387" s="302"/>
      <c r="H387" s="863">
        <f>H399</f>
        <v>5965836.7686020155</v>
      </c>
      <c r="I387" s="710"/>
      <c r="J387" s="710"/>
    </row>
    <row r="388" spans="1:10" ht="23.15" customHeight="1">
      <c r="A388" s="302"/>
      <c r="B388" s="429" t="s">
        <v>65</v>
      </c>
      <c r="C388" s="329"/>
      <c r="D388" s="430">
        <f>SUM(D389:D391)</f>
        <v>2.4305611937699059</v>
      </c>
      <c r="E388" s="302"/>
      <c r="F388" s="301"/>
      <c r="G388" s="302"/>
      <c r="H388" s="698"/>
      <c r="I388" s="710"/>
      <c r="J388" s="710"/>
    </row>
    <row r="389" spans="1:10" ht="18" customHeight="1">
      <c r="A389" s="302"/>
      <c r="B389" s="421" t="s">
        <v>495</v>
      </c>
      <c r="C389" s="329">
        <f>D389</f>
        <v>0</v>
      </c>
      <c r="D389" s="430"/>
      <c r="E389" s="302" t="s">
        <v>9</v>
      </c>
      <c r="F389" s="325">
        <f>VLOOKUP(B389,BQ!$B$6:$E$112,4,FALSE)</f>
        <v>2130000</v>
      </c>
      <c r="G389" s="302" t="s">
        <v>9</v>
      </c>
      <c r="H389" s="698">
        <f>F389*C389</f>
        <v>0</v>
      </c>
      <c r="I389" s="710">
        <f>H389</f>
        <v>0</v>
      </c>
      <c r="J389" s="710"/>
    </row>
    <row r="390" spans="1:10" ht="18" customHeight="1">
      <c r="A390" s="302"/>
      <c r="B390" s="421" t="s">
        <v>638</v>
      </c>
      <c r="C390" s="329">
        <f>D390</f>
        <v>0.16898664683531445</v>
      </c>
      <c r="D390" s="430">
        <f>Detail!K784*1.05/1000</f>
        <v>0.16898664683531445</v>
      </c>
      <c r="E390" s="302" t="s">
        <v>9</v>
      </c>
      <c r="F390" s="325">
        <f>VLOOKUP(B390,BQ!$B$6:$E$112,4,FALSE)</f>
        <v>1930000</v>
      </c>
      <c r="G390" s="302" t="s">
        <v>9</v>
      </c>
      <c r="H390" s="698">
        <f>F390*C390</f>
        <v>326144.22839215689</v>
      </c>
      <c r="I390" s="710">
        <f>H390</f>
        <v>326144.22839215689</v>
      </c>
      <c r="J390" s="710"/>
    </row>
    <row r="391" spans="1:10" ht="18" customHeight="1">
      <c r="A391" s="302"/>
      <c r="B391" s="421" t="s">
        <v>494</v>
      </c>
      <c r="C391" s="329">
        <f>D391</f>
        <v>2.2615745469345914</v>
      </c>
      <c r="D391" s="430">
        <f>(Detail!K782)*1.05/1000</f>
        <v>2.2615745469345914</v>
      </c>
      <c r="E391" s="302" t="s">
        <v>9</v>
      </c>
      <c r="F391" s="325">
        <f>VLOOKUP(B391,BQ!$B$6:$E$112,4,FALSE)</f>
        <v>1640000</v>
      </c>
      <c r="G391" s="302" t="s">
        <v>9</v>
      </c>
      <c r="H391" s="698">
        <f>F391*C391</f>
        <v>3708982.2569727297</v>
      </c>
      <c r="I391" s="710">
        <f>H391</f>
        <v>3708982.2569727297</v>
      </c>
      <c r="J391" s="710"/>
    </row>
    <row r="392" spans="1:10" ht="18" customHeight="1">
      <c r="A392" s="302"/>
      <c r="B392" s="421" t="s">
        <v>527</v>
      </c>
      <c r="C392" s="329">
        <f>D392</f>
        <v>0</v>
      </c>
      <c r="D392" s="430"/>
      <c r="E392" s="302" t="s">
        <v>9</v>
      </c>
      <c r="F392" s="325">
        <f>VLOOKUP(B392,BQ!$B$6:$E$112,4,FALSE)</f>
        <v>3450000</v>
      </c>
      <c r="G392" s="302" t="s">
        <v>9</v>
      </c>
      <c r="H392" s="698">
        <f>F392*C392</f>
        <v>0</v>
      </c>
      <c r="I392" s="710">
        <f>H392</f>
        <v>0</v>
      </c>
      <c r="J392" s="710"/>
    </row>
    <row r="393" spans="1:10" ht="23.15" customHeight="1">
      <c r="A393" s="302"/>
      <c r="B393" s="421" t="s">
        <v>20</v>
      </c>
      <c r="C393" s="329">
        <f>D393</f>
        <v>13.503117743166143</v>
      </c>
      <c r="D393" s="430">
        <f>(D388*20)/3.6</f>
        <v>13.503117743166143</v>
      </c>
      <c r="E393" s="302" t="s">
        <v>52</v>
      </c>
      <c r="F393" s="325">
        <f>VLOOKUP(B393,BQ!$B$6:$E$112,4,FALSE)</f>
        <v>9200</v>
      </c>
      <c r="G393" s="302" t="s">
        <v>52</v>
      </c>
      <c r="H393" s="698">
        <f>F393*C393</f>
        <v>124228.68323712851</v>
      </c>
      <c r="I393" s="710">
        <f>H393</f>
        <v>124228.68323712851</v>
      </c>
      <c r="J393" s="710"/>
    </row>
    <row r="394" spans="1:10" ht="23.15" customHeight="1">
      <c r="A394" s="302"/>
      <c r="B394" s="421"/>
      <c r="C394" s="329"/>
      <c r="D394" s="430"/>
      <c r="E394" s="302"/>
      <c r="F394" s="301"/>
      <c r="G394" s="302"/>
      <c r="H394" s="698">
        <f>SUM(H389:H393)</f>
        <v>4159355.1686020149</v>
      </c>
      <c r="I394" s="710"/>
      <c r="J394" s="710"/>
    </row>
    <row r="395" spans="1:10" ht="23.15" customHeight="1">
      <c r="A395" s="302"/>
      <c r="B395" s="429" t="s">
        <v>185</v>
      </c>
      <c r="C395" s="329"/>
      <c r="D395" s="430"/>
      <c r="E395" s="302"/>
      <c r="F395" s="301"/>
      <c r="G395" s="302"/>
      <c r="H395" s="698"/>
      <c r="I395" s="710"/>
      <c r="J395" s="710"/>
    </row>
    <row r="396" spans="1:10" ht="23.15" customHeight="1">
      <c r="A396" s="302"/>
      <c r="B396" s="303" t="s">
        <v>242</v>
      </c>
      <c r="C396" s="329">
        <f>ROUND(D396,2)</f>
        <v>34.72</v>
      </c>
      <c r="D396" s="430">
        <f>D387*20*0.75</f>
        <v>34.72230276814151</v>
      </c>
      <c r="E396" s="302" t="s">
        <v>1</v>
      </c>
      <c r="F396" s="325">
        <f>VLOOKUP(B396,BQ!$B$6:$E$112,4,FALSE)</f>
        <v>30250.000000000004</v>
      </c>
      <c r="G396" s="302" t="s">
        <v>1</v>
      </c>
      <c r="H396" s="698">
        <f>F396*C396</f>
        <v>1050280</v>
      </c>
      <c r="I396" s="710"/>
      <c r="J396" s="710">
        <f>H396</f>
        <v>1050280</v>
      </c>
    </row>
    <row r="397" spans="1:10" ht="23.15" customHeight="1">
      <c r="A397" s="302"/>
      <c r="B397" s="303" t="s">
        <v>67</v>
      </c>
      <c r="C397" s="329">
        <f>ROUND(D397,2)</f>
        <v>34.72</v>
      </c>
      <c r="D397" s="430">
        <f>D387*20*0.75</f>
        <v>34.72230276814151</v>
      </c>
      <c r="E397" s="302" t="s">
        <v>1</v>
      </c>
      <c r="F397" s="325">
        <f>VLOOKUP(B397,BQ!$B$6:$E$112,4,FALSE)</f>
        <v>21780</v>
      </c>
      <c r="G397" s="302" t="s">
        <v>1</v>
      </c>
      <c r="H397" s="698">
        <f>F397*C397</f>
        <v>756201.6</v>
      </c>
      <c r="I397" s="710"/>
      <c r="J397" s="710">
        <f>H397</f>
        <v>756201.6</v>
      </c>
    </row>
    <row r="398" spans="1:10" ht="23.15" customHeight="1" thickBot="1">
      <c r="A398" s="302"/>
      <c r="B398" s="303"/>
      <c r="C398" s="329"/>
      <c r="D398" s="430"/>
      <c r="E398" s="302"/>
      <c r="F398" s="449"/>
      <c r="G398" s="447"/>
      <c r="H398" s="703">
        <f>SUM(H396:H397)</f>
        <v>1806481.6</v>
      </c>
      <c r="I398" s="710"/>
      <c r="J398" s="710"/>
    </row>
    <row r="399" spans="1:10" ht="23.15" customHeight="1" thickBot="1">
      <c r="A399" s="302"/>
      <c r="B399" s="303"/>
      <c r="C399" s="329"/>
      <c r="D399" s="430"/>
      <c r="E399" s="302"/>
      <c r="F399" s="555" t="s">
        <v>266</v>
      </c>
      <c r="G399" s="503" t="s">
        <v>221</v>
      </c>
      <c r="H399" s="700">
        <f>H398+H394</f>
        <v>5965836.7686020155</v>
      </c>
      <c r="I399" s="710"/>
      <c r="J399" s="710"/>
    </row>
    <row r="400" spans="1:10" ht="23.15" customHeight="1" thickTop="1">
      <c r="A400" s="302"/>
      <c r="B400" s="303"/>
      <c r="C400" s="329"/>
      <c r="D400" s="430"/>
      <c r="E400" s="302"/>
      <c r="F400" s="301"/>
      <c r="G400" s="302"/>
      <c r="H400" s="863"/>
      <c r="I400" s="710"/>
      <c r="J400" s="710"/>
    </row>
    <row r="401" spans="1:10" ht="23.15" customHeight="1">
      <c r="A401" s="302"/>
      <c r="B401" s="438" t="s">
        <v>643</v>
      </c>
      <c r="C401" s="428">
        <f>D401</f>
        <v>0.38549572085821465</v>
      </c>
      <c r="D401" s="439">
        <f>(Detail!K848+Detail!K850)/1000</f>
        <v>0.38549572085821465</v>
      </c>
      <c r="E401" s="312" t="s">
        <v>9</v>
      </c>
      <c r="F401" s="301"/>
      <c r="G401" s="302"/>
      <c r="H401" s="863">
        <f>H413</f>
        <v>1141883.5008609532</v>
      </c>
      <c r="I401" s="710"/>
      <c r="J401" s="710"/>
    </row>
    <row r="402" spans="1:10" ht="23.15" customHeight="1">
      <c r="A402" s="302"/>
      <c r="B402" s="429" t="s">
        <v>65</v>
      </c>
      <c r="C402" s="329"/>
      <c r="D402" s="430">
        <f>SUM(D403:D406)</f>
        <v>0.40477050690112543</v>
      </c>
      <c r="E402" s="302"/>
      <c r="F402" s="301"/>
      <c r="G402" s="302"/>
      <c r="H402" s="698"/>
      <c r="I402" s="710"/>
      <c r="J402" s="710"/>
    </row>
    <row r="403" spans="1:10" ht="18" customHeight="1">
      <c r="A403" s="302"/>
      <c r="B403" s="421" t="s">
        <v>495</v>
      </c>
      <c r="C403" s="329">
        <f>D403</f>
        <v>0</v>
      </c>
      <c r="D403" s="430"/>
      <c r="E403" s="302" t="s">
        <v>9</v>
      </c>
      <c r="F403" s="325">
        <f>VLOOKUP(B403,BQ!$B$6:$E$112,4,FALSE)</f>
        <v>2130000</v>
      </c>
      <c r="G403" s="302" t="s">
        <v>9</v>
      </c>
      <c r="H403" s="698">
        <f>F403*C403</f>
        <v>0</v>
      </c>
      <c r="I403" s="710">
        <f>H403</f>
        <v>0</v>
      </c>
      <c r="J403" s="710"/>
    </row>
    <row r="404" spans="1:10" ht="18" customHeight="1">
      <c r="A404" s="302"/>
      <c r="B404" s="421" t="s">
        <v>638</v>
      </c>
      <c r="C404" s="329">
        <f>D404</f>
        <v>0</v>
      </c>
      <c r="D404" s="430"/>
      <c r="E404" s="302" t="s">
        <v>9</v>
      </c>
      <c r="F404" s="325">
        <f>VLOOKUP(B404,BQ!$B$6:$E$112,4,FALSE)</f>
        <v>1930000</v>
      </c>
      <c r="G404" s="302" t="s">
        <v>9</v>
      </c>
      <c r="H404" s="698">
        <f>F404*C404</f>
        <v>0</v>
      </c>
      <c r="I404" s="710">
        <f>H404</f>
        <v>0</v>
      </c>
      <c r="J404" s="710"/>
    </row>
    <row r="405" spans="1:10" ht="18" customHeight="1">
      <c r="A405" s="302"/>
      <c r="B405" s="421" t="s">
        <v>494</v>
      </c>
      <c r="C405" s="329">
        <f>D405</f>
        <v>0.31823006535947712</v>
      </c>
      <c r="D405" s="430">
        <f>(Detail!K848)*1.05/1000</f>
        <v>0.31823006535947712</v>
      </c>
      <c r="E405" s="302" t="s">
        <v>9</v>
      </c>
      <c r="F405" s="325">
        <f>VLOOKUP(B405,BQ!$B$6:$E$112,4,FALSE)</f>
        <v>1640000</v>
      </c>
      <c r="G405" s="302" t="s">
        <v>9</v>
      </c>
      <c r="H405" s="698">
        <f>F405*C405</f>
        <v>521897.30718954245</v>
      </c>
      <c r="I405" s="710">
        <f>H405</f>
        <v>521897.30718954245</v>
      </c>
      <c r="J405" s="710"/>
    </row>
    <row r="406" spans="1:10" ht="18" customHeight="1">
      <c r="A406" s="302"/>
      <c r="B406" s="421" t="s">
        <v>527</v>
      </c>
      <c r="C406" s="329">
        <f>D406</f>
        <v>8.6540441541648319E-2</v>
      </c>
      <c r="D406" s="430">
        <f>(Detail!K850)*1.05/1000</f>
        <v>8.6540441541648319E-2</v>
      </c>
      <c r="E406" s="302" t="s">
        <v>9</v>
      </c>
      <c r="F406" s="325">
        <f>VLOOKUP(B406,BQ!$B$6:$E$112,4,FALSE)</f>
        <v>3450000</v>
      </c>
      <c r="G406" s="302" t="s">
        <v>9</v>
      </c>
      <c r="H406" s="698">
        <f>F406*C406</f>
        <v>298564.5233186867</v>
      </c>
      <c r="I406" s="710">
        <f>H406</f>
        <v>298564.5233186867</v>
      </c>
      <c r="J406" s="710"/>
    </row>
    <row r="407" spans="1:10" ht="23.15" customHeight="1">
      <c r="A407" s="302"/>
      <c r="B407" s="421" t="s">
        <v>20</v>
      </c>
      <c r="C407" s="329">
        <f>D407</f>
        <v>2.2487250383395856</v>
      </c>
      <c r="D407" s="430">
        <f>(D402*20)/3.6</f>
        <v>2.2487250383395856</v>
      </c>
      <c r="E407" s="302" t="s">
        <v>52</v>
      </c>
      <c r="F407" s="325">
        <f>VLOOKUP(B407,BQ!$B$6:$E$112,4,FALSE)</f>
        <v>9200</v>
      </c>
      <c r="G407" s="302" t="s">
        <v>52</v>
      </c>
      <c r="H407" s="698">
        <f>F407*C407</f>
        <v>20688.270352724187</v>
      </c>
      <c r="I407" s="710">
        <f>H407</f>
        <v>20688.270352724187</v>
      </c>
      <c r="J407" s="710"/>
    </row>
    <row r="408" spans="1:10" ht="23.15" customHeight="1">
      <c r="A408" s="302"/>
      <c r="B408" s="421"/>
      <c r="C408" s="329"/>
      <c r="D408" s="430"/>
      <c r="E408" s="302"/>
      <c r="F408" s="301"/>
      <c r="G408" s="302"/>
      <c r="H408" s="698">
        <f>SUM(H403:H407)</f>
        <v>841150.10086095333</v>
      </c>
      <c r="I408" s="710"/>
      <c r="J408" s="710"/>
    </row>
    <row r="409" spans="1:10" ht="23.15" customHeight="1">
      <c r="A409" s="302"/>
      <c r="B409" s="429" t="s">
        <v>185</v>
      </c>
      <c r="C409" s="329"/>
      <c r="D409" s="430"/>
      <c r="E409" s="302"/>
      <c r="F409" s="301"/>
      <c r="G409" s="302"/>
      <c r="H409" s="698"/>
      <c r="I409" s="710"/>
      <c r="J409" s="710"/>
    </row>
    <row r="410" spans="1:10" ht="23.15" customHeight="1">
      <c r="A410" s="302"/>
      <c r="B410" s="303" t="s">
        <v>242</v>
      </c>
      <c r="C410" s="329">
        <f>ROUND(D410,2)</f>
        <v>5.78</v>
      </c>
      <c r="D410" s="430">
        <f>D401*20*0.75</f>
        <v>5.7824358128732198</v>
      </c>
      <c r="E410" s="302" t="s">
        <v>1</v>
      </c>
      <c r="F410" s="325">
        <f>VLOOKUP(B410,BQ!$B$6:$E$112,4,FALSE)</f>
        <v>30250.000000000004</v>
      </c>
      <c r="G410" s="302" t="s">
        <v>1</v>
      </c>
      <c r="H410" s="698">
        <f>F410*C410</f>
        <v>174845.00000000003</v>
      </c>
      <c r="I410" s="710"/>
      <c r="J410" s="710">
        <f>H410</f>
        <v>174845.00000000003</v>
      </c>
    </row>
    <row r="411" spans="1:10" ht="23.15" customHeight="1">
      <c r="A411" s="302"/>
      <c r="B411" s="303" t="s">
        <v>67</v>
      </c>
      <c r="C411" s="329">
        <f>ROUND(D411,2)</f>
        <v>5.78</v>
      </c>
      <c r="D411" s="430">
        <f>D401*20*0.75</f>
        <v>5.7824358128732198</v>
      </c>
      <c r="E411" s="302" t="s">
        <v>1</v>
      </c>
      <c r="F411" s="325">
        <f>VLOOKUP(B411,BQ!$B$6:$E$112,4,FALSE)</f>
        <v>21780</v>
      </c>
      <c r="G411" s="302" t="s">
        <v>1</v>
      </c>
      <c r="H411" s="698">
        <f>F411*C411</f>
        <v>125888.40000000001</v>
      </c>
      <c r="I411" s="710"/>
      <c r="J411" s="710">
        <f>H411</f>
        <v>125888.40000000001</v>
      </c>
    </row>
    <row r="412" spans="1:10" ht="23.15" customHeight="1" thickBot="1">
      <c r="A412" s="302"/>
      <c r="B412" s="303"/>
      <c r="C412" s="329"/>
      <c r="D412" s="430"/>
      <c r="E412" s="302"/>
      <c r="F412" s="449"/>
      <c r="G412" s="447"/>
      <c r="H412" s="703">
        <f>SUM(H410:H411)</f>
        <v>300733.40000000002</v>
      </c>
      <c r="I412" s="710"/>
      <c r="J412" s="710"/>
    </row>
    <row r="413" spans="1:10" ht="23.15" customHeight="1" thickBot="1">
      <c r="A413" s="302"/>
      <c r="B413" s="303"/>
      <c r="C413" s="329"/>
      <c r="D413" s="430"/>
      <c r="E413" s="302"/>
      <c r="F413" s="555" t="s">
        <v>266</v>
      </c>
      <c r="G413" s="503" t="s">
        <v>221</v>
      </c>
      <c r="H413" s="700">
        <f>H412+H408</f>
        <v>1141883.5008609532</v>
      </c>
      <c r="I413" s="710"/>
      <c r="J413" s="710"/>
    </row>
    <row r="414" spans="1:10" ht="23.15" customHeight="1" thickTop="1">
      <c r="A414" s="302"/>
      <c r="B414" s="303"/>
      <c r="C414" s="329"/>
      <c r="D414" s="430"/>
      <c r="E414" s="302"/>
      <c r="F414" s="301"/>
      <c r="G414" s="302"/>
      <c r="H414" s="863"/>
      <c r="I414" s="710"/>
      <c r="J414" s="710"/>
    </row>
    <row r="415" spans="1:10" ht="23.15" customHeight="1">
      <c r="A415" s="302"/>
      <c r="B415" s="438" t="s">
        <v>655</v>
      </c>
      <c r="C415" s="428">
        <f>D415</f>
        <v>0.19071434534412499</v>
      </c>
      <c r="D415" s="439">
        <f>(Detail!K883+Detail!K885)/1000</f>
        <v>0.19071434534412499</v>
      </c>
      <c r="E415" s="312" t="s">
        <v>9</v>
      </c>
      <c r="F415" s="301"/>
      <c r="G415" s="302"/>
      <c r="H415" s="863">
        <f>H427</f>
        <v>544288.30772221484</v>
      </c>
      <c r="I415" s="710"/>
      <c r="J415" s="710"/>
    </row>
    <row r="416" spans="1:10" ht="23.15" customHeight="1">
      <c r="A416" s="302"/>
      <c r="B416" s="429" t="s">
        <v>65</v>
      </c>
      <c r="C416" s="329"/>
      <c r="D416" s="430">
        <f>SUM(D417:D420)</f>
        <v>0.20025006261133124</v>
      </c>
      <c r="E416" s="302"/>
      <c r="F416" s="301"/>
      <c r="G416" s="302"/>
      <c r="H416" s="698"/>
      <c r="I416" s="710"/>
      <c r="J416" s="710"/>
    </row>
    <row r="417" spans="1:11" ht="18" customHeight="1">
      <c r="A417" s="302"/>
      <c r="B417" s="421" t="s">
        <v>495</v>
      </c>
      <c r="C417" s="329">
        <f>D417</f>
        <v>0</v>
      </c>
      <c r="D417" s="430"/>
      <c r="E417" s="302" t="s">
        <v>9</v>
      </c>
      <c r="F417" s="325">
        <f>VLOOKUP(B417,BQ!$B$6:$E$112,4,FALSE)</f>
        <v>2130000</v>
      </c>
      <c r="G417" s="302" t="s">
        <v>9</v>
      </c>
      <c r="H417" s="698">
        <f>F417*C417</f>
        <v>0</v>
      </c>
      <c r="I417" s="710">
        <f>H417</f>
        <v>0</v>
      </c>
      <c r="J417" s="710"/>
    </row>
    <row r="418" spans="1:11" ht="18" customHeight="1">
      <c r="A418" s="302"/>
      <c r="B418" s="421" t="s">
        <v>638</v>
      </c>
      <c r="C418" s="329">
        <f>D418</f>
        <v>0</v>
      </c>
      <c r="D418" s="430"/>
      <c r="E418" s="302" t="s">
        <v>9</v>
      </c>
      <c r="F418" s="325">
        <f>VLOOKUP(B418,BQ!$B$6:$E$112,4,FALSE)</f>
        <v>1930000</v>
      </c>
      <c r="G418" s="302" t="s">
        <v>9</v>
      </c>
      <c r="H418" s="698">
        <f>F418*C418</f>
        <v>0</v>
      </c>
      <c r="I418" s="710">
        <f>H418</f>
        <v>0</v>
      </c>
      <c r="J418" s="710"/>
    </row>
    <row r="419" spans="1:11" ht="18" customHeight="1">
      <c r="A419" s="302"/>
      <c r="B419" s="421" t="s">
        <v>494</v>
      </c>
      <c r="C419" s="329">
        <f>D419</f>
        <v>0.16884818314199601</v>
      </c>
      <c r="D419" s="430">
        <f>(Detail!K883)*1.05/1000</f>
        <v>0.16884818314199601</v>
      </c>
      <c r="E419" s="302" t="s">
        <v>9</v>
      </c>
      <c r="F419" s="325">
        <f>VLOOKUP(B419,BQ!$B$6:$E$112,4,FALSE)</f>
        <v>1640000</v>
      </c>
      <c r="G419" s="302" t="s">
        <v>9</v>
      </c>
      <c r="H419" s="698">
        <f>F419*C419</f>
        <v>276911.02035287349</v>
      </c>
      <c r="I419" s="710">
        <f>H419</f>
        <v>276911.02035287349</v>
      </c>
      <c r="J419" s="710"/>
    </row>
    <row r="420" spans="1:11" ht="18" customHeight="1">
      <c r="A420" s="302"/>
      <c r="B420" s="421" t="s">
        <v>527</v>
      </c>
      <c r="C420" s="329">
        <f>D420</f>
        <v>3.1401879469335231E-2</v>
      </c>
      <c r="D420" s="430">
        <f>(Detail!K885)*1.05/1000</f>
        <v>3.1401879469335231E-2</v>
      </c>
      <c r="E420" s="302" t="s">
        <v>9</v>
      </c>
      <c r="F420" s="325">
        <f>VLOOKUP(B420,BQ!$B$6:$E$112,4,FALSE)</f>
        <v>3450000</v>
      </c>
      <c r="G420" s="302" t="s">
        <v>9</v>
      </c>
      <c r="H420" s="698">
        <f>F420*C420</f>
        <v>108336.48416920655</v>
      </c>
      <c r="I420" s="710">
        <f>H420</f>
        <v>108336.48416920655</v>
      </c>
      <c r="J420" s="710"/>
    </row>
    <row r="421" spans="1:11" ht="23.15" customHeight="1">
      <c r="A421" s="302"/>
      <c r="B421" s="421" t="s">
        <v>20</v>
      </c>
      <c r="C421" s="329">
        <f>D421</f>
        <v>1.1125003478407289</v>
      </c>
      <c r="D421" s="430">
        <f>(D416*20)/3.6</f>
        <v>1.1125003478407289</v>
      </c>
      <c r="E421" s="302" t="s">
        <v>52</v>
      </c>
      <c r="F421" s="325">
        <f>VLOOKUP(B421,BQ!$B$6:$E$112,4,FALSE)</f>
        <v>9200</v>
      </c>
      <c r="G421" s="302" t="s">
        <v>52</v>
      </c>
      <c r="H421" s="698">
        <f>F421*C421</f>
        <v>10235.003200134706</v>
      </c>
      <c r="I421" s="710">
        <f>H421</f>
        <v>10235.003200134706</v>
      </c>
      <c r="J421" s="710"/>
    </row>
    <row r="422" spans="1:11" ht="23.15" customHeight="1">
      <c r="A422" s="302"/>
      <c r="B422" s="421"/>
      <c r="C422" s="329"/>
      <c r="D422" s="430"/>
      <c r="E422" s="302"/>
      <c r="F422" s="301"/>
      <c r="G422" s="302"/>
      <c r="H422" s="698">
        <f>SUM(H417:H421)</f>
        <v>395482.5077222148</v>
      </c>
      <c r="I422" s="710"/>
      <c r="J422" s="710"/>
    </row>
    <row r="423" spans="1:11" ht="23.15" customHeight="1">
      <c r="A423" s="302"/>
      <c r="B423" s="429" t="s">
        <v>185</v>
      </c>
      <c r="C423" s="329"/>
      <c r="D423" s="430"/>
      <c r="E423" s="302"/>
      <c r="F423" s="301"/>
      <c r="G423" s="302"/>
      <c r="H423" s="698"/>
      <c r="I423" s="710"/>
      <c r="J423" s="710"/>
    </row>
    <row r="424" spans="1:11" ht="23.15" customHeight="1">
      <c r="A424" s="302"/>
      <c r="B424" s="303" t="s">
        <v>242</v>
      </c>
      <c r="C424" s="329">
        <f>ROUND(D424,2)</f>
        <v>2.86</v>
      </c>
      <c r="D424" s="430">
        <f>D415*20*0.75</f>
        <v>2.8607151801618746</v>
      </c>
      <c r="E424" s="302" t="s">
        <v>1</v>
      </c>
      <c r="F424" s="325">
        <f>VLOOKUP(B424,BQ!$B$6:$E$112,4,FALSE)</f>
        <v>30250.000000000004</v>
      </c>
      <c r="G424" s="302" t="s">
        <v>1</v>
      </c>
      <c r="H424" s="698">
        <f>F424*C424</f>
        <v>86515</v>
      </c>
      <c r="I424" s="710"/>
      <c r="J424" s="710">
        <f>H424</f>
        <v>86515</v>
      </c>
    </row>
    <row r="425" spans="1:11" ht="23.15" customHeight="1">
      <c r="A425" s="302"/>
      <c r="B425" s="303" t="s">
        <v>67</v>
      </c>
      <c r="C425" s="329">
        <f>ROUND(D425,2)</f>
        <v>2.86</v>
      </c>
      <c r="D425" s="430">
        <f>D415*20*0.75</f>
        <v>2.8607151801618746</v>
      </c>
      <c r="E425" s="302" t="s">
        <v>1</v>
      </c>
      <c r="F425" s="325">
        <f>VLOOKUP(B425,BQ!$B$6:$E$112,4,FALSE)</f>
        <v>21780</v>
      </c>
      <c r="G425" s="302" t="s">
        <v>1</v>
      </c>
      <c r="H425" s="698">
        <f>F425*C425</f>
        <v>62290.799999999996</v>
      </c>
      <c r="I425" s="710"/>
      <c r="J425" s="710">
        <f>H425</f>
        <v>62290.799999999996</v>
      </c>
    </row>
    <row r="426" spans="1:11" ht="23.15" customHeight="1" thickBot="1">
      <c r="A426" s="302"/>
      <c r="B426" s="303"/>
      <c r="C426" s="329"/>
      <c r="D426" s="430"/>
      <c r="E426" s="302"/>
      <c r="F426" s="449"/>
      <c r="G426" s="447"/>
      <c r="H426" s="703">
        <f>SUM(H424:H425)</f>
        <v>148805.79999999999</v>
      </c>
      <c r="I426" s="710"/>
      <c r="J426" s="710"/>
    </row>
    <row r="427" spans="1:11" ht="23.15" customHeight="1" thickBot="1">
      <c r="A427" s="302"/>
      <c r="B427" s="303"/>
      <c r="C427" s="329"/>
      <c r="D427" s="430"/>
      <c r="E427" s="302"/>
      <c r="F427" s="555" t="s">
        <v>266</v>
      </c>
      <c r="G427" s="503" t="s">
        <v>221</v>
      </c>
      <c r="H427" s="700">
        <f>H426+H422</f>
        <v>544288.30772221484</v>
      </c>
      <c r="I427" s="710"/>
      <c r="J427" s="710"/>
    </row>
    <row r="428" spans="1:11" ht="23.15" customHeight="1" thickTop="1">
      <c r="A428" s="302"/>
      <c r="B428" s="303"/>
      <c r="C428" s="329"/>
      <c r="D428" s="430"/>
      <c r="E428" s="302"/>
      <c r="F428" s="301"/>
      <c r="G428" s="302"/>
      <c r="H428" s="863"/>
      <c r="I428" s="710"/>
      <c r="J428" s="710"/>
    </row>
    <row r="429" spans="1:11" s="795" customFormat="1" ht="39" customHeight="1">
      <c r="A429" s="788">
        <v>11</v>
      </c>
      <c r="B429" s="789" t="s">
        <v>648</v>
      </c>
      <c r="C429" s="790">
        <f>ROUND(D429,2)</f>
        <v>9.73</v>
      </c>
      <c r="D429" s="439">
        <f>Detail!K904</f>
        <v>9.7338500000000003</v>
      </c>
      <c r="E429" s="791" t="s">
        <v>220</v>
      </c>
      <c r="F429" s="301"/>
      <c r="G429" s="313"/>
      <c r="H429" s="808">
        <f>H433</f>
        <v>211919.40000000002</v>
      </c>
      <c r="I429" s="793"/>
      <c r="J429" s="793"/>
      <c r="K429" s="794"/>
    </row>
    <row r="430" spans="1:11" s="795" customFormat="1" ht="23.15" customHeight="1">
      <c r="A430" s="313"/>
      <c r="B430" s="675" t="s">
        <v>66</v>
      </c>
      <c r="C430" s="445"/>
      <c r="D430" s="430"/>
      <c r="E430" s="313"/>
      <c r="F430" s="301"/>
      <c r="G430" s="313"/>
      <c r="H430" s="792"/>
      <c r="I430" s="793"/>
      <c r="J430" s="793"/>
      <c r="K430" s="794"/>
    </row>
    <row r="431" spans="1:11" s="795" customFormat="1" ht="23.15" customHeight="1">
      <c r="A431" s="313"/>
      <c r="B431" s="676" t="s">
        <v>67</v>
      </c>
      <c r="C431" s="445">
        <f>ROUND(D431,2)</f>
        <v>9.73</v>
      </c>
      <c r="D431" s="430">
        <f>D429*1</f>
        <v>9.7338500000000003</v>
      </c>
      <c r="E431" s="313" t="s">
        <v>3</v>
      </c>
      <c r="F431" s="325">
        <f>VLOOKUP(B431,BQ!$B$6:$E$112,4,FALSE)</f>
        <v>21780</v>
      </c>
      <c r="G431" s="313" t="s">
        <v>3</v>
      </c>
      <c r="H431" s="792">
        <f>F431*C431</f>
        <v>211919.40000000002</v>
      </c>
      <c r="I431" s="793"/>
      <c r="J431" s="793">
        <f>H431</f>
        <v>211919.40000000002</v>
      </c>
      <c r="K431" s="794"/>
    </row>
    <row r="432" spans="1:11" s="795" customFormat="1" ht="23.15" customHeight="1" thickBot="1">
      <c r="A432" s="313"/>
      <c r="B432" s="676"/>
      <c r="C432" s="445"/>
      <c r="D432" s="430"/>
      <c r="E432" s="313"/>
      <c r="F432" s="301"/>
      <c r="G432" s="313"/>
      <c r="H432" s="792">
        <f>SUM(H431:H431)</f>
        <v>211919.40000000002</v>
      </c>
      <c r="I432" s="793"/>
      <c r="J432" s="793"/>
      <c r="K432" s="794"/>
    </row>
    <row r="433" spans="1:12" s="795" customFormat="1" ht="23.15" customHeight="1" thickBot="1">
      <c r="A433" s="313"/>
      <c r="B433" s="676"/>
      <c r="C433" s="445"/>
      <c r="D433" s="430"/>
      <c r="E433" s="313"/>
      <c r="F433" s="555" t="s">
        <v>266</v>
      </c>
      <c r="G433" s="797" t="s">
        <v>221</v>
      </c>
      <c r="H433" s="798">
        <f>H432</f>
        <v>211919.40000000002</v>
      </c>
      <c r="I433" s="799"/>
      <c r="J433" s="799"/>
      <c r="K433" s="800"/>
    </row>
    <row r="434" spans="1:12" s="795" customFormat="1" ht="23.15" customHeight="1" thickTop="1">
      <c r="A434" s="313"/>
      <c r="B434" s="676"/>
      <c r="C434" s="445"/>
      <c r="D434" s="430"/>
      <c r="E434" s="313"/>
      <c r="F434" s="301"/>
      <c r="G434" s="313"/>
      <c r="H434" s="801"/>
      <c r="I434" s="799"/>
      <c r="J434" s="799"/>
      <c r="K434" s="800"/>
    </row>
    <row r="435" spans="1:12" s="795" customFormat="1" ht="39" customHeight="1">
      <c r="A435" s="788">
        <v>12</v>
      </c>
      <c r="B435" s="789" t="s">
        <v>399</v>
      </c>
      <c r="C435" s="790">
        <f>ROUND(D435,2)</f>
        <v>16.78</v>
      </c>
      <c r="D435" s="439">
        <f>Detail!K918</f>
        <v>16.774999999999999</v>
      </c>
      <c r="E435" s="791" t="s">
        <v>220</v>
      </c>
      <c r="F435" s="301"/>
      <c r="G435" s="313"/>
      <c r="H435" s="1075">
        <f>H446</f>
        <v>2248075.7999999998</v>
      </c>
      <c r="I435" s="793"/>
      <c r="J435" s="793"/>
      <c r="K435" s="794"/>
    </row>
    <row r="436" spans="1:12" s="795" customFormat="1" ht="23.15" customHeight="1">
      <c r="A436" s="313"/>
      <c r="B436" s="675" t="s">
        <v>65</v>
      </c>
      <c r="C436" s="445"/>
      <c r="D436" s="430"/>
      <c r="E436" s="313"/>
      <c r="F436" s="301"/>
      <c r="G436" s="313"/>
      <c r="H436" s="792"/>
      <c r="I436" s="793"/>
      <c r="J436" s="793"/>
      <c r="K436" s="794"/>
    </row>
    <row r="437" spans="1:12" s="795" customFormat="1" ht="23.15" customHeight="1">
      <c r="A437" s="313"/>
      <c r="B437" s="676" t="s">
        <v>14</v>
      </c>
      <c r="C437" s="445">
        <f>ROUND(D437,2)</f>
        <v>38.79</v>
      </c>
      <c r="D437" s="430">
        <f>D435*259/112</f>
        <v>38.792187499999997</v>
      </c>
      <c r="E437" s="445" t="s">
        <v>302</v>
      </c>
      <c r="F437" s="325">
        <f>VLOOKUP(B437,BQ!$B$6:$E$112,4,FALSE)</f>
        <v>18600</v>
      </c>
      <c r="G437" s="445" t="s">
        <v>302</v>
      </c>
      <c r="H437" s="792">
        <f>F437*C437</f>
        <v>721494</v>
      </c>
      <c r="I437" s="793">
        <f>H437</f>
        <v>721494</v>
      </c>
      <c r="J437" s="793"/>
      <c r="K437" s="794"/>
    </row>
    <row r="438" spans="1:12" s="795" customFormat="1" ht="23.15" customHeight="1">
      <c r="A438" s="313"/>
      <c r="B438" s="676" t="s">
        <v>16</v>
      </c>
      <c r="C438" s="445">
        <f>ROUND(D438,2)</f>
        <v>0.96</v>
      </c>
      <c r="D438" s="430">
        <f>D435*5.751/100</f>
        <v>0.9647302499999999</v>
      </c>
      <c r="E438" s="445" t="s">
        <v>11</v>
      </c>
      <c r="F438" s="325">
        <f>VLOOKUP(B438,BQ!$B$6:$E$112,4,FALSE)</f>
        <v>30000</v>
      </c>
      <c r="G438" s="445" t="s">
        <v>11</v>
      </c>
      <c r="H438" s="792">
        <f>F438*C438</f>
        <v>28800</v>
      </c>
      <c r="I438" s="793">
        <f>H438</f>
        <v>28800</v>
      </c>
      <c r="J438" s="793"/>
      <c r="K438" s="794"/>
    </row>
    <row r="439" spans="1:12" s="795" customFormat="1" ht="23.15" customHeight="1">
      <c r="A439" s="313"/>
      <c r="B439" s="676" t="s">
        <v>303</v>
      </c>
      <c r="C439" s="445">
        <f>ROUND(D439,2)</f>
        <v>1.93</v>
      </c>
      <c r="D439" s="430">
        <f>D435*11.5/100</f>
        <v>1.929125</v>
      </c>
      <c r="E439" s="445" t="s">
        <v>11</v>
      </c>
      <c r="F439" s="325">
        <f>VLOOKUP(B439,BQ!$B$6:$E$112,4,FALSE)</f>
        <v>110000</v>
      </c>
      <c r="G439" s="445" t="s">
        <v>11</v>
      </c>
      <c r="H439" s="792">
        <f>F439*C439</f>
        <v>212300</v>
      </c>
      <c r="I439" s="793">
        <f>H439</f>
        <v>212300</v>
      </c>
      <c r="J439" s="793"/>
      <c r="K439" s="794"/>
    </row>
    <row r="440" spans="1:12" s="795" customFormat="1" ht="23.15" customHeight="1">
      <c r="A440" s="313"/>
      <c r="B440" s="676" t="s">
        <v>565</v>
      </c>
      <c r="C440" s="445">
        <f>ROUND(D440,2)</f>
        <v>297.45999999999998</v>
      </c>
      <c r="D440" s="430">
        <f>(Detail!K911/6)*1.1</f>
        <v>297.45833333333337</v>
      </c>
      <c r="E440" s="445" t="s">
        <v>13</v>
      </c>
      <c r="F440" s="325">
        <f>VLOOKUP(B440,BQ!$B$6:$E$112,4,FALSE)</f>
        <v>1200</v>
      </c>
      <c r="G440" s="445" t="str">
        <f>E440</f>
        <v>Rft</v>
      </c>
      <c r="H440" s="792">
        <f>F440*C440</f>
        <v>356952</v>
      </c>
      <c r="I440" s="793">
        <f>H440</f>
        <v>356952</v>
      </c>
      <c r="J440" s="793"/>
      <c r="K440" s="794"/>
    </row>
    <row r="441" spans="1:12" s="795" customFormat="1" ht="23.15" customHeight="1">
      <c r="A441" s="313"/>
      <c r="B441" s="676"/>
      <c r="C441" s="445"/>
      <c r="D441" s="430"/>
      <c r="E441" s="802"/>
      <c r="F441" s="301"/>
      <c r="G441" s="796"/>
      <c r="H441" s="792">
        <f>SUM(H437:H440)</f>
        <v>1319546</v>
      </c>
      <c r="I441" s="793"/>
      <c r="J441" s="793"/>
      <c r="K441" s="794">
        <v>500</v>
      </c>
      <c r="L441" s="795">
        <f>K441*C441</f>
        <v>0</v>
      </c>
    </row>
    <row r="442" spans="1:12" s="795" customFormat="1" ht="23.15" customHeight="1">
      <c r="A442" s="313"/>
      <c r="B442" s="675" t="s">
        <v>66</v>
      </c>
      <c r="C442" s="445"/>
      <c r="D442" s="430"/>
      <c r="E442" s="313"/>
      <c r="F442" s="301"/>
      <c r="G442" s="313"/>
      <c r="H442" s="792"/>
      <c r="I442" s="793"/>
      <c r="J442" s="793"/>
      <c r="K442" s="794"/>
    </row>
    <row r="443" spans="1:12" s="795" customFormat="1" ht="23.15" customHeight="1">
      <c r="A443" s="313"/>
      <c r="B443" s="676" t="s">
        <v>69</v>
      </c>
      <c r="C443" s="445">
        <f>ROUND(D443,2)</f>
        <v>12.58</v>
      </c>
      <c r="D443" s="430">
        <f>D435*0.75</f>
        <v>12.581249999999999</v>
      </c>
      <c r="E443" s="313" t="s">
        <v>3</v>
      </c>
      <c r="F443" s="325">
        <f>VLOOKUP(B443,BQ!$B$6:$E$112,4,FALSE)</f>
        <v>30250.000000000004</v>
      </c>
      <c r="G443" s="313" t="s">
        <v>3</v>
      </c>
      <c r="H443" s="792">
        <f>F443*C443</f>
        <v>380545.00000000006</v>
      </c>
      <c r="I443" s="793"/>
      <c r="J443" s="793">
        <f>H443</f>
        <v>380545.00000000006</v>
      </c>
      <c r="K443" s="794"/>
    </row>
    <row r="444" spans="1:12" s="795" customFormat="1" ht="23.15" customHeight="1">
      <c r="A444" s="313"/>
      <c r="B444" s="676" t="s">
        <v>67</v>
      </c>
      <c r="C444" s="445">
        <f>ROUND(D444,2)</f>
        <v>25.16</v>
      </c>
      <c r="D444" s="430">
        <f>D435*1.5</f>
        <v>25.162499999999998</v>
      </c>
      <c r="E444" s="313" t="s">
        <v>3</v>
      </c>
      <c r="F444" s="325">
        <f>VLOOKUP(B444,BQ!$B$6:$E$112,4,FALSE)</f>
        <v>21780</v>
      </c>
      <c r="G444" s="313" t="s">
        <v>3</v>
      </c>
      <c r="H444" s="792">
        <f>F444*C444</f>
        <v>547984.80000000005</v>
      </c>
      <c r="I444" s="793"/>
      <c r="J444" s="793">
        <f>H444</f>
        <v>547984.80000000005</v>
      </c>
      <c r="K444" s="794"/>
    </row>
    <row r="445" spans="1:12" s="795" customFormat="1" ht="23.15" customHeight="1" thickBot="1">
      <c r="A445" s="313"/>
      <c r="B445" s="676"/>
      <c r="C445" s="445"/>
      <c r="D445" s="430"/>
      <c r="E445" s="313"/>
      <c r="F445" s="301"/>
      <c r="G445" s="313"/>
      <c r="H445" s="792">
        <f>SUM(H443:H444)</f>
        <v>928529.8</v>
      </c>
      <c r="I445" s="793"/>
      <c r="J445" s="793"/>
      <c r="K445" s="794"/>
    </row>
    <row r="446" spans="1:12" s="795" customFormat="1" ht="23.15" customHeight="1" thickBot="1">
      <c r="A446" s="313"/>
      <c r="B446" s="676"/>
      <c r="C446" s="445"/>
      <c r="D446" s="430"/>
      <c r="E446" s="313"/>
      <c r="F446" s="555" t="s">
        <v>266</v>
      </c>
      <c r="G446" s="797" t="s">
        <v>221</v>
      </c>
      <c r="H446" s="798">
        <f>H441+H445</f>
        <v>2248075.7999999998</v>
      </c>
      <c r="I446" s="799"/>
      <c r="J446" s="799"/>
      <c r="K446" s="800"/>
    </row>
    <row r="447" spans="1:12" s="795" customFormat="1" ht="23.15" customHeight="1" thickTop="1">
      <c r="A447" s="313"/>
      <c r="B447" s="676"/>
      <c r="C447" s="445"/>
      <c r="D447" s="430"/>
      <c r="E447" s="313"/>
      <c r="F447" s="301"/>
      <c r="G447" s="313"/>
      <c r="H447" s="801"/>
      <c r="I447" s="799"/>
      <c r="J447" s="799"/>
      <c r="K447" s="800"/>
    </row>
    <row r="448" spans="1:12" s="460" customFormat="1" ht="21" customHeight="1">
      <c r="A448" s="454">
        <v>13</v>
      </c>
      <c r="B448" s="452" t="s">
        <v>357</v>
      </c>
      <c r="C448" s="428">
        <f>ROUND(D448,2)</f>
        <v>14.25</v>
      </c>
      <c r="D448" s="439">
        <f>Detail!K956</f>
        <v>14.249632499999997</v>
      </c>
      <c r="E448" s="457" t="s">
        <v>222</v>
      </c>
      <c r="F448" s="301"/>
      <c r="G448" s="302"/>
      <c r="H448" s="1070">
        <f>H458</f>
        <v>12853364</v>
      </c>
      <c r="I448" s="710"/>
      <c r="J448" s="710"/>
      <c r="K448" s="459"/>
    </row>
    <row r="449" spans="1:11" s="460" customFormat="1" ht="23.15" customHeight="1">
      <c r="A449" s="302"/>
      <c r="B449" s="461" t="s">
        <v>65</v>
      </c>
      <c r="C449" s="329"/>
      <c r="D449" s="430"/>
      <c r="E449" s="302"/>
      <c r="F449" s="301"/>
      <c r="G449" s="302"/>
      <c r="H449" s="698"/>
      <c r="I449" s="710"/>
      <c r="J449" s="710"/>
      <c r="K449" s="459"/>
    </row>
    <row r="450" spans="1:11" s="460" customFormat="1" ht="23.15" customHeight="1">
      <c r="A450" s="302"/>
      <c r="B450" s="303" t="s">
        <v>14</v>
      </c>
      <c r="C450" s="329">
        <f>ROUND(D450,2)</f>
        <v>99.24</v>
      </c>
      <c r="D450" s="430">
        <f>D448*780/112</f>
        <v>99.238512053571412</v>
      </c>
      <c r="E450" s="329" t="s">
        <v>302</v>
      </c>
      <c r="F450" s="325">
        <f>VLOOKUP(B450,BQ!$B$6:$E$112,4,FALSE)</f>
        <v>18600</v>
      </c>
      <c r="G450" s="329" t="s">
        <v>302</v>
      </c>
      <c r="H450" s="698">
        <f>F450*C450</f>
        <v>1845864</v>
      </c>
      <c r="I450" s="710">
        <f>H450</f>
        <v>1845864</v>
      </c>
      <c r="J450" s="710"/>
      <c r="K450" s="459"/>
    </row>
    <row r="451" spans="1:11" s="460" customFormat="1" ht="23.15" customHeight="1">
      <c r="A451" s="302"/>
      <c r="B451" s="303" t="s">
        <v>16</v>
      </c>
      <c r="C451" s="329">
        <f>ROUND(D451,2)</f>
        <v>3.7</v>
      </c>
      <c r="D451" s="430">
        <f>D448*26/100</f>
        <v>3.704904449999999</v>
      </c>
      <c r="E451" s="329" t="s">
        <v>11</v>
      </c>
      <c r="F451" s="325">
        <f>VLOOKUP(B451,BQ!$B$6:$E$112,4,FALSE)</f>
        <v>30000</v>
      </c>
      <c r="G451" s="329" t="s">
        <v>11</v>
      </c>
      <c r="H451" s="698">
        <f>F451*C451</f>
        <v>111000</v>
      </c>
      <c r="I451" s="710">
        <f>H451</f>
        <v>111000</v>
      </c>
      <c r="J451" s="710"/>
      <c r="K451" s="459"/>
    </row>
    <row r="452" spans="1:11" s="460" customFormat="1" ht="23.15" customHeight="1">
      <c r="A452" s="302"/>
      <c r="B452" s="303" t="s">
        <v>24</v>
      </c>
      <c r="C452" s="329">
        <f>ROUND(D452,2)</f>
        <v>19237</v>
      </c>
      <c r="D452" s="430">
        <f>D448*1350</f>
        <v>19237.003874999995</v>
      </c>
      <c r="E452" s="329" t="s">
        <v>1</v>
      </c>
      <c r="F452" s="325">
        <f>VLOOKUP(B452,BQ!$B$6:$E$112,4,FALSE)</f>
        <v>380</v>
      </c>
      <c r="G452" s="329" t="s">
        <v>1</v>
      </c>
      <c r="H452" s="698">
        <f>F452*C452</f>
        <v>7310060</v>
      </c>
      <c r="I452" s="710">
        <f>H452</f>
        <v>7310060</v>
      </c>
      <c r="J452" s="710"/>
      <c r="K452" s="459"/>
    </row>
    <row r="453" spans="1:11" s="460" customFormat="1" ht="23.15" customHeight="1">
      <c r="A453" s="302"/>
      <c r="B453" s="303"/>
      <c r="C453" s="329"/>
      <c r="D453" s="430"/>
      <c r="E453" s="457"/>
      <c r="F453" s="301"/>
      <c r="G453" s="312"/>
      <c r="H453" s="698">
        <f>SUM(H450:H452)</f>
        <v>9266924</v>
      </c>
      <c r="I453" s="710"/>
      <c r="J453" s="710"/>
      <c r="K453" s="459"/>
    </row>
    <row r="454" spans="1:11" s="460" customFormat="1" ht="23.15" customHeight="1">
      <c r="A454" s="302"/>
      <c r="B454" s="461" t="s">
        <v>66</v>
      </c>
      <c r="C454" s="329"/>
      <c r="D454" s="430"/>
      <c r="E454" s="302"/>
      <c r="F454" s="301"/>
      <c r="G454" s="302"/>
      <c r="H454" s="698"/>
      <c r="I454" s="710"/>
      <c r="J454" s="710"/>
      <c r="K454" s="459"/>
    </row>
    <row r="455" spans="1:11" s="460" customFormat="1" ht="23.15" customHeight="1">
      <c r="A455" s="302"/>
      <c r="B455" s="303" t="s">
        <v>69</v>
      </c>
      <c r="C455" s="329">
        <f>ROUND(D455,2)</f>
        <v>57</v>
      </c>
      <c r="D455" s="430">
        <f>D448*4</f>
        <v>56.998529999999988</v>
      </c>
      <c r="E455" s="302" t="s">
        <v>3</v>
      </c>
      <c r="F455" s="325">
        <f>VLOOKUP(B455,BQ!$B$6:$E$112,4,FALSE)</f>
        <v>30250.000000000004</v>
      </c>
      <c r="G455" s="302" t="s">
        <v>3</v>
      </c>
      <c r="H455" s="698">
        <f>F455*C455</f>
        <v>1724250.0000000002</v>
      </c>
      <c r="I455" s="710"/>
      <c r="J455" s="710">
        <f>H455</f>
        <v>1724250.0000000002</v>
      </c>
      <c r="K455" s="459"/>
    </row>
    <row r="456" spans="1:11" s="460" customFormat="1" ht="23.15" customHeight="1">
      <c r="A456" s="302"/>
      <c r="B456" s="303" t="s">
        <v>67</v>
      </c>
      <c r="C456" s="329">
        <f>ROUND(D456,2)</f>
        <v>85.5</v>
      </c>
      <c r="D456" s="430">
        <f>D448*6</f>
        <v>85.497794999999982</v>
      </c>
      <c r="E456" s="302" t="s">
        <v>3</v>
      </c>
      <c r="F456" s="325">
        <f>VLOOKUP(B456,BQ!$B$6:$E$112,4,FALSE)</f>
        <v>21780</v>
      </c>
      <c r="G456" s="302" t="s">
        <v>3</v>
      </c>
      <c r="H456" s="698">
        <f>F456*C456</f>
        <v>1862190</v>
      </c>
      <c r="I456" s="710"/>
      <c r="J456" s="710">
        <f>H456</f>
        <v>1862190</v>
      </c>
      <c r="K456" s="459"/>
    </row>
    <row r="457" spans="1:11" s="460" customFormat="1" ht="23.15" customHeight="1" thickBot="1">
      <c r="A457" s="302"/>
      <c r="B457" s="303"/>
      <c r="C457" s="329"/>
      <c r="D457" s="430"/>
      <c r="E457" s="302"/>
      <c r="F457" s="301"/>
      <c r="G457" s="302"/>
      <c r="H457" s="698">
        <f>SUM(H455:H456)</f>
        <v>3586440</v>
      </c>
      <c r="I457" s="710"/>
      <c r="J457" s="710"/>
      <c r="K457" s="459"/>
    </row>
    <row r="458" spans="1:11" s="460" customFormat="1" ht="23.15" customHeight="1" thickBot="1">
      <c r="A458" s="302"/>
      <c r="B458" s="303"/>
      <c r="C458" s="329"/>
      <c r="D458" s="430"/>
      <c r="E458" s="302"/>
      <c r="F458" s="555" t="s">
        <v>266</v>
      </c>
      <c r="G458" s="503" t="s">
        <v>221</v>
      </c>
      <c r="H458" s="700">
        <f>H453+H457</f>
        <v>12853364</v>
      </c>
      <c r="I458" s="711"/>
      <c r="J458" s="711"/>
      <c r="K458" s="462"/>
    </row>
    <row r="459" spans="1:11" ht="14.75" customHeight="1" thickTop="1">
      <c r="A459" s="326"/>
      <c r="B459" s="525"/>
      <c r="C459" s="330"/>
      <c r="D459" s="526">
        <f>D473</f>
        <v>34.582856</v>
      </c>
      <c r="E459" s="326"/>
      <c r="F459" s="449"/>
      <c r="G459" s="450"/>
      <c r="H459" s="704"/>
      <c r="I459" s="711"/>
      <c r="J459" s="711"/>
      <c r="K459" s="398"/>
    </row>
    <row r="460" spans="1:11" s="795" customFormat="1" ht="21" customHeight="1">
      <c r="A460" s="788">
        <v>14</v>
      </c>
      <c r="B460" s="466" t="s">
        <v>407</v>
      </c>
      <c r="C460" s="790">
        <f>ROUND(D460,2)</f>
        <v>34.58</v>
      </c>
      <c r="D460" s="439">
        <f>Detail!K989</f>
        <v>34.582856</v>
      </c>
      <c r="E460" s="791" t="s">
        <v>220</v>
      </c>
      <c r="F460" s="301"/>
      <c r="G460" s="313"/>
      <c r="H460" s="1075">
        <f>H484</f>
        <v>13647400.449999999</v>
      </c>
      <c r="I460" s="793"/>
      <c r="J460" s="793"/>
      <c r="K460" s="794"/>
    </row>
    <row r="461" spans="1:11" s="795" customFormat="1" ht="23.15" hidden="1" customHeight="1">
      <c r="A461" s="313"/>
      <c r="B461" s="675" t="s">
        <v>65</v>
      </c>
      <c r="C461" s="445"/>
      <c r="D461" s="430"/>
      <c r="E461" s="313"/>
      <c r="F461" s="301"/>
      <c r="G461" s="313"/>
      <c r="H461" s="1076"/>
      <c r="I461" s="793"/>
      <c r="J461" s="793"/>
      <c r="K461" s="794"/>
    </row>
    <row r="462" spans="1:11" s="795" customFormat="1" ht="23.15" hidden="1" customHeight="1">
      <c r="A462" s="313"/>
      <c r="B462" s="676" t="s">
        <v>14</v>
      </c>
      <c r="C462" s="445">
        <f>ROUND(D462,2)</f>
        <v>0</v>
      </c>
      <c r="D462" s="430"/>
      <c r="E462" s="445" t="s">
        <v>302</v>
      </c>
      <c r="F462" s="325">
        <f>VLOOKUP(B462,BQ!$B$6:$E$111,4,FALSE)</f>
        <v>18600</v>
      </c>
      <c r="G462" s="445" t="s">
        <v>302</v>
      </c>
      <c r="H462" s="1076">
        <f>F462*C462</f>
        <v>0</v>
      </c>
      <c r="I462" s="793">
        <f>H462</f>
        <v>0</v>
      </c>
      <c r="J462" s="793"/>
      <c r="K462" s="794"/>
    </row>
    <row r="463" spans="1:11" s="795" customFormat="1" ht="23.15" hidden="1" customHeight="1">
      <c r="A463" s="313"/>
      <c r="B463" s="676" t="s">
        <v>16</v>
      </c>
      <c r="C463" s="445">
        <f>ROUND(D463,2)</f>
        <v>0</v>
      </c>
      <c r="D463" s="430"/>
      <c r="E463" s="445" t="s">
        <v>11</v>
      </c>
      <c r="F463" s="325">
        <f>VLOOKUP(B463,BQ!$B$6:$E$111,4,FALSE)</f>
        <v>30000</v>
      </c>
      <c r="G463" s="445" t="s">
        <v>11</v>
      </c>
      <c r="H463" s="1076">
        <f>F463*C463</f>
        <v>0</v>
      </c>
      <c r="I463" s="793">
        <f>H463</f>
        <v>0</v>
      </c>
      <c r="J463" s="793"/>
      <c r="K463" s="794"/>
    </row>
    <row r="464" spans="1:11" s="795" customFormat="1" ht="23.15" hidden="1" customHeight="1">
      <c r="A464" s="313"/>
      <c r="B464" s="676" t="s">
        <v>24</v>
      </c>
      <c r="C464" s="445">
        <f>ROUND(D464,2)</f>
        <v>0</v>
      </c>
      <c r="D464" s="430"/>
      <c r="E464" s="445" t="s">
        <v>1</v>
      </c>
      <c r="F464" s="325">
        <f>VLOOKUP(B464,BQ!$B$6:$E$111,4,FALSE)</f>
        <v>380</v>
      </c>
      <c r="G464" s="445" t="s">
        <v>1</v>
      </c>
      <c r="H464" s="1076">
        <f>F464*C464</f>
        <v>0</v>
      </c>
      <c r="I464" s="793">
        <f>H464</f>
        <v>0</v>
      </c>
      <c r="J464" s="793"/>
      <c r="K464" s="794"/>
    </row>
    <row r="465" spans="1:11" s="795" customFormat="1" ht="23.15" hidden="1" customHeight="1">
      <c r="A465" s="313"/>
      <c r="B465" s="676" t="s">
        <v>409</v>
      </c>
      <c r="C465" s="445">
        <f>ROUND(D465,2)</f>
        <v>0</v>
      </c>
      <c r="D465" s="430"/>
      <c r="E465" s="445" t="s">
        <v>13</v>
      </c>
      <c r="F465" s="325">
        <f>VLOOKUP(B465,BQ!$B$6:$E$111,4,FALSE)</f>
        <v>65</v>
      </c>
      <c r="G465" s="445" t="s">
        <v>13</v>
      </c>
      <c r="H465" s="1076">
        <f>F465*C465</f>
        <v>0</v>
      </c>
      <c r="I465" s="793">
        <f>H465</f>
        <v>0</v>
      </c>
      <c r="J465" s="793"/>
      <c r="K465" s="794"/>
    </row>
    <row r="466" spans="1:11" s="795" customFormat="1" ht="23.15" hidden="1" customHeight="1">
      <c r="A466" s="313"/>
      <c r="B466" s="676"/>
      <c r="C466" s="445"/>
      <c r="D466" s="430"/>
      <c r="E466" s="791"/>
      <c r="F466" s="301"/>
      <c r="G466" s="796"/>
      <c r="H466" s="1076">
        <f>SUM(H462:H465)</f>
        <v>0</v>
      </c>
      <c r="I466" s="793"/>
      <c r="J466" s="793"/>
      <c r="K466" s="794"/>
    </row>
    <row r="467" spans="1:11" s="795" customFormat="1" ht="23.15" hidden="1" customHeight="1">
      <c r="A467" s="313"/>
      <c r="B467" s="675" t="s">
        <v>66</v>
      </c>
      <c r="C467" s="445"/>
      <c r="D467" s="430"/>
      <c r="E467" s="313"/>
      <c r="F467" s="301"/>
      <c r="G467" s="313"/>
      <c r="H467" s="1076"/>
      <c r="I467" s="793"/>
      <c r="J467" s="793"/>
      <c r="K467" s="794"/>
    </row>
    <row r="468" spans="1:11" s="795" customFormat="1" ht="23.15" hidden="1" customHeight="1">
      <c r="A468" s="313"/>
      <c r="B468" s="676" t="s">
        <v>69</v>
      </c>
      <c r="C468" s="445">
        <f>ROUND(D468,2)</f>
        <v>0</v>
      </c>
      <c r="D468" s="430"/>
      <c r="E468" s="313" t="s">
        <v>3</v>
      </c>
      <c r="F468" s="325">
        <f>VLOOKUP(B468,BQ!$B$6:$E$111,4,FALSE)</f>
        <v>30250.000000000004</v>
      </c>
      <c r="G468" s="313" t="s">
        <v>3</v>
      </c>
      <c r="H468" s="1076">
        <f>F468*C468</f>
        <v>0</v>
      </c>
      <c r="I468" s="793"/>
      <c r="J468" s="793">
        <f>H468</f>
        <v>0</v>
      </c>
      <c r="K468" s="794"/>
    </row>
    <row r="469" spans="1:11" s="795" customFormat="1" ht="23.15" hidden="1" customHeight="1">
      <c r="A469" s="313"/>
      <c r="B469" s="676" t="s">
        <v>67</v>
      </c>
      <c r="C469" s="445">
        <f>ROUND(D469,2)</f>
        <v>0</v>
      </c>
      <c r="D469" s="430"/>
      <c r="E469" s="313" t="s">
        <v>3</v>
      </c>
      <c r="F469" s="325">
        <f>VLOOKUP(B469,BQ!$B$6:$E$111,4,FALSE)</f>
        <v>21780</v>
      </c>
      <c r="G469" s="313" t="s">
        <v>3</v>
      </c>
      <c r="H469" s="1076">
        <f>F469*C469</f>
        <v>0</v>
      </c>
      <c r="I469" s="793"/>
      <c r="J469" s="793">
        <f>H469</f>
        <v>0</v>
      </c>
      <c r="K469" s="794"/>
    </row>
    <row r="470" spans="1:11" s="795" customFormat="1" ht="23.15" hidden="1" customHeight="1" thickBot="1">
      <c r="A470" s="313"/>
      <c r="B470" s="676"/>
      <c r="C470" s="445"/>
      <c r="D470" s="430"/>
      <c r="E470" s="313"/>
      <c r="F470" s="301"/>
      <c r="G470" s="313"/>
      <c r="H470" s="1076">
        <f>SUM(H468:H469)</f>
        <v>0</v>
      </c>
      <c r="I470" s="793"/>
      <c r="J470" s="793"/>
      <c r="K470" s="794"/>
    </row>
    <row r="471" spans="1:11" s="795" customFormat="1" ht="23.15" hidden="1" customHeight="1">
      <c r="A471" s="323"/>
      <c r="B471" s="803"/>
      <c r="C471" s="804"/>
      <c r="D471" s="526"/>
      <c r="E471" s="323"/>
      <c r="F471" s="805" t="s">
        <v>266</v>
      </c>
      <c r="G471" s="806" t="s">
        <v>221</v>
      </c>
      <c r="H471" s="1077">
        <f>H466+H470</f>
        <v>0</v>
      </c>
      <c r="I471" s="799"/>
      <c r="J471" s="799"/>
      <c r="K471" s="800"/>
    </row>
    <row r="472" spans="1:11" s="839" customFormat="1" ht="23.15" hidden="1" customHeight="1">
      <c r="A472" s="323"/>
      <c r="B472" s="803"/>
      <c r="C472" s="804"/>
      <c r="D472" s="526"/>
      <c r="E472" s="323"/>
      <c r="F472" s="813"/>
      <c r="G472" s="814"/>
      <c r="H472" s="1072"/>
      <c r="I472" s="799"/>
      <c r="J472" s="799"/>
      <c r="K472" s="838"/>
    </row>
    <row r="473" spans="1:11" s="396" customFormat="1" ht="23.15" customHeight="1">
      <c r="A473" s="313"/>
      <c r="B473" s="840" t="s">
        <v>577</v>
      </c>
      <c r="C473" s="790">
        <f>ROUND(D473,2)</f>
        <v>34.58</v>
      </c>
      <c r="D473" s="439">
        <f>Detail!K987/100</f>
        <v>34.582856</v>
      </c>
      <c r="E473" s="791" t="s">
        <v>220</v>
      </c>
      <c r="F473" s="301"/>
      <c r="G473" s="802"/>
      <c r="H473" s="1075">
        <f>H484</f>
        <v>13647400.449999999</v>
      </c>
      <c r="I473" s="799"/>
      <c r="J473" s="799"/>
      <c r="K473" s="809"/>
    </row>
    <row r="474" spans="1:11" s="795" customFormat="1" ht="23.15" customHeight="1">
      <c r="A474" s="313"/>
      <c r="B474" s="675" t="s">
        <v>65</v>
      </c>
      <c r="C474" s="445"/>
      <c r="D474" s="430"/>
      <c r="E474" s="313"/>
      <c r="F474" s="301"/>
      <c r="G474" s="313"/>
      <c r="H474" s="792"/>
      <c r="I474" s="793"/>
      <c r="J474" s="793"/>
      <c r="K474" s="794"/>
    </row>
    <row r="475" spans="1:11" s="795" customFormat="1" ht="23.15" customHeight="1">
      <c r="A475" s="313"/>
      <c r="B475" s="676" t="s">
        <v>14</v>
      </c>
      <c r="C475" s="445">
        <f>ROUND(D475,2)</f>
        <v>91.71</v>
      </c>
      <c r="D475" s="430">
        <f>D473*297/112</f>
        <v>91.706323500000011</v>
      </c>
      <c r="E475" s="445" t="s">
        <v>302</v>
      </c>
      <c r="F475" s="325">
        <f>VLOOKUP(B475,BQ!$B$6:$E$112,4,FALSE)</f>
        <v>18600</v>
      </c>
      <c r="G475" s="445" t="s">
        <v>302</v>
      </c>
      <c r="H475" s="792">
        <f>F475*C475</f>
        <v>1705806</v>
      </c>
      <c r="I475" s="793">
        <f>H475</f>
        <v>1705806</v>
      </c>
      <c r="J475" s="793"/>
      <c r="K475" s="794"/>
    </row>
    <row r="476" spans="1:11" s="795" customFormat="1" ht="23.15" customHeight="1">
      <c r="A476" s="313"/>
      <c r="B476" s="676" t="s">
        <v>16</v>
      </c>
      <c r="C476" s="445">
        <f>ROUND(D476,2)</f>
        <v>3.46</v>
      </c>
      <c r="D476" s="430">
        <f>D473*10/100</f>
        <v>3.4582856</v>
      </c>
      <c r="E476" s="445" t="s">
        <v>11</v>
      </c>
      <c r="F476" s="325">
        <f>VLOOKUP(B476,BQ!$B$6:$E$112,4,FALSE)</f>
        <v>30000</v>
      </c>
      <c r="G476" s="445" t="s">
        <v>11</v>
      </c>
      <c r="H476" s="792">
        <f>F476*C476</f>
        <v>103800</v>
      </c>
      <c r="I476" s="793">
        <f>H476</f>
        <v>103800</v>
      </c>
      <c r="J476" s="793"/>
      <c r="K476" s="794"/>
    </row>
    <row r="477" spans="1:11" s="795" customFormat="1" ht="23.15" customHeight="1">
      <c r="A477" s="313"/>
      <c r="B477" s="676" t="s">
        <v>24</v>
      </c>
      <c r="C477" s="445">
        <f>ROUND(D477,2)</f>
        <v>19019</v>
      </c>
      <c r="D477" s="430">
        <f>C473*550</f>
        <v>19019</v>
      </c>
      <c r="E477" s="445" t="s">
        <v>1</v>
      </c>
      <c r="F477" s="325">
        <f>VLOOKUP(B477,BQ!$B$6:$E$112,4,FALSE)</f>
        <v>380</v>
      </c>
      <c r="G477" s="445" t="s">
        <v>1</v>
      </c>
      <c r="H477" s="792">
        <f>F477*C477</f>
        <v>7227220</v>
      </c>
      <c r="I477" s="793">
        <f>H477</f>
        <v>7227220</v>
      </c>
      <c r="J477" s="793"/>
      <c r="K477" s="794"/>
    </row>
    <row r="478" spans="1:11" s="795" customFormat="1" ht="23.15" customHeight="1">
      <c r="A478" s="313"/>
      <c r="B478" s="676" t="s">
        <v>409</v>
      </c>
      <c r="C478" s="445">
        <f>ROUND(D478,2)</f>
        <v>3977.03</v>
      </c>
      <c r="D478" s="430">
        <f>D473*115</f>
        <v>3977.02844</v>
      </c>
      <c r="E478" s="445" t="s">
        <v>13</v>
      </c>
      <c r="F478" s="325">
        <f>VLOOKUP(B478,BQ!$B$6:$E$112,4,FALSE)</f>
        <v>65</v>
      </c>
      <c r="G478" s="445" t="s">
        <v>13</v>
      </c>
      <c r="H478" s="792">
        <f>F478*C478</f>
        <v>258506.95</v>
      </c>
      <c r="I478" s="793">
        <f>H478</f>
        <v>258506.95</v>
      </c>
      <c r="J478" s="793"/>
      <c r="K478" s="794"/>
    </row>
    <row r="479" spans="1:11" s="795" customFormat="1" ht="23.15" customHeight="1">
      <c r="A479" s="313"/>
      <c r="B479" s="676"/>
      <c r="C479" s="445"/>
      <c r="D479" s="430"/>
      <c r="E479" s="791"/>
      <c r="F479" s="301"/>
      <c r="G479" s="796"/>
      <c r="H479" s="792">
        <f>SUM(H475:H478)</f>
        <v>9295332.9499999993</v>
      </c>
      <c r="I479" s="793"/>
      <c r="J479" s="793"/>
      <c r="K479" s="794"/>
    </row>
    <row r="480" spans="1:11" s="795" customFormat="1" ht="23.15" customHeight="1">
      <c r="A480" s="313"/>
      <c r="B480" s="675" t="s">
        <v>66</v>
      </c>
      <c r="C480" s="445"/>
      <c r="D480" s="430"/>
      <c r="E480" s="313"/>
      <c r="F480" s="301"/>
      <c r="G480" s="313"/>
      <c r="H480" s="792"/>
      <c r="I480" s="793"/>
      <c r="J480" s="793"/>
      <c r="K480" s="794"/>
    </row>
    <row r="481" spans="1:11" s="795" customFormat="1" ht="23.15" customHeight="1">
      <c r="A481" s="313"/>
      <c r="B481" s="676" t="s">
        <v>69</v>
      </c>
      <c r="C481" s="445">
        <f>ROUND(D481,2)</f>
        <v>69.17</v>
      </c>
      <c r="D481" s="430">
        <f>D473*2</f>
        <v>69.165711999999999</v>
      </c>
      <c r="E481" s="313" t="s">
        <v>3</v>
      </c>
      <c r="F481" s="325">
        <f>VLOOKUP(B481,BQ!$B$6:$E$112,4,FALSE)</f>
        <v>30250.000000000004</v>
      </c>
      <c r="G481" s="313" t="s">
        <v>3</v>
      </c>
      <c r="H481" s="792">
        <f>F481*C481</f>
        <v>2092392.5000000002</v>
      </c>
      <c r="I481" s="793"/>
      <c r="J481" s="793">
        <f>H481</f>
        <v>2092392.5000000002</v>
      </c>
      <c r="K481" s="794"/>
    </row>
    <row r="482" spans="1:11" s="795" customFormat="1" ht="23.15" customHeight="1">
      <c r="A482" s="313"/>
      <c r="B482" s="676" t="s">
        <v>67</v>
      </c>
      <c r="C482" s="445">
        <f>ROUND(D482,2)</f>
        <v>103.75</v>
      </c>
      <c r="D482" s="430">
        <f>D473*3</f>
        <v>103.74856800000001</v>
      </c>
      <c r="E482" s="313" t="s">
        <v>3</v>
      </c>
      <c r="F482" s="325">
        <f>VLOOKUP(B482,BQ!$B$6:$E$112,4,FALSE)</f>
        <v>21780</v>
      </c>
      <c r="G482" s="313" t="s">
        <v>3</v>
      </c>
      <c r="H482" s="792">
        <f>F482*C482</f>
        <v>2259675</v>
      </c>
      <c r="I482" s="793"/>
      <c r="J482" s="793">
        <f>H482</f>
        <v>2259675</v>
      </c>
      <c r="K482" s="794"/>
    </row>
    <row r="483" spans="1:11" s="795" customFormat="1" ht="23.15" customHeight="1" thickBot="1">
      <c r="A483" s="313"/>
      <c r="B483" s="676"/>
      <c r="C483" s="445"/>
      <c r="D483" s="430"/>
      <c r="E483" s="313"/>
      <c r="F483" s="301"/>
      <c r="G483" s="313"/>
      <c r="H483" s="792">
        <f>SUM(H481:H482)</f>
        <v>4352067.5</v>
      </c>
      <c r="I483" s="793"/>
      <c r="J483" s="793"/>
      <c r="K483" s="794"/>
    </row>
    <row r="484" spans="1:11" s="795" customFormat="1" ht="23.15" customHeight="1">
      <c r="A484" s="323"/>
      <c r="B484" s="803"/>
      <c r="C484" s="804"/>
      <c r="D484" s="526"/>
      <c r="E484" s="323"/>
      <c r="F484" s="805" t="s">
        <v>266</v>
      </c>
      <c r="G484" s="806" t="s">
        <v>221</v>
      </c>
      <c r="H484" s="807">
        <f>H479+H483</f>
        <v>13647400.449999999</v>
      </c>
      <c r="I484" s="799"/>
      <c r="J484" s="799"/>
      <c r="K484" s="800"/>
    </row>
    <row r="485" spans="1:11" s="396" customFormat="1" ht="23.15" customHeight="1">
      <c r="A485" s="313"/>
      <c r="B485" s="676"/>
      <c r="C485" s="445"/>
      <c r="D485" s="430"/>
      <c r="E485" s="313"/>
      <c r="F485" s="301"/>
      <c r="G485" s="802"/>
      <c r="H485" s="808"/>
      <c r="I485" s="799"/>
      <c r="J485" s="799"/>
      <c r="K485" s="809"/>
    </row>
    <row r="486" spans="1:11" s="795" customFormat="1" ht="23.15" customHeight="1">
      <c r="A486" s="323"/>
      <c r="B486" s="803"/>
      <c r="C486" s="804"/>
      <c r="D486" s="526">
        <f>D498+D510</f>
        <v>92.312268000000003</v>
      </c>
      <c r="E486" s="323"/>
      <c r="F486" s="813"/>
      <c r="G486" s="814"/>
      <c r="H486" s="811"/>
      <c r="I486" s="799"/>
      <c r="J486" s="799"/>
      <c r="K486" s="800"/>
    </row>
    <row r="487" spans="1:11" s="795" customFormat="1" ht="31">
      <c r="A487" s="788">
        <v>15</v>
      </c>
      <c r="B487" s="812" t="s">
        <v>566</v>
      </c>
      <c r="C487" s="790">
        <f>ROUND(D487,2)</f>
        <v>92.31</v>
      </c>
      <c r="D487" s="439">
        <f>Detail!K1006</f>
        <v>92.312268000000003</v>
      </c>
      <c r="E487" s="791" t="s">
        <v>220</v>
      </c>
      <c r="F487" s="301"/>
      <c r="G487" s="313"/>
      <c r="H487" s="808">
        <f>H508+H519</f>
        <v>14477522.9</v>
      </c>
      <c r="I487" s="793"/>
      <c r="J487" s="793"/>
      <c r="K487" s="794"/>
    </row>
    <row r="488" spans="1:11" s="795" customFormat="1" ht="23.15" hidden="1" customHeight="1">
      <c r="A488" s="313"/>
      <c r="B488" s="675" t="s">
        <v>65</v>
      </c>
      <c r="C488" s="445"/>
      <c r="D488" s="430"/>
      <c r="E488" s="313"/>
      <c r="F488" s="301"/>
      <c r="G488" s="313"/>
      <c r="H488" s="792"/>
      <c r="I488" s="793"/>
      <c r="J488" s="793"/>
      <c r="K488" s="794"/>
    </row>
    <row r="489" spans="1:11" s="795" customFormat="1" ht="23.15" hidden="1" customHeight="1">
      <c r="A489" s="313"/>
      <c r="B489" s="676" t="s">
        <v>14</v>
      </c>
      <c r="C489" s="445">
        <f>ROUND(D489,2)</f>
        <v>0</v>
      </c>
      <c r="D489" s="430"/>
      <c r="E489" s="445" t="s">
        <v>302</v>
      </c>
      <c r="F489" s="325">
        <f>VLOOKUP(B489,BQ!$B$6:$E$111,4,FALSE)</f>
        <v>18600</v>
      </c>
      <c r="G489" s="445" t="s">
        <v>302</v>
      </c>
      <c r="H489" s="792">
        <f>F489*C489</f>
        <v>0</v>
      </c>
      <c r="I489" s="793">
        <f>H489</f>
        <v>0</v>
      </c>
      <c r="J489" s="793"/>
      <c r="K489" s="794"/>
    </row>
    <row r="490" spans="1:11" s="795" customFormat="1" ht="23.15" hidden="1" customHeight="1">
      <c r="A490" s="313"/>
      <c r="B490" s="676" t="s">
        <v>16</v>
      </c>
      <c r="C490" s="445">
        <f>ROUND(D490,2)</f>
        <v>0</v>
      </c>
      <c r="D490" s="430"/>
      <c r="E490" s="445" t="s">
        <v>11</v>
      </c>
      <c r="F490" s="325">
        <f>VLOOKUP(B490,BQ!$B$6:$E$111,4,FALSE)</f>
        <v>30000</v>
      </c>
      <c r="G490" s="445" t="s">
        <v>11</v>
      </c>
      <c r="H490" s="792">
        <f>F490*C490</f>
        <v>0</v>
      </c>
      <c r="I490" s="793">
        <f>H490</f>
        <v>0</v>
      </c>
      <c r="J490" s="793"/>
      <c r="K490" s="794"/>
    </row>
    <row r="491" spans="1:11" s="795" customFormat="1" ht="23.15" hidden="1" customHeight="1">
      <c r="A491" s="313"/>
      <c r="B491" s="676"/>
      <c r="C491" s="445"/>
      <c r="D491" s="430"/>
      <c r="E491" s="791"/>
      <c r="F491" s="301"/>
      <c r="G491" s="796"/>
      <c r="H491" s="792">
        <f>SUM(H489:H490)</f>
        <v>0</v>
      </c>
      <c r="I491" s="793"/>
      <c r="J491" s="793"/>
      <c r="K491" s="794"/>
    </row>
    <row r="492" spans="1:11" s="795" customFormat="1" ht="23.15" hidden="1" customHeight="1">
      <c r="A492" s="313"/>
      <c r="B492" s="675" t="s">
        <v>66</v>
      </c>
      <c r="C492" s="445"/>
      <c r="D492" s="430"/>
      <c r="E492" s="313"/>
      <c r="F492" s="301"/>
      <c r="G492" s="313"/>
      <c r="H492" s="792"/>
      <c r="I492" s="793"/>
      <c r="J492" s="793"/>
      <c r="K492" s="794"/>
    </row>
    <row r="493" spans="1:11" s="795" customFormat="1" ht="23.15" hidden="1" customHeight="1">
      <c r="A493" s="313"/>
      <c r="B493" s="676" t="s">
        <v>69</v>
      </c>
      <c r="C493" s="445">
        <f>ROUND(D493,2)</f>
        <v>0</v>
      </c>
      <c r="D493" s="430"/>
      <c r="E493" s="313" t="s">
        <v>3</v>
      </c>
      <c r="F493" s="325">
        <f>VLOOKUP(B493,BQ!$B$6:$E$111,4,FALSE)</f>
        <v>30250.000000000004</v>
      </c>
      <c r="G493" s="313" t="s">
        <v>3</v>
      </c>
      <c r="H493" s="792">
        <f>F493*C493</f>
        <v>0</v>
      </c>
      <c r="I493" s="793"/>
      <c r="J493" s="793">
        <f>H493</f>
        <v>0</v>
      </c>
      <c r="K493" s="794"/>
    </row>
    <row r="494" spans="1:11" s="795" customFormat="1" ht="23.15" hidden="1" customHeight="1">
      <c r="A494" s="313"/>
      <c r="B494" s="676" t="s">
        <v>67</v>
      </c>
      <c r="C494" s="445">
        <f>ROUND(D494,2)</f>
        <v>0</v>
      </c>
      <c r="D494" s="430"/>
      <c r="E494" s="313" t="s">
        <v>3</v>
      </c>
      <c r="F494" s="325">
        <f>VLOOKUP(B494,BQ!$B$6:$E$111,4,FALSE)</f>
        <v>21780</v>
      </c>
      <c r="G494" s="313" t="s">
        <v>3</v>
      </c>
      <c r="H494" s="792">
        <f>F494*C494</f>
        <v>0</v>
      </c>
      <c r="I494" s="793"/>
      <c r="J494" s="793">
        <f>H494</f>
        <v>0</v>
      </c>
      <c r="K494" s="794"/>
    </row>
    <row r="495" spans="1:11" s="795" customFormat="1" ht="23.15" hidden="1" customHeight="1" thickBot="1">
      <c r="A495" s="313"/>
      <c r="B495" s="676"/>
      <c r="C495" s="445"/>
      <c r="D495" s="430"/>
      <c r="E495" s="313"/>
      <c r="F495" s="301"/>
      <c r="G495" s="313"/>
      <c r="H495" s="792">
        <f>SUM(H493:H494)</f>
        <v>0</v>
      </c>
      <c r="I495" s="793"/>
      <c r="J495" s="793"/>
      <c r="K495" s="794"/>
    </row>
    <row r="496" spans="1:11" s="795" customFormat="1" ht="23.15" hidden="1" customHeight="1" thickBot="1">
      <c r="A496" s="313"/>
      <c r="B496" s="676"/>
      <c r="C496" s="445"/>
      <c r="D496" s="430"/>
      <c r="E496" s="313"/>
      <c r="F496" s="555" t="s">
        <v>266</v>
      </c>
      <c r="G496" s="797" t="s">
        <v>221</v>
      </c>
      <c r="H496" s="798">
        <f>H491+H495</f>
        <v>0</v>
      </c>
      <c r="I496" s="799"/>
      <c r="J496" s="799"/>
      <c r="K496" s="800"/>
    </row>
    <row r="497" spans="1:11" s="839" customFormat="1" ht="23.15" hidden="1" customHeight="1" thickTop="1">
      <c r="A497" s="313"/>
      <c r="B497" s="676"/>
      <c r="C497" s="445"/>
      <c r="D497" s="430"/>
      <c r="E497" s="313"/>
      <c r="F497" s="813"/>
      <c r="G497" s="814"/>
      <c r="H497" s="811"/>
      <c r="I497" s="799"/>
      <c r="J497" s="799"/>
      <c r="K497" s="838"/>
    </row>
    <row r="498" spans="1:11" s="396" customFormat="1" ht="23.15" customHeight="1">
      <c r="A498" s="313"/>
      <c r="B498" s="840" t="s">
        <v>578</v>
      </c>
      <c r="C498" s="790">
        <f>ROUND(D498,2)</f>
        <v>76.61</v>
      </c>
      <c r="D498" s="439">
        <f>Detail!K1000/100</f>
        <v>76.611512000000005</v>
      </c>
      <c r="E498" s="791" t="s">
        <v>220</v>
      </c>
      <c r="F498" s="301"/>
      <c r="G498" s="802"/>
      <c r="H498" s="808">
        <f>H508</f>
        <v>12117253.4</v>
      </c>
      <c r="I498" s="799"/>
      <c r="J498" s="799"/>
      <c r="K498" s="809"/>
    </row>
    <row r="499" spans="1:11" s="795" customFormat="1" ht="23.15" customHeight="1">
      <c r="A499" s="313"/>
      <c r="B499" s="675" t="s">
        <v>65</v>
      </c>
      <c r="C499" s="445"/>
      <c r="D499" s="430"/>
      <c r="E499" s="313"/>
      <c r="F499" s="301"/>
      <c r="G499" s="313"/>
      <c r="H499" s="792"/>
      <c r="I499" s="793"/>
      <c r="J499" s="793"/>
      <c r="K499" s="794"/>
    </row>
    <row r="500" spans="1:11" s="795" customFormat="1" ht="23.15" customHeight="1">
      <c r="A500" s="313"/>
      <c r="B500" s="676" t="s">
        <v>14</v>
      </c>
      <c r="C500" s="445">
        <f>ROUND(D500,2)</f>
        <v>153.91</v>
      </c>
      <c r="D500" s="430">
        <f>D498*225/112</f>
        <v>153.90705535714287</v>
      </c>
      <c r="E500" s="445" t="s">
        <v>302</v>
      </c>
      <c r="F500" s="325">
        <f>VLOOKUP(B500,BQ!$B$6:$E$112,4,FALSE)</f>
        <v>18600</v>
      </c>
      <c r="G500" s="445" t="s">
        <v>302</v>
      </c>
      <c r="H500" s="792">
        <f>F500*C500</f>
        <v>2862726</v>
      </c>
      <c r="I500" s="793">
        <f>H500</f>
        <v>2862726</v>
      </c>
      <c r="J500" s="793"/>
      <c r="K500" s="794"/>
    </row>
    <row r="501" spans="1:11" s="795" customFormat="1" ht="23.15" customHeight="1">
      <c r="A501" s="313"/>
      <c r="B501" s="676" t="s">
        <v>16</v>
      </c>
      <c r="C501" s="445">
        <f>ROUND(D501,2)</f>
        <v>5.75</v>
      </c>
      <c r="D501" s="430">
        <f>D498*7.5/100</f>
        <v>5.7458634000000011</v>
      </c>
      <c r="E501" s="445" t="s">
        <v>11</v>
      </c>
      <c r="F501" s="325">
        <f>VLOOKUP(B501,BQ!$B$6:$E$112,4,FALSE)</f>
        <v>30000</v>
      </c>
      <c r="G501" s="445" t="s">
        <v>11</v>
      </c>
      <c r="H501" s="792">
        <f>F501*C501</f>
        <v>172500</v>
      </c>
      <c r="I501" s="793">
        <f>H501</f>
        <v>172500</v>
      </c>
      <c r="J501" s="793"/>
      <c r="K501" s="794"/>
    </row>
    <row r="502" spans="1:11" s="795" customFormat="1" ht="23.15" customHeight="1">
      <c r="A502" s="313"/>
      <c r="B502" s="676" t="s">
        <v>606</v>
      </c>
      <c r="C502" s="445">
        <f>ROUND(D502,0)</f>
        <v>6</v>
      </c>
      <c r="D502" s="430">
        <f>Detail!K1015*1.1</f>
        <v>5.94087168546175</v>
      </c>
      <c r="E502" s="445" t="s">
        <v>605</v>
      </c>
      <c r="F502" s="325">
        <f>VLOOKUP(B502,BQ!$B$6:$E$112,4,FALSE)</f>
        <v>100000</v>
      </c>
      <c r="G502" s="445" t="s">
        <v>605</v>
      </c>
      <c r="H502" s="792">
        <f>F502*C502</f>
        <v>600000</v>
      </c>
      <c r="I502" s="793">
        <f>H502</f>
        <v>600000</v>
      </c>
      <c r="J502" s="793"/>
      <c r="K502" s="794"/>
    </row>
    <row r="503" spans="1:11" s="795" customFormat="1" ht="23.15" customHeight="1">
      <c r="A503" s="313"/>
      <c r="B503" s="676"/>
      <c r="C503" s="445"/>
      <c r="D503" s="430"/>
      <c r="E503" s="791"/>
      <c r="F503" s="301"/>
      <c r="G503" s="796"/>
      <c r="H503" s="792">
        <f>SUM(H500:H502)</f>
        <v>3635226</v>
      </c>
      <c r="I503" s="793"/>
      <c r="J503" s="793"/>
      <c r="K503" s="794"/>
    </row>
    <row r="504" spans="1:11" s="795" customFormat="1" ht="23.15" customHeight="1">
      <c r="A504" s="313"/>
      <c r="B504" s="675" t="s">
        <v>66</v>
      </c>
      <c r="C504" s="445"/>
      <c r="D504" s="430"/>
      <c r="E504" s="313"/>
      <c r="F504" s="301"/>
      <c r="G504" s="313"/>
      <c r="H504" s="792"/>
      <c r="I504" s="793"/>
      <c r="J504" s="793"/>
      <c r="K504" s="794"/>
    </row>
    <row r="505" spans="1:11" s="795" customFormat="1" ht="23.15" customHeight="1">
      <c r="A505" s="313"/>
      <c r="B505" s="676" t="s">
        <v>69</v>
      </c>
      <c r="C505" s="445">
        <f>ROUND(D505,2)</f>
        <v>114.92</v>
      </c>
      <c r="D505" s="430">
        <f>D498*1.5</f>
        <v>114.91726800000001</v>
      </c>
      <c r="E505" s="313" t="s">
        <v>3</v>
      </c>
      <c r="F505" s="325">
        <f>VLOOKUP(B505,BQ!$B$6:$E$112,4,FALSE)</f>
        <v>30250.000000000004</v>
      </c>
      <c r="G505" s="313" t="s">
        <v>3</v>
      </c>
      <c r="H505" s="792">
        <f>F505*C505</f>
        <v>3476330.0000000005</v>
      </c>
      <c r="I505" s="793"/>
      <c r="J505" s="793">
        <f>H505</f>
        <v>3476330.0000000005</v>
      </c>
      <c r="K505" s="794"/>
    </row>
    <row r="506" spans="1:11" s="795" customFormat="1" ht="23.15" customHeight="1">
      <c r="A506" s="313"/>
      <c r="B506" s="676" t="s">
        <v>67</v>
      </c>
      <c r="C506" s="445">
        <f>ROUND(D506,2)</f>
        <v>229.83</v>
      </c>
      <c r="D506" s="430">
        <f>D498*3</f>
        <v>229.83453600000001</v>
      </c>
      <c r="E506" s="313" t="s">
        <v>3</v>
      </c>
      <c r="F506" s="325">
        <f>VLOOKUP(B506,BQ!$B$6:$E$112,4,FALSE)</f>
        <v>21780</v>
      </c>
      <c r="G506" s="313" t="s">
        <v>3</v>
      </c>
      <c r="H506" s="792">
        <f>F506*C506</f>
        <v>5005697.4000000004</v>
      </c>
      <c r="I506" s="793"/>
      <c r="J506" s="793">
        <f>H506</f>
        <v>5005697.4000000004</v>
      </c>
      <c r="K506" s="794"/>
    </row>
    <row r="507" spans="1:11" s="795" customFormat="1" ht="23.15" customHeight="1" thickBot="1">
      <c r="A507" s="313"/>
      <c r="B507" s="676"/>
      <c r="C507" s="445"/>
      <c r="D507" s="430"/>
      <c r="E507" s="313"/>
      <c r="F507" s="301"/>
      <c r="G507" s="313"/>
      <c r="H507" s="792">
        <f>SUM(H505:H506)</f>
        <v>8482027.4000000004</v>
      </c>
      <c r="I507" s="793"/>
      <c r="J507" s="793"/>
      <c r="K507" s="794"/>
    </row>
    <row r="508" spans="1:11" s="795" customFormat="1" ht="23.15" customHeight="1" thickBot="1">
      <c r="A508" s="313"/>
      <c r="B508" s="676"/>
      <c r="C508" s="445"/>
      <c r="D508" s="430"/>
      <c r="E508" s="313"/>
      <c r="F508" s="555" t="s">
        <v>266</v>
      </c>
      <c r="G508" s="797" t="s">
        <v>221</v>
      </c>
      <c r="H508" s="798">
        <f>H503+H507</f>
        <v>12117253.4</v>
      </c>
      <c r="I508" s="799"/>
      <c r="J508" s="799"/>
      <c r="K508" s="800"/>
    </row>
    <row r="509" spans="1:11" s="396" customFormat="1" ht="23.15" customHeight="1" thickTop="1">
      <c r="A509" s="313"/>
      <c r="B509" s="676"/>
      <c r="C509" s="445"/>
      <c r="D509" s="430"/>
      <c r="E509" s="313"/>
      <c r="F509" s="301"/>
      <c r="G509" s="802"/>
      <c r="H509" s="808"/>
      <c r="I509" s="799"/>
      <c r="J509" s="799"/>
      <c r="K509" s="809"/>
    </row>
    <row r="510" spans="1:11" s="396" customFormat="1" ht="23.15" customHeight="1">
      <c r="A510" s="313"/>
      <c r="B510" s="840" t="s">
        <v>644</v>
      </c>
      <c r="C510" s="790">
        <f>ROUND(D510,2)</f>
        <v>15.7</v>
      </c>
      <c r="D510" s="439">
        <f>Detail!K1004/100</f>
        <v>15.700756000000002</v>
      </c>
      <c r="E510" s="791" t="s">
        <v>220</v>
      </c>
      <c r="F510" s="301"/>
      <c r="G510" s="802"/>
      <c r="H510" s="808">
        <f>H519</f>
        <v>2360269.5</v>
      </c>
      <c r="I510" s="799"/>
      <c r="J510" s="799"/>
      <c r="K510" s="809"/>
    </row>
    <row r="511" spans="1:11" s="795" customFormat="1" ht="23.15" customHeight="1">
      <c r="A511" s="313"/>
      <c r="B511" s="675" t="s">
        <v>65</v>
      </c>
      <c r="C511" s="445"/>
      <c r="D511" s="430"/>
      <c r="E511" s="313"/>
      <c r="F511" s="301"/>
      <c r="G511" s="313"/>
      <c r="H511" s="792"/>
      <c r="I511" s="793"/>
      <c r="J511" s="793"/>
      <c r="K511" s="794"/>
    </row>
    <row r="512" spans="1:11" s="795" customFormat="1" ht="23.15" customHeight="1">
      <c r="A512" s="313"/>
      <c r="B512" s="676" t="s">
        <v>14</v>
      </c>
      <c r="C512" s="445">
        <f>ROUND(D512,2)</f>
        <v>31.54</v>
      </c>
      <c r="D512" s="430">
        <f>D510*225/112</f>
        <v>31.541697321428575</v>
      </c>
      <c r="E512" s="445" t="s">
        <v>302</v>
      </c>
      <c r="F512" s="325">
        <f>VLOOKUP(B512,BQ!$B$6:$E$112,4,FALSE)</f>
        <v>18600</v>
      </c>
      <c r="G512" s="445" t="s">
        <v>302</v>
      </c>
      <c r="H512" s="792">
        <f>F512*C512</f>
        <v>586644</v>
      </c>
      <c r="I512" s="793">
        <f>H512</f>
        <v>586644</v>
      </c>
      <c r="J512" s="793"/>
      <c r="K512" s="794"/>
    </row>
    <row r="513" spans="1:11" s="795" customFormat="1" ht="23.15" customHeight="1">
      <c r="A513" s="313"/>
      <c r="B513" s="676" t="s">
        <v>16</v>
      </c>
      <c r="C513" s="445">
        <f>ROUND(D513,2)</f>
        <v>1.18</v>
      </c>
      <c r="D513" s="430">
        <f>D510*7.5/100</f>
        <v>1.1775567</v>
      </c>
      <c r="E513" s="445" t="s">
        <v>11</v>
      </c>
      <c r="F513" s="325">
        <f>VLOOKUP(B513,BQ!$B$6:$E$112,4,FALSE)</f>
        <v>30000</v>
      </c>
      <c r="G513" s="445" t="s">
        <v>11</v>
      </c>
      <c r="H513" s="792">
        <f>F513*C513</f>
        <v>35400</v>
      </c>
      <c r="I513" s="793">
        <f>H513</f>
        <v>35400</v>
      </c>
      <c r="J513" s="793"/>
      <c r="K513" s="794"/>
    </row>
    <row r="514" spans="1:11" s="795" customFormat="1" ht="23.15" customHeight="1">
      <c r="A514" s="313"/>
      <c r="B514" s="676"/>
      <c r="C514" s="445"/>
      <c r="D514" s="430"/>
      <c r="E514" s="791"/>
      <c r="F514" s="301"/>
      <c r="G514" s="796"/>
      <c r="H514" s="792">
        <f>SUM(H512:H513)</f>
        <v>622044</v>
      </c>
      <c r="I514" s="793"/>
      <c r="J514" s="793"/>
      <c r="K514" s="794"/>
    </row>
    <row r="515" spans="1:11" s="795" customFormat="1" ht="23.15" customHeight="1">
      <c r="A515" s="313"/>
      <c r="B515" s="675" t="s">
        <v>66</v>
      </c>
      <c r="C515" s="445"/>
      <c r="D515" s="430"/>
      <c r="E515" s="313"/>
      <c r="F515" s="301"/>
      <c r="G515" s="313"/>
      <c r="H515" s="792"/>
      <c r="I515" s="793"/>
      <c r="J515" s="793"/>
      <c r="K515" s="794"/>
    </row>
    <row r="516" spans="1:11" s="795" customFormat="1" ht="23.15" customHeight="1">
      <c r="A516" s="313"/>
      <c r="B516" s="676" t="s">
        <v>69</v>
      </c>
      <c r="C516" s="445">
        <f>ROUND(D516,2)</f>
        <v>23.55</v>
      </c>
      <c r="D516" s="430">
        <f>D510*1.5</f>
        <v>23.551134000000005</v>
      </c>
      <c r="E516" s="313" t="s">
        <v>3</v>
      </c>
      <c r="F516" s="325">
        <f>VLOOKUP(B516,BQ!$B$6:$E$112,4,FALSE)</f>
        <v>30250.000000000004</v>
      </c>
      <c r="G516" s="313" t="s">
        <v>3</v>
      </c>
      <c r="H516" s="792">
        <f>F516*C516</f>
        <v>712387.50000000012</v>
      </c>
      <c r="I516" s="793"/>
      <c r="J516" s="793">
        <f>H516</f>
        <v>712387.50000000012</v>
      </c>
      <c r="K516" s="794"/>
    </row>
    <row r="517" spans="1:11" s="795" customFormat="1" ht="23.15" customHeight="1">
      <c r="A517" s="313"/>
      <c r="B517" s="676" t="s">
        <v>67</v>
      </c>
      <c r="C517" s="445">
        <f>ROUND(D517,2)</f>
        <v>47.1</v>
      </c>
      <c r="D517" s="430">
        <f>D510*3</f>
        <v>47.102268000000009</v>
      </c>
      <c r="E517" s="313" t="s">
        <v>3</v>
      </c>
      <c r="F517" s="325">
        <f>VLOOKUP(B517,BQ!$B$6:$E$112,4,FALSE)</f>
        <v>21780</v>
      </c>
      <c r="G517" s="313" t="s">
        <v>3</v>
      </c>
      <c r="H517" s="792">
        <f>F517*C517</f>
        <v>1025838</v>
      </c>
      <c r="I517" s="793"/>
      <c r="J517" s="793">
        <f>H517</f>
        <v>1025838</v>
      </c>
      <c r="K517" s="794"/>
    </row>
    <row r="518" spans="1:11" s="795" customFormat="1" ht="23.15" customHeight="1" thickBot="1">
      <c r="A518" s="313"/>
      <c r="B518" s="676"/>
      <c r="C518" s="445"/>
      <c r="D518" s="430"/>
      <c r="E518" s="313"/>
      <c r="F518" s="301"/>
      <c r="G518" s="313"/>
      <c r="H518" s="792">
        <f>SUM(H516:H517)</f>
        <v>1738225.5</v>
      </c>
      <c r="I518" s="793"/>
      <c r="J518" s="793"/>
      <c r="K518" s="794"/>
    </row>
    <row r="519" spans="1:11" s="795" customFormat="1" ht="23.15" customHeight="1" thickBot="1">
      <c r="A519" s="313"/>
      <c r="B519" s="676"/>
      <c r="C519" s="445"/>
      <c r="D519" s="430"/>
      <c r="E519" s="313"/>
      <c r="F519" s="555" t="s">
        <v>266</v>
      </c>
      <c r="G519" s="797" t="s">
        <v>221</v>
      </c>
      <c r="H519" s="798">
        <f>H514+H518</f>
        <v>2360269.5</v>
      </c>
      <c r="I519" s="799"/>
      <c r="J519" s="799"/>
      <c r="K519" s="800"/>
    </row>
    <row r="520" spans="1:11" s="396" customFormat="1" ht="23.15" customHeight="1" thickTop="1">
      <c r="A520" s="313"/>
      <c r="B520" s="676"/>
      <c r="C520" s="445"/>
      <c r="D520" s="430"/>
      <c r="E520" s="313"/>
      <c r="F520" s="301"/>
      <c r="G520" s="802"/>
      <c r="H520" s="808"/>
      <c r="I520" s="799"/>
      <c r="J520" s="799"/>
      <c r="K520" s="809"/>
    </row>
    <row r="521" spans="1:11" s="795" customFormat="1" ht="31">
      <c r="A521" s="788">
        <v>16</v>
      </c>
      <c r="B521" s="812" t="s">
        <v>839</v>
      </c>
      <c r="C521" s="790">
        <f>ROUND(D521,2)</f>
        <v>92.31</v>
      </c>
      <c r="D521" s="439">
        <f>Detail!K1020</f>
        <v>92.312268000000003</v>
      </c>
      <c r="E521" s="791" t="s">
        <v>220</v>
      </c>
      <c r="F521" s="301"/>
      <c r="G521" s="313"/>
      <c r="H521" s="808">
        <f>H532</f>
        <v>9240593.3000000007</v>
      </c>
      <c r="I521" s="793"/>
      <c r="J521" s="793"/>
      <c r="K521" s="794"/>
    </row>
    <row r="522" spans="1:11" s="795" customFormat="1" ht="23.15" customHeight="1">
      <c r="A522" s="313"/>
      <c r="B522" s="675" t="s">
        <v>65</v>
      </c>
      <c r="C522" s="445"/>
      <c r="D522" s="430"/>
      <c r="E522" s="313"/>
      <c r="F522" s="301"/>
      <c r="G522" s="313"/>
      <c r="H522" s="792"/>
      <c r="I522" s="793"/>
      <c r="J522" s="793"/>
      <c r="K522" s="794"/>
    </row>
    <row r="523" spans="1:11" s="795" customFormat="1" ht="23.15" customHeight="1">
      <c r="A523" s="313"/>
      <c r="B523" s="676" t="s">
        <v>374</v>
      </c>
      <c r="C523" s="445">
        <f>ROUNDUP(D523,0)</f>
        <v>37</v>
      </c>
      <c r="D523" s="430">
        <f>D521*0.4</f>
        <v>36.9249072</v>
      </c>
      <c r="E523" s="445" t="s">
        <v>302</v>
      </c>
      <c r="F523" s="325">
        <f>VLOOKUP(B523,BQ!$B$6:$E$112,4,FALSE)</f>
        <v>24000</v>
      </c>
      <c r="G523" s="445" t="str">
        <f>E523</f>
        <v>Bags</v>
      </c>
      <c r="H523" s="792">
        <f>F523*C523</f>
        <v>888000</v>
      </c>
      <c r="I523" s="793">
        <f>H523</f>
        <v>888000</v>
      </c>
      <c r="J523" s="793"/>
      <c r="K523" s="794"/>
    </row>
    <row r="524" spans="1:11" s="795" customFormat="1" ht="23.15" customHeight="1">
      <c r="A524" s="313"/>
      <c r="B524" s="676" t="s">
        <v>869</v>
      </c>
      <c r="C524" s="445">
        <f>ROUND(D524,2)</f>
        <v>23.08</v>
      </c>
      <c r="D524" s="430">
        <f>D521*0.25</f>
        <v>23.078067000000001</v>
      </c>
      <c r="E524" s="445" t="s">
        <v>23</v>
      </c>
      <c r="F524" s="325">
        <f>VLOOKUP(B524,BQ!$B$6:$E$112,4,FALSE)</f>
        <v>130200</v>
      </c>
      <c r="G524" s="445" t="str">
        <f>E524</f>
        <v>Gal</v>
      </c>
      <c r="H524" s="792">
        <f>F524*C524</f>
        <v>3005016</v>
      </c>
      <c r="I524" s="793">
        <f>H524</f>
        <v>3005016</v>
      </c>
      <c r="J524" s="793"/>
      <c r="K524" s="794"/>
    </row>
    <row r="525" spans="1:11" s="795" customFormat="1" ht="23.15" customHeight="1">
      <c r="A525" s="313"/>
      <c r="B525" s="676" t="s">
        <v>73</v>
      </c>
      <c r="C525" s="445">
        <f>ROUND(D525,2)</f>
        <v>23.08</v>
      </c>
      <c r="D525" s="430">
        <f>D521*0.25</f>
        <v>23.078067000000001</v>
      </c>
      <c r="E525" s="445" t="s">
        <v>154</v>
      </c>
      <c r="F525" s="325">
        <f>VLOOKUP(B525,BQ!$B$6:$E$112,4,FALSE)</f>
        <v>21600</v>
      </c>
      <c r="G525" s="445" t="str">
        <f>E525</f>
        <v>Doz</v>
      </c>
      <c r="H525" s="792">
        <f>F525*C525</f>
        <v>498527.99999999994</v>
      </c>
      <c r="I525" s="793">
        <f>H525</f>
        <v>498527.99999999994</v>
      </c>
      <c r="J525" s="793"/>
      <c r="K525" s="794"/>
    </row>
    <row r="526" spans="1:11" s="795" customFormat="1" ht="23.15" customHeight="1">
      <c r="A526" s="313"/>
      <c r="B526" s="676" t="s">
        <v>155</v>
      </c>
      <c r="C526" s="445">
        <f>ROUND(D526,2)</f>
        <v>23.08</v>
      </c>
      <c r="D526" s="430">
        <f>D521*0.25</f>
        <v>23.078067000000001</v>
      </c>
      <c r="E526" s="445" t="s">
        <v>304</v>
      </c>
      <c r="F526" s="325">
        <f>VLOOKUP(B526,BQ!$B$6:$E$112,4,FALSE)</f>
        <v>2000</v>
      </c>
      <c r="G526" s="445" t="str">
        <f>E526</f>
        <v>Nos.</v>
      </c>
      <c r="H526" s="792">
        <f>F526*C526</f>
        <v>46160</v>
      </c>
      <c r="I526" s="793">
        <f>H526</f>
        <v>46160</v>
      </c>
      <c r="J526" s="793"/>
      <c r="K526" s="794"/>
    </row>
    <row r="527" spans="1:11" s="795" customFormat="1" ht="23.15" customHeight="1">
      <c r="A527" s="313"/>
      <c r="B527" s="676"/>
      <c r="C527" s="445"/>
      <c r="D527" s="430"/>
      <c r="E527" s="791"/>
      <c r="F527" s="301"/>
      <c r="G527" s="796"/>
      <c r="H527" s="792">
        <f>SUM(H523:H526)</f>
        <v>4437704</v>
      </c>
      <c r="I527" s="793"/>
      <c r="J527" s="793"/>
      <c r="K527" s="794"/>
    </row>
    <row r="528" spans="1:11" s="795" customFormat="1" ht="23.15" customHeight="1">
      <c r="A528" s="313"/>
      <c r="B528" s="675" t="s">
        <v>185</v>
      </c>
      <c r="C528" s="790"/>
      <c r="D528" s="430"/>
      <c r="E528" s="791"/>
      <c r="F528" s="301"/>
      <c r="G528" s="313"/>
      <c r="H528" s="792"/>
      <c r="I528" s="793"/>
      <c r="J528" s="793"/>
      <c r="K528" s="794"/>
    </row>
    <row r="529" spans="1:11" s="795" customFormat="1" ht="23.15" customHeight="1">
      <c r="A529" s="313"/>
      <c r="B529" s="676" t="s">
        <v>75</v>
      </c>
      <c r="C529" s="445">
        <f>ROUND(D529,2)</f>
        <v>92.31</v>
      </c>
      <c r="D529" s="430">
        <f>D521*1</f>
        <v>92.312268000000003</v>
      </c>
      <c r="E529" s="313" t="s">
        <v>304</v>
      </c>
      <c r="F529" s="325">
        <f>VLOOKUP(B529,BQ!$B$6:$E$112,4,FALSE)</f>
        <v>30250.000000000004</v>
      </c>
      <c r="G529" s="313" t="str">
        <f>E529</f>
        <v>Nos.</v>
      </c>
      <c r="H529" s="792">
        <f>F529*C529</f>
        <v>2792377.5000000005</v>
      </c>
      <c r="I529" s="793"/>
      <c r="J529" s="793">
        <f>H529</f>
        <v>2792377.5000000005</v>
      </c>
      <c r="K529" s="794"/>
    </row>
    <row r="530" spans="1:11" s="795" customFormat="1" ht="23.15" customHeight="1">
      <c r="A530" s="313"/>
      <c r="B530" s="676" t="s">
        <v>67</v>
      </c>
      <c r="C530" s="445">
        <f>ROUND(D530,2)</f>
        <v>92.31</v>
      </c>
      <c r="D530" s="430">
        <f>D521*1</f>
        <v>92.312268000000003</v>
      </c>
      <c r="E530" s="313" t="s">
        <v>304</v>
      </c>
      <c r="F530" s="325">
        <f>VLOOKUP(B530,BQ!$B$6:$E$112,4,FALSE)</f>
        <v>21780</v>
      </c>
      <c r="G530" s="313" t="str">
        <f>E530</f>
        <v>Nos.</v>
      </c>
      <c r="H530" s="792">
        <f>F530*C530</f>
        <v>2010511.8</v>
      </c>
      <c r="I530" s="793"/>
      <c r="J530" s="793">
        <f>H530</f>
        <v>2010511.8</v>
      </c>
      <c r="K530" s="794"/>
    </row>
    <row r="531" spans="1:11" s="795" customFormat="1" ht="23.15" customHeight="1" thickBot="1">
      <c r="A531" s="313"/>
      <c r="B531" s="676"/>
      <c r="C531" s="445"/>
      <c r="D531" s="430"/>
      <c r="E531" s="313"/>
      <c r="F531" s="301"/>
      <c r="G531" s="313"/>
      <c r="H531" s="792">
        <f>SUM(H529:H530)</f>
        <v>4802889.3000000007</v>
      </c>
      <c r="I531" s="793"/>
      <c r="J531" s="793"/>
      <c r="K531" s="794"/>
    </row>
    <row r="532" spans="1:11" s="795" customFormat="1" ht="23.15" customHeight="1" thickBot="1">
      <c r="A532" s="313"/>
      <c r="B532" s="676"/>
      <c r="C532" s="445"/>
      <c r="D532" s="430"/>
      <c r="E532" s="313"/>
      <c r="F532" s="555" t="s">
        <v>266</v>
      </c>
      <c r="G532" s="797" t="s">
        <v>221</v>
      </c>
      <c r="H532" s="798">
        <f>H531+H527</f>
        <v>9240593.3000000007</v>
      </c>
      <c r="I532" s="799"/>
      <c r="J532" s="799"/>
      <c r="K532" s="800"/>
    </row>
    <row r="533" spans="1:11" s="396" customFormat="1" ht="23.15" customHeight="1" thickTop="1">
      <c r="A533" s="313"/>
      <c r="B533" s="676"/>
      <c r="C533" s="445"/>
      <c r="D533" s="430"/>
      <c r="E533" s="313"/>
      <c r="F533" s="449"/>
      <c r="G533" s="810"/>
      <c r="H533" s="811"/>
      <c r="I533" s="799"/>
      <c r="J533" s="799"/>
      <c r="K533" s="809"/>
    </row>
    <row r="534" spans="1:11" s="795" customFormat="1" ht="22.25" customHeight="1">
      <c r="A534" s="788">
        <v>17</v>
      </c>
      <c r="B534" s="812" t="s">
        <v>375</v>
      </c>
      <c r="C534" s="790">
        <f>ROUND(D534,2)</f>
        <v>92.31</v>
      </c>
      <c r="D534" s="439">
        <f>Detail!K1025</f>
        <v>92.312268000000003</v>
      </c>
      <c r="E534" s="791" t="s">
        <v>220</v>
      </c>
      <c r="F534" s="301"/>
      <c r="G534" s="313"/>
      <c r="H534" s="808">
        <f>H542</f>
        <v>7996917.5</v>
      </c>
      <c r="I534" s="793"/>
      <c r="J534" s="793"/>
      <c r="K534" s="794"/>
    </row>
    <row r="535" spans="1:11" s="795" customFormat="1" ht="23.15" customHeight="1">
      <c r="A535" s="313"/>
      <c r="B535" s="675" t="s">
        <v>65</v>
      </c>
      <c r="C535" s="445"/>
      <c r="D535" s="430"/>
      <c r="E535" s="313"/>
      <c r="F535" s="301"/>
      <c r="G535" s="313"/>
      <c r="H535" s="792"/>
      <c r="I535" s="793"/>
      <c r="J535" s="793"/>
      <c r="K535" s="794"/>
    </row>
    <row r="536" spans="1:11" s="795" customFormat="1" ht="23.15" customHeight="1">
      <c r="A536" s="313"/>
      <c r="B536" s="676" t="s">
        <v>152</v>
      </c>
      <c r="C536" s="445">
        <f>ROUND(D536,2)</f>
        <v>46.16</v>
      </c>
      <c r="D536" s="430">
        <f>D534*1/2</f>
        <v>46.156134000000002</v>
      </c>
      <c r="E536" s="445" t="s">
        <v>23</v>
      </c>
      <c r="F536" s="325">
        <f>VLOOKUP(B536,BQ!$B$6:$E$112,4,FALSE)</f>
        <v>109000</v>
      </c>
      <c r="G536" s="445" t="str">
        <f>E536</f>
        <v>Gal</v>
      </c>
      <c r="H536" s="792">
        <f>F536*C536</f>
        <v>5031440</v>
      </c>
      <c r="I536" s="793">
        <f>H536</f>
        <v>5031440</v>
      </c>
      <c r="J536" s="793"/>
      <c r="K536" s="794"/>
    </row>
    <row r="537" spans="1:11" s="795" customFormat="1" ht="23.15" customHeight="1">
      <c r="A537" s="313"/>
      <c r="B537" s="676" t="s">
        <v>72</v>
      </c>
      <c r="C537" s="445">
        <f>ROUND(D537,2)</f>
        <v>23.08</v>
      </c>
      <c r="D537" s="430">
        <f>D534*0.25</f>
        <v>23.078067000000001</v>
      </c>
      <c r="E537" s="313" t="s">
        <v>304</v>
      </c>
      <c r="F537" s="325">
        <f>VLOOKUP(B537,BQ!$B$6:$E$112,4,FALSE)</f>
        <v>7500</v>
      </c>
      <c r="G537" s="445" t="str">
        <f>E537</f>
        <v>Nos.</v>
      </c>
      <c r="H537" s="792">
        <f>F537*C537</f>
        <v>173100</v>
      </c>
      <c r="I537" s="793">
        <f>H537</f>
        <v>173100</v>
      </c>
      <c r="J537" s="793"/>
      <c r="K537" s="794"/>
    </row>
    <row r="538" spans="1:11" s="795" customFormat="1" ht="23.15" customHeight="1">
      <c r="A538" s="313"/>
      <c r="B538" s="676"/>
      <c r="C538" s="445"/>
      <c r="D538" s="430"/>
      <c r="E538" s="791"/>
      <c r="F538" s="301"/>
      <c r="G538" s="796"/>
      <c r="H538" s="792">
        <f>SUM(H536:H537)</f>
        <v>5204540</v>
      </c>
      <c r="I538" s="793"/>
      <c r="J538" s="793"/>
      <c r="K538" s="794"/>
    </row>
    <row r="539" spans="1:11" s="795" customFormat="1" ht="23.15" customHeight="1">
      <c r="A539" s="313"/>
      <c r="B539" s="675" t="s">
        <v>185</v>
      </c>
      <c r="C539" s="790"/>
      <c r="D539" s="430"/>
      <c r="E539" s="791"/>
      <c r="F539" s="301"/>
      <c r="G539" s="313"/>
      <c r="H539" s="792"/>
      <c r="I539" s="793"/>
      <c r="J539" s="793"/>
      <c r="K539" s="794"/>
    </row>
    <row r="540" spans="1:11" s="795" customFormat="1" ht="23.15" customHeight="1">
      <c r="A540" s="313"/>
      <c r="B540" s="676" t="s">
        <v>75</v>
      </c>
      <c r="C540" s="445">
        <f>ROUND(D540,2)</f>
        <v>92.31</v>
      </c>
      <c r="D540" s="430">
        <f>D534*1</f>
        <v>92.312268000000003</v>
      </c>
      <c r="E540" s="313" t="s">
        <v>304</v>
      </c>
      <c r="F540" s="325">
        <f>VLOOKUP(B540,BQ!$B$6:$E$112,4,FALSE)</f>
        <v>30250.000000000004</v>
      </c>
      <c r="G540" s="313" t="str">
        <f>E540</f>
        <v>Nos.</v>
      </c>
      <c r="H540" s="792">
        <f>F540*C540</f>
        <v>2792377.5000000005</v>
      </c>
      <c r="I540" s="793"/>
      <c r="J540" s="793">
        <f>H540</f>
        <v>2792377.5000000005</v>
      </c>
      <c r="K540" s="794"/>
    </row>
    <row r="541" spans="1:11" s="795" customFormat="1" ht="23.15" customHeight="1" thickBot="1">
      <c r="A541" s="313"/>
      <c r="B541" s="676"/>
      <c r="C541" s="445"/>
      <c r="D541" s="430"/>
      <c r="E541" s="313"/>
      <c r="F541" s="301"/>
      <c r="G541" s="313"/>
      <c r="H541" s="792">
        <f>SUM(H540:H540)</f>
        <v>2792377.5000000005</v>
      </c>
      <c r="I541" s="793"/>
      <c r="J541" s="793"/>
      <c r="K541" s="794"/>
    </row>
    <row r="542" spans="1:11" s="795" customFormat="1" ht="23.15" customHeight="1" thickBot="1">
      <c r="A542" s="313"/>
      <c r="B542" s="676"/>
      <c r="C542" s="445"/>
      <c r="D542" s="430"/>
      <c r="E542" s="313"/>
      <c r="F542" s="555" t="s">
        <v>266</v>
      </c>
      <c r="G542" s="797" t="s">
        <v>221</v>
      </c>
      <c r="H542" s="798">
        <f>H541+H538</f>
        <v>7996917.5</v>
      </c>
      <c r="I542" s="799"/>
      <c r="J542" s="799"/>
      <c r="K542" s="800"/>
    </row>
    <row r="543" spans="1:11" s="396" customFormat="1" ht="23.15" customHeight="1" thickTop="1">
      <c r="A543" s="313"/>
      <c r="B543" s="676"/>
      <c r="C543" s="445"/>
      <c r="D543" s="430"/>
      <c r="E543" s="313"/>
      <c r="F543" s="449"/>
      <c r="G543" s="810"/>
      <c r="H543" s="811"/>
      <c r="I543" s="799"/>
      <c r="J543" s="799"/>
      <c r="K543" s="809"/>
    </row>
    <row r="544" spans="1:11" s="396" customFormat="1" ht="23.15" customHeight="1">
      <c r="A544" s="796">
        <v>18</v>
      </c>
      <c r="B544" s="840" t="s">
        <v>724</v>
      </c>
      <c r="C544" s="790">
        <f>ROUND(D544,2)</f>
        <v>185.5</v>
      </c>
      <c r="D544" s="439">
        <f>Detail!K1057/2</f>
        <v>185.5</v>
      </c>
      <c r="E544" s="796" t="s">
        <v>304</v>
      </c>
      <c r="F544" s="313"/>
      <c r="G544" s="313"/>
      <c r="H544" s="1078">
        <f>H553</f>
        <v>4896175</v>
      </c>
      <c r="I544" s="799"/>
      <c r="J544" s="799"/>
      <c r="K544" s="809"/>
    </row>
    <row r="545" spans="1:20" s="396" customFormat="1" ht="23.15" customHeight="1">
      <c r="A545" s="796"/>
      <c r="B545" s="675" t="s">
        <v>491</v>
      </c>
      <c r="C545" s="790"/>
      <c r="D545" s="439"/>
      <c r="E545" s="796"/>
      <c r="F545" s="313"/>
      <c r="G545" s="842"/>
      <c r="H545" s="909"/>
      <c r="I545" s="799"/>
      <c r="J545" s="799"/>
      <c r="K545" s="809"/>
    </row>
    <row r="546" spans="1:20" ht="21.5" customHeight="1">
      <c r="A546" s="302"/>
      <c r="B546" s="303" t="s">
        <v>26</v>
      </c>
      <c r="C546" s="445">
        <f>ROUND(D546,2)</f>
        <v>0.37</v>
      </c>
      <c r="D546" s="430">
        <f>D544*0.2/100</f>
        <v>0.371</v>
      </c>
      <c r="E546" s="302" t="s">
        <v>9</v>
      </c>
      <c r="F546" s="325">
        <f>VLOOKUP(B546,BQ!$B$6:$E$112,4,FALSE)</f>
        <v>1250000</v>
      </c>
      <c r="G546" s="884" t="str">
        <f>E546</f>
        <v>Ton</v>
      </c>
      <c r="H546" s="792">
        <f>F546*C546</f>
        <v>462500</v>
      </c>
      <c r="I546" s="793">
        <f>H546</f>
        <v>462500</v>
      </c>
      <c r="J546" s="710"/>
      <c r="L546" s="390"/>
      <c r="M546" s="404"/>
      <c r="N546" s="404"/>
      <c r="O546" s="404"/>
      <c r="P546" s="390"/>
      <c r="Q546" s="390"/>
      <c r="R546" s="404"/>
      <c r="S546" s="390"/>
      <c r="T546" s="390"/>
    </row>
    <row r="547" spans="1:20" ht="21.5" customHeight="1">
      <c r="A547" s="302"/>
      <c r="B547" s="303" t="s">
        <v>652</v>
      </c>
      <c r="C547" s="445">
        <f>ROUND(D547,2)</f>
        <v>185.5</v>
      </c>
      <c r="D547" s="430">
        <f>D544</f>
        <v>185.5</v>
      </c>
      <c r="E547" s="302" t="s">
        <v>304</v>
      </c>
      <c r="F547" s="325">
        <f>VLOOKUP(B547,BQ!$B$6:$E$112,4,FALSE)</f>
        <v>90</v>
      </c>
      <c r="G547" s="884" t="str">
        <f>E547</f>
        <v>Nos.</v>
      </c>
      <c r="H547" s="792">
        <f>F547*C547</f>
        <v>16695</v>
      </c>
      <c r="I547" s="793">
        <f>H547</f>
        <v>16695</v>
      </c>
      <c r="J547" s="710"/>
      <c r="L547" s="390"/>
      <c r="M547" s="404"/>
      <c r="N547" s="404"/>
      <c r="O547" s="404"/>
      <c r="P547" s="390"/>
      <c r="Q547" s="390"/>
      <c r="R547" s="404"/>
      <c r="S547" s="390"/>
      <c r="T547" s="390"/>
    </row>
    <row r="548" spans="1:20" ht="21.5" customHeight="1">
      <c r="A548" s="302"/>
      <c r="B548" s="303" t="s">
        <v>656</v>
      </c>
      <c r="C548" s="445">
        <f>ROUND(D548,2)</f>
        <v>12.37</v>
      </c>
      <c r="D548" s="430">
        <f>(Detail!K1057)/30</f>
        <v>12.366666666666667</v>
      </c>
      <c r="E548" s="302" t="s">
        <v>657</v>
      </c>
      <c r="F548" s="325">
        <f>VLOOKUP(B548,BQ!$B$6:$E$112,4,FALSE)</f>
        <v>8500</v>
      </c>
      <c r="G548" s="884" t="str">
        <f>E548</f>
        <v>Box</v>
      </c>
      <c r="H548" s="792">
        <f>F548*C548</f>
        <v>105145</v>
      </c>
      <c r="I548" s="793">
        <f>H548</f>
        <v>105145</v>
      </c>
      <c r="J548" s="710"/>
      <c r="L548" s="390"/>
      <c r="M548" s="404"/>
      <c r="N548" s="404"/>
      <c r="O548" s="404"/>
      <c r="P548" s="390"/>
      <c r="Q548" s="390"/>
      <c r="R548" s="404"/>
      <c r="S548" s="390"/>
      <c r="T548" s="390"/>
    </row>
    <row r="549" spans="1:20" ht="21.5" customHeight="1">
      <c r="A549" s="302"/>
      <c r="B549" s="303"/>
      <c r="C549" s="445"/>
      <c r="D549" s="430"/>
      <c r="E549" s="302"/>
      <c r="F549" s="301"/>
      <c r="G549" s="884"/>
      <c r="H549" s="792">
        <f>SUM(H546:H548)</f>
        <v>584340</v>
      </c>
      <c r="I549" s="793"/>
      <c r="J549" s="710"/>
      <c r="L549" s="390"/>
      <c r="M549" s="404"/>
      <c r="N549" s="404"/>
      <c r="O549" s="404"/>
      <c r="P549" s="390"/>
      <c r="Q549" s="390"/>
      <c r="R549" s="404"/>
      <c r="S549" s="390"/>
      <c r="T549" s="390"/>
    </row>
    <row r="550" spans="1:20" s="396" customFormat="1" ht="23.15" customHeight="1">
      <c r="A550" s="796"/>
      <c r="B550" s="675" t="s">
        <v>185</v>
      </c>
      <c r="C550" s="790"/>
      <c r="D550" s="439"/>
      <c r="E550" s="796"/>
      <c r="F550" s="313"/>
      <c r="G550" s="842"/>
      <c r="H550" s="909"/>
      <c r="I550" s="799"/>
      <c r="J550" s="799"/>
      <c r="K550" s="809"/>
    </row>
    <row r="551" spans="1:20" s="396" customFormat="1" ht="21.5" customHeight="1">
      <c r="A551" s="313"/>
      <c r="B551" s="676" t="s">
        <v>68</v>
      </c>
      <c r="C551" s="445">
        <f>ROUND(D551,2)</f>
        <v>142.54</v>
      </c>
      <c r="D551" s="430">
        <f>D27*2</f>
        <v>142.539624</v>
      </c>
      <c r="E551" s="313" t="s">
        <v>304</v>
      </c>
      <c r="F551" s="325">
        <f>VLOOKUP(B551,BQ!$B$6:$E$112,4,FALSE)</f>
        <v>30250.000000000004</v>
      </c>
      <c r="G551" s="814" t="str">
        <f>E551</f>
        <v>Nos.</v>
      </c>
      <c r="H551" s="792">
        <f>F551*C551</f>
        <v>4311835</v>
      </c>
      <c r="I551" s="793"/>
      <c r="J551" s="793">
        <f>H551</f>
        <v>4311835</v>
      </c>
      <c r="K551" s="395"/>
      <c r="L551" s="885"/>
      <c r="M551" s="886"/>
      <c r="N551" s="886"/>
      <c r="O551" s="886"/>
      <c r="P551" s="885"/>
      <c r="Q551" s="885"/>
      <c r="R551" s="886"/>
      <c r="S551" s="885"/>
      <c r="T551" s="885"/>
    </row>
    <row r="552" spans="1:20" s="396" customFormat="1" ht="21.5" customHeight="1" thickBot="1">
      <c r="A552" s="313"/>
      <c r="B552" s="676"/>
      <c r="C552" s="445"/>
      <c r="D552" s="430"/>
      <c r="E552" s="313"/>
      <c r="F552" s="449"/>
      <c r="G552" s="814"/>
      <c r="H552" s="843">
        <f>SUM(H551:H551)</f>
        <v>4311835</v>
      </c>
      <c r="I552" s="793"/>
      <c r="J552" s="793"/>
      <c r="K552" s="395"/>
      <c r="L552" s="885"/>
      <c r="M552" s="886"/>
      <c r="N552" s="886"/>
      <c r="O552" s="886"/>
      <c r="P552" s="885"/>
      <c r="Q552" s="885"/>
      <c r="R552" s="886"/>
      <c r="S552" s="885"/>
      <c r="T552" s="885"/>
    </row>
    <row r="553" spans="1:20" ht="21.5" customHeight="1" thickBot="1">
      <c r="A553" s="302"/>
      <c r="B553" s="303"/>
      <c r="C553" s="329"/>
      <c r="D553" s="430"/>
      <c r="E553" s="302"/>
      <c r="F553" s="555" t="s">
        <v>266</v>
      </c>
      <c r="G553" s="503" t="s">
        <v>221</v>
      </c>
      <c r="H553" s="700">
        <f>H549+H552</f>
        <v>4896175</v>
      </c>
      <c r="I553" s="710"/>
      <c r="J553" s="710"/>
      <c r="K553" s="392">
        <v>70968</v>
      </c>
      <c r="L553" s="390"/>
      <c r="M553" s="404"/>
      <c r="N553" s="404"/>
      <c r="O553" s="404"/>
      <c r="P553" s="390"/>
      <c r="Q553" s="390"/>
      <c r="R553" s="404"/>
      <c r="S553" s="390"/>
      <c r="T553" s="390"/>
    </row>
    <row r="554" spans="1:20" ht="21.5" customHeight="1" thickTop="1">
      <c r="A554" s="302"/>
      <c r="B554" s="303"/>
      <c r="C554" s="329"/>
      <c r="D554" s="430"/>
      <c r="E554" s="302"/>
      <c r="F554" s="813"/>
      <c r="G554" s="884"/>
      <c r="H554" s="704"/>
      <c r="I554" s="710"/>
      <c r="J554" s="710"/>
      <c r="K554" s="392">
        <f>K553/2</f>
        <v>35484</v>
      </c>
      <c r="L554" s="390"/>
      <c r="M554" s="404"/>
      <c r="N554" s="404"/>
      <c r="O554" s="404"/>
      <c r="P554" s="390"/>
      <c r="Q554" s="390"/>
      <c r="R554" s="404"/>
      <c r="S554" s="390"/>
      <c r="T554" s="390"/>
    </row>
    <row r="555" spans="1:20" s="795" customFormat="1" ht="31">
      <c r="A555" s="788">
        <v>19</v>
      </c>
      <c r="B555" s="812" t="s">
        <v>570</v>
      </c>
      <c r="C555" s="790">
        <f>ROUND(D555,2)</f>
        <v>36.6</v>
      </c>
      <c r="D555" s="439">
        <f>Detail!K1062</f>
        <v>36.6</v>
      </c>
      <c r="E555" s="791" t="s">
        <v>220</v>
      </c>
      <c r="F555" s="301"/>
      <c r="G555" s="313"/>
      <c r="H555" s="808">
        <f>H565</f>
        <v>5306225.5</v>
      </c>
      <c r="I555" s="793"/>
      <c r="J555" s="793"/>
      <c r="K555" s="794">
        <v>1056774</v>
      </c>
    </row>
    <row r="556" spans="1:20" s="795" customFormat="1" ht="23.15" customHeight="1">
      <c r="A556" s="313"/>
      <c r="B556" s="675" t="s">
        <v>65</v>
      </c>
      <c r="C556" s="445"/>
      <c r="D556" s="430"/>
      <c r="E556" s="313"/>
      <c r="F556" s="301"/>
      <c r="G556" s="313"/>
      <c r="H556" s="792"/>
      <c r="I556" s="793"/>
      <c r="J556" s="793"/>
      <c r="K556" s="794">
        <f>K555+K554</f>
        <v>1092258</v>
      </c>
    </row>
    <row r="557" spans="1:20" s="795" customFormat="1" ht="23.15" customHeight="1">
      <c r="A557" s="313"/>
      <c r="B557" s="676" t="s">
        <v>296</v>
      </c>
      <c r="C557" s="445">
        <f>ROUND(D557,2)</f>
        <v>406.67</v>
      </c>
      <c r="D557" s="430">
        <f>D555*(100/144)*16</f>
        <v>406.66666666666669</v>
      </c>
      <c r="E557" s="445" t="s">
        <v>304</v>
      </c>
      <c r="F557" s="325">
        <f>VLOOKUP(B557,BQ!$B$6:$E$112,4,FALSE)</f>
        <v>1750</v>
      </c>
      <c r="G557" s="445" t="str">
        <f>E557</f>
        <v>Nos.</v>
      </c>
      <c r="H557" s="792">
        <f>F557*C557</f>
        <v>711672.5</v>
      </c>
      <c r="I557" s="793">
        <f>H557</f>
        <v>711672.5</v>
      </c>
      <c r="J557" s="793"/>
      <c r="K557" s="794"/>
    </row>
    <row r="558" spans="1:20" s="795" customFormat="1" ht="23.15" customHeight="1">
      <c r="A558" s="313"/>
      <c r="B558" s="676" t="s">
        <v>51</v>
      </c>
      <c r="C558" s="445">
        <f>ROUND(D558,2)</f>
        <v>29.23</v>
      </c>
      <c r="D558" s="430">
        <f>D555*(100/144)*1.15</f>
        <v>29.229166666666664</v>
      </c>
      <c r="E558" s="445" t="s">
        <v>52</v>
      </c>
      <c r="F558" s="325">
        <f>VLOOKUP(B558,BQ!$B$6:$E$112,4,FALSE)</f>
        <v>16000</v>
      </c>
      <c r="G558" s="445" t="str">
        <f>E558</f>
        <v>Viss</v>
      </c>
      <c r="H558" s="792">
        <f>F558*C558</f>
        <v>467680</v>
      </c>
      <c r="I558" s="793">
        <f>H558</f>
        <v>467680</v>
      </c>
      <c r="J558" s="793"/>
      <c r="K558" s="794"/>
    </row>
    <row r="559" spans="1:20" s="795" customFormat="1" ht="23.15" customHeight="1">
      <c r="A559" s="313"/>
      <c r="B559" s="676" t="s">
        <v>20</v>
      </c>
      <c r="C559" s="445">
        <f>ROUND(D559,2)</f>
        <v>8.1199999999999992</v>
      </c>
      <c r="D559" s="430">
        <f>D555*(100/144)*1.15/3.6</f>
        <v>8.1192129629629619</v>
      </c>
      <c r="E559" s="445" t="s">
        <v>52</v>
      </c>
      <c r="F559" s="325">
        <f>VLOOKUP(B559,BQ!$B$6:$E$112,4,FALSE)</f>
        <v>9200</v>
      </c>
      <c r="G559" s="445" t="str">
        <f>E559</f>
        <v>Viss</v>
      </c>
      <c r="H559" s="792">
        <f>F559*C559</f>
        <v>74704</v>
      </c>
      <c r="I559" s="793">
        <f>H559</f>
        <v>74704</v>
      </c>
      <c r="J559" s="793"/>
      <c r="K559" s="794"/>
    </row>
    <row r="560" spans="1:20" s="795" customFormat="1" ht="23.15" customHeight="1">
      <c r="A560" s="313"/>
      <c r="B560" s="676"/>
      <c r="C560" s="445"/>
      <c r="D560" s="430"/>
      <c r="E560" s="791"/>
      <c r="F560" s="301"/>
      <c r="G560" s="796"/>
      <c r="H560" s="792">
        <f>SUM(H557:H559)</f>
        <v>1254056.5</v>
      </c>
      <c r="I560" s="793"/>
      <c r="J560" s="793"/>
      <c r="K560" s="794"/>
    </row>
    <row r="561" spans="1:11" s="795" customFormat="1" ht="23.15" customHeight="1">
      <c r="A561" s="313"/>
      <c r="B561" s="675" t="s">
        <v>66</v>
      </c>
      <c r="C561" s="445"/>
      <c r="D561" s="430"/>
      <c r="E561" s="313"/>
      <c r="F561" s="301"/>
      <c r="G561" s="313"/>
      <c r="H561" s="792"/>
      <c r="I561" s="793"/>
      <c r="J561" s="793"/>
      <c r="K561" s="794"/>
    </row>
    <row r="562" spans="1:11" s="795" customFormat="1" ht="23.15" customHeight="1">
      <c r="A562" s="313"/>
      <c r="B562" s="676" t="s">
        <v>69</v>
      </c>
      <c r="C562" s="445">
        <f>ROUND(D562,2)</f>
        <v>54.9</v>
      </c>
      <c r="D562" s="430">
        <f>D555*1.5</f>
        <v>54.900000000000006</v>
      </c>
      <c r="E562" s="313" t="s">
        <v>3</v>
      </c>
      <c r="F562" s="325">
        <f>VLOOKUP(B562,BQ!$B$6:$E$112,4,FALSE)</f>
        <v>30250.000000000004</v>
      </c>
      <c r="G562" s="313" t="s">
        <v>3</v>
      </c>
      <c r="H562" s="792">
        <f>F562*C562</f>
        <v>1660725.0000000002</v>
      </c>
      <c r="I562" s="793"/>
      <c r="J562" s="793">
        <f>H562</f>
        <v>1660725.0000000002</v>
      </c>
      <c r="K562" s="794"/>
    </row>
    <row r="563" spans="1:11" s="795" customFormat="1" ht="23.15" customHeight="1">
      <c r="A563" s="313"/>
      <c r="B563" s="676" t="s">
        <v>67</v>
      </c>
      <c r="C563" s="445">
        <f>ROUND(D563,2)</f>
        <v>109.8</v>
      </c>
      <c r="D563" s="430">
        <f>D555*3</f>
        <v>109.80000000000001</v>
      </c>
      <c r="E563" s="313" t="s">
        <v>3</v>
      </c>
      <c r="F563" s="325">
        <f>VLOOKUP(B563,BQ!$B$6:$E$112,4,FALSE)</f>
        <v>21780</v>
      </c>
      <c r="G563" s="313" t="s">
        <v>3</v>
      </c>
      <c r="H563" s="792">
        <f>F563*C563</f>
        <v>2391444</v>
      </c>
      <c r="I563" s="793"/>
      <c r="J563" s="793">
        <f>H563</f>
        <v>2391444</v>
      </c>
      <c r="K563" s="794"/>
    </row>
    <row r="564" spans="1:11" s="795" customFormat="1" ht="23.15" customHeight="1" thickBot="1">
      <c r="A564" s="313"/>
      <c r="B564" s="676"/>
      <c r="C564" s="445"/>
      <c r="D564" s="430"/>
      <c r="E564" s="313"/>
      <c r="F564" s="301"/>
      <c r="G564" s="313"/>
      <c r="H564" s="792">
        <f>SUM(H562:H563)</f>
        <v>4052169</v>
      </c>
      <c r="I564" s="793"/>
      <c r="J564" s="793"/>
      <c r="K564" s="794"/>
    </row>
    <row r="565" spans="1:11" s="795" customFormat="1" ht="23.15" customHeight="1" thickBot="1">
      <c r="A565" s="313"/>
      <c r="B565" s="676"/>
      <c r="C565" s="445"/>
      <c r="D565" s="430"/>
      <c r="E565" s="313"/>
      <c r="F565" s="555" t="s">
        <v>266</v>
      </c>
      <c r="G565" s="797" t="s">
        <v>221</v>
      </c>
      <c r="H565" s="798">
        <f>H560+H564</f>
        <v>5306225.5</v>
      </c>
      <c r="I565" s="799"/>
      <c r="J565" s="799"/>
      <c r="K565" s="800"/>
    </row>
    <row r="566" spans="1:11" s="795" customFormat="1" ht="23.15" customHeight="1" thickTop="1">
      <c r="A566" s="313"/>
      <c r="B566" s="676"/>
      <c r="C566" s="445"/>
      <c r="D566" s="430"/>
      <c r="E566" s="313"/>
      <c r="F566" s="813"/>
      <c r="G566" s="814"/>
      <c r="H566" s="811"/>
      <c r="I566" s="799"/>
      <c r="J566" s="799"/>
      <c r="K566" s="800"/>
    </row>
    <row r="567" spans="1:11" s="795" customFormat="1" ht="31">
      <c r="A567" s="788">
        <v>20</v>
      </c>
      <c r="B567" s="812" t="s">
        <v>376</v>
      </c>
      <c r="C567" s="790">
        <f>ROUND(D567,2)</f>
        <v>2271.56</v>
      </c>
      <c r="D567" s="439">
        <f>Detail!K1080+Detail!K1088</f>
        <v>2271.56</v>
      </c>
      <c r="E567" s="791" t="s">
        <v>13</v>
      </c>
      <c r="F567" s="301"/>
      <c r="G567" s="313"/>
      <c r="H567" s="808">
        <f>H579</f>
        <v>12314900</v>
      </c>
      <c r="I567" s="793"/>
      <c r="J567" s="793"/>
      <c r="K567" s="794"/>
    </row>
    <row r="568" spans="1:11" s="795" customFormat="1" ht="23.15" customHeight="1">
      <c r="A568" s="313"/>
      <c r="B568" s="675" t="s">
        <v>65</v>
      </c>
      <c r="C568" s="445"/>
      <c r="D568" s="430"/>
      <c r="E568" s="313"/>
      <c r="F568" s="301"/>
      <c r="G568" s="313"/>
      <c r="H568" s="792"/>
      <c r="I568" s="793"/>
      <c r="J568" s="793"/>
      <c r="K568" s="794"/>
    </row>
    <row r="569" spans="1:11" s="795" customFormat="1" ht="23.15" customHeight="1">
      <c r="A569" s="313" t="s">
        <v>715</v>
      </c>
      <c r="B569" s="676" t="s">
        <v>533</v>
      </c>
      <c r="C569" s="445">
        <f>ROUND(D569,2)</f>
        <v>55</v>
      </c>
      <c r="D569" s="430">
        <f>Detail!K1083</f>
        <v>55</v>
      </c>
      <c r="E569" s="445" t="s">
        <v>304</v>
      </c>
      <c r="F569" s="325">
        <f>VLOOKUP(B569,BQ!$B$6:$E$112,4,FALSE)</f>
        <v>61500</v>
      </c>
      <c r="G569" s="445" t="str">
        <f t="shared" ref="G569:G574" si="4">E569</f>
        <v>Nos.</v>
      </c>
      <c r="H569" s="792">
        <f t="shared" ref="H569:H574" si="5">F569*C569</f>
        <v>3382500</v>
      </c>
      <c r="I569" s="793">
        <f t="shared" ref="I569:I574" si="6">H569</f>
        <v>3382500</v>
      </c>
      <c r="J569" s="793"/>
      <c r="K569" s="794"/>
    </row>
    <row r="570" spans="1:11" s="795" customFormat="1" ht="23.15" customHeight="1">
      <c r="A570" s="313" t="s">
        <v>716</v>
      </c>
      <c r="B570" s="676" t="s">
        <v>534</v>
      </c>
      <c r="C570" s="445">
        <f>ROUND(D570,2)</f>
        <v>67</v>
      </c>
      <c r="D570" s="430">
        <f>Detail!K1091</f>
        <v>67</v>
      </c>
      <c r="E570" s="445" t="s">
        <v>304</v>
      </c>
      <c r="F570" s="325">
        <f>VLOOKUP(B570,BQ!$B$6:$E$112,4,FALSE)</f>
        <v>45000</v>
      </c>
      <c r="G570" s="445" t="str">
        <f t="shared" si="4"/>
        <v>Nos.</v>
      </c>
      <c r="H570" s="792">
        <f t="shared" si="5"/>
        <v>3015000</v>
      </c>
      <c r="I570" s="793">
        <f t="shared" si="6"/>
        <v>3015000</v>
      </c>
      <c r="J570" s="793"/>
      <c r="K570" s="794"/>
    </row>
    <row r="571" spans="1:11" s="795" customFormat="1" ht="23.15" customHeight="1">
      <c r="A571" s="313" t="s">
        <v>717</v>
      </c>
      <c r="B571" s="676" t="s">
        <v>488</v>
      </c>
      <c r="C571" s="445">
        <f>ROUND(D571,0)</f>
        <v>2</v>
      </c>
      <c r="D571" s="430">
        <f>Detail!K1102</f>
        <v>1.9449481865284977</v>
      </c>
      <c r="E571" s="445" t="s">
        <v>304</v>
      </c>
      <c r="F571" s="325">
        <f>VLOOKUP(B571,BQ!$B$6:$E$112,4,FALSE)</f>
        <v>57000</v>
      </c>
      <c r="G571" s="445" t="str">
        <f t="shared" si="4"/>
        <v>Nos.</v>
      </c>
      <c r="H571" s="792">
        <f t="shared" si="5"/>
        <v>114000</v>
      </c>
      <c r="I571" s="793">
        <f t="shared" si="6"/>
        <v>114000</v>
      </c>
      <c r="J571" s="793"/>
      <c r="K571" s="794"/>
    </row>
    <row r="572" spans="1:11" s="795" customFormat="1" ht="23.15" customHeight="1">
      <c r="A572" s="313" t="s">
        <v>718</v>
      </c>
      <c r="B572" s="676" t="s">
        <v>720</v>
      </c>
      <c r="C572" s="445">
        <f>ROUND(D572,2)</f>
        <v>24</v>
      </c>
      <c r="D572" s="430">
        <f>Detail!K1105</f>
        <v>24</v>
      </c>
      <c r="E572" s="445" t="s">
        <v>722</v>
      </c>
      <c r="F572" s="325">
        <f>VLOOKUP(B572,BQ!$B$6:$E$112,4,FALSE)</f>
        <v>27000</v>
      </c>
      <c r="G572" s="445" t="str">
        <f t="shared" si="4"/>
        <v>Pkt.</v>
      </c>
      <c r="H572" s="792">
        <f t="shared" si="5"/>
        <v>648000</v>
      </c>
      <c r="I572" s="793">
        <f t="shared" si="6"/>
        <v>648000</v>
      </c>
      <c r="J572" s="793"/>
      <c r="K572" s="794"/>
    </row>
    <row r="573" spans="1:11" s="795" customFormat="1" ht="23.15" customHeight="1">
      <c r="A573" s="313" t="s">
        <v>719</v>
      </c>
      <c r="B573" s="676" t="s">
        <v>721</v>
      </c>
      <c r="C573" s="445">
        <f>ROUND(D573,2)</f>
        <v>156</v>
      </c>
      <c r="D573" s="430">
        <f>Detail!K1108</f>
        <v>156</v>
      </c>
      <c r="E573" s="445" t="s">
        <v>304</v>
      </c>
      <c r="F573" s="325">
        <f>VLOOKUP(B573,BQ!$B$6:$E$112,4,FALSE)</f>
        <v>2000</v>
      </c>
      <c r="G573" s="445" t="str">
        <f t="shared" si="4"/>
        <v>Nos.</v>
      </c>
      <c r="H573" s="792">
        <f t="shared" si="5"/>
        <v>312000</v>
      </c>
      <c r="I573" s="793">
        <f t="shared" si="6"/>
        <v>312000</v>
      </c>
      <c r="J573" s="793"/>
      <c r="K573" s="794"/>
    </row>
    <row r="574" spans="1:11" s="795" customFormat="1" ht="23.15" customHeight="1">
      <c r="A574" s="313" t="s">
        <v>941</v>
      </c>
      <c r="B574" s="676" t="s">
        <v>942</v>
      </c>
      <c r="C574" s="445">
        <f>ROUND(D574,2)</f>
        <v>16</v>
      </c>
      <c r="D574" s="430">
        <f>Detail!K1112</f>
        <v>16</v>
      </c>
      <c r="E574" s="445" t="s">
        <v>304</v>
      </c>
      <c r="F574" s="325">
        <f>VLOOKUP(B574,BQ!$B$6:$E$112,4,FALSE)</f>
        <v>7400</v>
      </c>
      <c r="G574" s="445" t="str">
        <f t="shared" si="4"/>
        <v>Nos.</v>
      </c>
      <c r="H574" s="792">
        <f t="shared" si="5"/>
        <v>118400</v>
      </c>
      <c r="I574" s="793">
        <f t="shared" si="6"/>
        <v>118400</v>
      </c>
      <c r="J574" s="793"/>
      <c r="K574" s="794"/>
    </row>
    <row r="575" spans="1:11" s="795" customFormat="1" ht="23.15" customHeight="1">
      <c r="A575" s="313"/>
      <c r="B575" s="676"/>
      <c r="C575" s="445"/>
      <c r="D575" s="430"/>
      <c r="E575" s="791"/>
      <c r="F575" s="301"/>
      <c r="G575" s="796"/>
      <c r="H575" s="792">
        <f>SUM(H568:H574)</f>
        <v>7589900</v>
      </c>
      <c r="I575" s="793"/>
      <c r="J575" s="793"/>
      <c r="K575" s="794"/>
    </row>
    <row r="576" spans="1:11" s="795" customFormat="1" ht="23.15" customHeight="1">
      <c r="A576" s="313"/>
      <c r="B576" s="675" t="s">
        <v>66</v>
      </c>
      <c r="C576" s="445"/>
      <c r="D576" s="430"/>
      <c r="E576" s="313"/>
      <c r="F576" s="301"/>
      <c r="G576" s="313"/>
      <c r="H576" s="792"/>
      <c r="I576" s="793"/>
      <c r="J576" s="793"/>
      <c r="K576" s="794"/>
    </row>
    <row r="577" spans="1:11" s="795" customFormat="1" ht="31">
      <c r="A577" s="313"/>
      <c r="B577" s="910" t="s">
        <v>377</v>
      </c>
      <c r="C577" s="445">
        <f>ROUND(D577,2)</f>
        <v>1575</v>
      </c>
      <c r="D577" s="430">
        <f>Detail!J1064</f>
        <v>1575</v>
      </c>
      <c r="E577" s="313" t="s">
        <v>45</v>
      </c>
      <c r="F577" s="325">
        <f>VLOOKUP(B577,BQ!$B$6:$E$112,4,FALSE)</f>
        <v>3000</v>
      </c>
      <c r="G577" s="313" t="s">
        <v>45</v>
      </c>
      <c r="H577" s="792">
        <f>F577*C577</f>
        <v>4725000</v>
      </c>
      <c r="I577" s="793"/>
      <c r="J577" s="793">
        <f>H577</f>
        <v>4725000</v>
      </c>
      <c r="K577" s="794"/>
    </row>
    <row r="578" spans="1:11" s="795" customFormat="1" ht="23.15" customHeight="1" thickBot="1">
      <c r="A578" s="313"/>
      <c r="B578" s="676"/>
      <c r="C578" s="445"/>
      <c r="D578" s="430"/>
      <c r="E578" s="313"/>
      <c r="F578" s="301"/>
      <c r="G578" s="313"/>
      <c r="H578" s="792">
        <f>SUM(H577:H577)</f>
        <v>4725000</v>
      </c>
      <c r="I578" s="793"/>
      <c r="J578" s="793"/>
      <c r="K578" s="794"/>
    </row>
    <row r="579" spans="1:11" s="795" customFormat="1" ht="23.15" customHeight="1" thickBot="1">
      <c r="A579" s="313"/>
      <c r="B579" s="676"/>
      <c r="C579" s="445"/>
      <c r="D579" s="430"/>
      <c r="E579" s="313"/>
      <c r="F579" s="555" t="s">
        <v>266</v>
      </c>
      <c r="G579" s="797" t="s">
        <v>221</v>
      </c>
      <c r="H579" s="798">
        <f>H575+H578</f>
        <v>12314900</v>
      </c>
      <c r="I579" s="799"/>
      <c r="J579" s="799"/>
      <c r="K579" s="800"/>
    </row>
    <row r="580" spans="1:11" s="396" customFormat="1" ht="23.15" customHeight="1" thickTop="1">
      <c r="A580" s="313"/>
      <c r="B580" s="676"/>
      <c r="C580" s="445"/>
      <c r="D580" s="430"/>
      <c r="E580" s="313"/>
      <c r="F580" s="449"/>
      <c r="G580" s="810"/>
      <c r="H580" s="811"/>
      <c r="I580" s="799"/>
      <c r="J580" s="799"/>
      <c r="K580" s="809"/>
    </row>
    <row r="581" spans="1:11" s="795" customFormat="1" ht="24" customHeight="1">
      <c r="A581" s="788">
        <v>21</v>
      </c>
      <c r="B581" s="812" t="s">
        <v>705</v>
      </c>
      <c r="C581" s="790">
        <f>ROUND(D581,2)</f>
        <v>25.21</v>
      </c>
      <c r="D581" s="439">
        <f>Detail!K1120</f>
        <v>25.211524000000004</v>
      </c>
      <c r="E581" s="791" t="s">
        <v>220</v>
      </c>
      <c r="F581" s="301"/>
      <c r="G581" s="313"/>
      <c r="H581" s="808">
        <f>H591</f>
        <v>1187739</v>
      </c>
      <c r="I581" s="793"/>
      <c r="J581" s="793"/>
      <c r="K581" s="794"/>
    </row>
    <row r="582" spans="1:11" s="795" customFormat="1" ht="23.15" customHeight="1">
      <c r="A582" s="313"/>
      <c r="B582" s="675" t="s">
        <v>65</v>
      </c>
      <c r="C582" s="445"/>
      <c r="D582" s="430"/>
      <c r="E582" s="313"/>
      <c r="F582" s="301"/>
      <c r="G582" s="313"/>
      <c r="H582" s="792"/>
      <c r="I582" s="793"/>
      <c r="J582" s="793"/>
      <c r="K582" s="794"/>
    </row>
    <row r="583" spans="1:11" s="795" customFormat="1" ht="23.15" customHeight="1">
      <c r="A583" s="313"/>
      <c r="B583" s="676" t="s">
        <v>508</v>
      </c>
      <c r="C583" s="445">
        <f>ROUND(D583,2)</f>
        <v>6.3</v>
      </c>
      <c r="D583" s="430">
        <f>D581*0.25</f>
        <v>6.3028810000000011</v>
      </c>
      <c r="E583" s="445" t="s">
        <v>23</v>
      </c>
      <c r="F583" s="325">
        <f>VLOOKUP(B583,BQ!$B$6:$E$112,4,FALSE)</f>
        <v>95000</v>
      </c>
      <c r="G583" s="445" t="str">
        <f>E583</f>
        <v>Gal</v>
      </c>
      <c r="H583" s="792">
        <f>F583*C583</f>
        <v>598500</v>
      </c>
      <c r="I583" s="793">
        <f>H583</f>
        <v>598500</v>
      </c>
      <c r="J583" s="793"/>
      <c r="K583" s="794"/>
    </row>
    <row r="584" spans="1:11" s="795" customFormat="1" ht="23.15" customHeight="1">
      <c r="A584" s="313"/>
      <c r="B584" s="676" t="s">
        <v>509</v>
      </c>
      <c r="C584" s="445">
        <f>ROUND(D584,2)</f>
        <v>6.3</v>
      </c>
      <c r="D584" s="430">
        <f>D583</f>
        <v>6.3028810000000011</v>
      </c>
      <c r="E584" s="445" t="s">
        <v>23</v>
      </c>
      <c r="F584" s="325">
        <f>VLOOKUP(B584,BQ!$B$6:$E$112,4,FALSE)</f>
        <v>34000</v>
      </c>
      <c r="G584" s="445" t="str">
        <f>E584</f>
        <v>Gal</v>
      </c>
      <c r="H584" s="792">
        <f>F584*C584</f>
        <v>214200</v>
      </c>
      <c r="I584" s="793">
        <f>H584</f>
        <v>214200</v>
      </c>
      <c r="J584" s="793"/>
      <c r="K584" s="794"/>
    </row>
    <row r="585" spans="1:11" s="795" customFormat="1" ht="23.15" customHeight="1">
      <c r="A585" s="313"/>
      <c r="B585" s="676" t="s">
        <v>72</v>
      </c>
      <c r="C585" s="445">
        <f>ROUND(D585,2)</f>
        <v>6.3</v>
      </c>
      <c r="D585" s="430">
        <f>D581*0.25</f>
        <v>6.3028810000000011</v>
      </c>
      <c r="E585" s="313" t="s">
        <v>304</v>
      </c>
      <c r="F585" s="325">
        <f>VLOOKUP(B585,BQ!$B$6:$E$112,4,FALSE)</f>
        <v>7500</v>
      </c>
      <c r="G585" s="445" t="str">
        <f>E585</f>
        <v>Nos.</v>
      </c>
      <c r="H585" s="792">
        <f>F585*C585</f>
        <v>47250</v>
      </c>
      <c r="I585" s="793">
        <f>H585</f>
        <v>47250</v>
      </c>
      <c r="J585" s="793"/>
      <c r="K585" s="794"/>
    </row>
    <row r="586" spans="1:11" s="795" customFormat="1" ht="23.15" customHeight="1">
      <c r="A586" s="313"/>
      <c r="B586" s="676"/>
      <c r="C586" s="445"/>
      <c r="D586" s="430"/>
      <c r="E586" s="791"/>
      <c r="F586" s="301"/>
      <c r="G586" s="796"/>
      <c r="H586" s="792">
        <f>SUM(H583:H585)</f>
        <v>859950</v>
      </c>
      <c r="I586" s="793"/>
      <c r="J586" s="793"/>
      <c r="K586" s="794"/>
    </row>
    <row r="587" spans="1:11" s="795" customFormat="1" ht="23.15" customHeight="1">
      <c r="A587" s="313"/>
      <c r="B587" s="675" t="s">
        <v>66</v>
      </c>
      <c r="C587" s="445"/>
      <c r="D587" s="430"/>
      <c r="E587" s="313"/>
      <c r="F587" s="301"/>
      <c r="G587" s="313"/>
      <c r="H587" s="792"/>
      <c r="I587" s="793"/>
      <c r="J587" s="793"/>
      <c r="K587" s="794"/>
    </row>
    <row r="588" spans="1:11" s="795" customFormat="1" ht="23.15" customHeight="1">
      <c r="A588" s="313"/>
      <c r="B588" s="676" t="s">
        <v>75</v>
      </c>
      <c r="C588" s="445">
        <f>ROUND(D588,2)</f>
        <v>6.3</v>
      </c>
      <c r="D588" s="430">
        <f>D581*2.5/10</f>
        <v>6.3028810000000011</v>
      </c>
      <c r="E588" s="313" t="s">
        <v>304</v>
      </c>
      <c r="F588" s="325">
        <f>VLOOKUP(B588,BQ!$B$6:$E$112,4,FALSE)</f>
        <v>30250.000000000004</v>
      </c>
      <c r="G588" s="313" t="str">
        <f>E588</f>
        <v>Nos.</v>
      </c>
      <c r="H588" s="792">
        <f>F588*C588</f>
        <v>190575.00000000003</v>
      </c>
      <c r="I588" s="793"/>
      <c r="J588" s="793">
        <f>H588</f>
        <v>190575.00000000003</v>
      </c>
      <c r="K588" s="794"/>
    </row>
    <row r="589" spans="1:11" s="795" customFormat="1" ht="23.15" customHeight="1">
      <c r="A589" s="313"/>
      <c r="B589" s="676" t="s">
        <v>67</v>
      </c>
      <c r="C589" s="445">
        <f>ROUND(D589,2)</f>
        <v>6.3</v>
      </c>
      <c r="D589" s="430">
        <f>D581*2.5/10</f>
        <v>6.3028810000000011</v>
      </c>
      <c r="E589" s="313" t="s">
        <v>304</v>
      </c>
      <c r="F589" s="325">
        <f>VLOOKUP(B589,BQ!$B$6:$E$112,4,FALSE)</f>
        <v>21780</v>
      </c>
      <c r="G589" s="313" t="str">
        <f>E589</f>
        <v>Nos.</v>
      </c>
      <c r="H589" s="792">
        <f>F589*C589</f>
        <v>137214</v>
      </c>
      <c r="I589" s="793"/>
      <c r="J589" s="793">
        <f>H589</f>
        <v>137214</v>
      </c>
      <c r="K589" s="794"/>
    </row>
    <row r="590" spans="1:11" s="795" customFormat="1" ht="23.15" customHeight="1" thickBot="1">
      <c r="A590" s="313"/>
      <c r="B590" s="676"/>
      <c r="C590" s="445"/>
      <c r="D590" s="430"/>
      <c r="E590" s="313"/>
      <c r="F590" s="301"/>
      <c r="G590" s="313"/>
      <c r="H590" s="792">
        <f>SUM(H588:H589)</f>
        <v>327789</v>
      </c>
      <c r="I590" s="793"/>
      <c r="J590" s="793"/>
      <c r="K590" s="794"/>
    </row>
    <row r="591" spans="1:11" s="795" customFormat="1" ht="23.15" customHeight="1" thickBot="1">
      <c r="A591" s="313"/>
      <c r="B591" s="676"/>
      <c r="C591" s="445"/>
      <c r="D591" s="430"/>
      <c r="E591" s="313"/>
      <c r="F591" s="555" t="s">
        <v>266</v>
      </c>
      <c r="G591" s="797" t="s">
        <v>221</v>
      </c>
      <c r="H591" s="798">
        <f>H586+H590</f>
        <v>1187739</v>
      </c>
      <c r="I591" s="799"/>
      <c r="J591" s="799"/>
      <c r="K591" s="800"/>
    </row>
    <row r="592" spans="1:11" s="396" customFormat="1" ht="23.15" customHeight="1" thickTop="1">
      <c r="A592" s="313"/>
      <c r="B592" s="676"/>
      <c r="C592" s="445"/>
      <c r="D592" s="430"/>
      <c r="E592" s="313"/>
      <c r="F592" s="449"/>
      <c r="G592" s="810"/>
      <c r="H592" s="811"/>
      <c r="I592" s="799"/>
      <c r="J592" s="799"/>
      <c r="K592" s="809"/>
    </row>
    <row r="593" spans="1:12" s="795" customFormat="1" ht="26" customHeight="1">
      <c r="A593" s="788">
        <v>22</v>
      </c>
      <c r="B593" s="812" t="s">
        <v>365</v>
      </c>
      <c r="C593" s="790">
        <f>ROUND(D593,2)</f>
        <v>22.09</v>
      </c>
      <c r="D593" s="439">
        <f>Detail!K1133/100</f>
        <v>22.09</v>
      </c>
      <c r="E593" s="791" t="s">
        <v>220</v>
      </c>
      <c r="F593" s="301"/>
      <c r="G593" s="313"/>
      <c r="H593" s="808">
        <f>H603</f>
        <v>7192057.7000000002</v>
      </c>
      <c r="I593" s="793"/>
      <c r="J593" s="793"/>
      <c r="K593" s="794">
        <f>[8]BE!$D$209</f>
        <v>11.650574999999998</v>
      </c>
      <c r="L593" s="795">
        <v>2</v>
      </c>
    </row>
    <row r="594" spans="1:12" s="795" customFormat="1" ht="23.15" customHeight="1">
      <c r="A594" s="313"/>
      <c r="B594" s="675" t="s">
        <v>65</v>
      </c>
      <c r="C594" s="445"/>
      <c r="D594" s="430"/>
      <c r="E594" s="313"/>
      <c r="F594" s="301"/>
      <c r="G594" s="313"/>
      <c r="H594" s="792"/>
      <c r="I594" s="793"/>
      <c r="J594" s="793"/>
      <c r="K594" s="794">
        <f>D593*L593/K593</f>
        <v>3.792087514993896</v>
      </c>
      <c r="L594" s="795">
        <f>L593/K593</f>
        <v>0.17166534698931171</v>
      </c>
    </row>
    <row r="595" spans="1:12" s="795" customFormat="1" ht="23.15" customHeight="1">
      <c r="A595" s="313"/>
      <c r="B595" s="676" t="s">
        <v>379</v>
      </c>
      <c r="C595" s="445">
        <f>ROUND(D595,2)</f>
        <v>1104.5</v>
      </c>
      <c r="D595" s="430">
        <f>Detail!K1135</f>
        <v>1104.5</v>
      </c>
      <c r="E595" s="445" t="s">
        <v>13</v>
      </c>
      <c r="F595" s="325">
        <f>VLOOKUP(B595,BQ!$B$6:$E$112,4,FALSE)</f>
        <v>4945</v>
      </c>
      <c r="G595" s="445" t="str">
        <f>E595</f>
        <v>Rft</v>
      </c>
      <c r="H595" s="792">
        <f>F595*C595</f>
        <v>5461752.5</v>
      </c>
      <c r="I595" s="793">
        <f>H595</f>
        <v>5461752.5</v>
      </c>
      <c r="J595" s="793"/>
      <c r="K595" s="794"/>
    </row>
    <row r="596" spans="1:12" s="795" customFormat="1" ht="25.5" customHeight="1">
      <c r="A596" s="313"/>
      <c r="B596" s="676" t="s">
        <v>380</v>
      </c>
      <c r="C596" s="445">
        <f>ROUND(D596,2)</f>
        <v>9.1999999999999993</v>
      </c>
      <c r="D596" s="430">
        <f>D593*1.5/3.6</f>
        <v>9.2041666666666657</v>
      </c>
      <c r="E596" s="445" t="s">
        <v>52</v>
      </c>
      <c r="F596" s="325">
        <f>VLOOKUP(B596,BQ!$B$6:$E$112,4,FALSE)</f>
        <v>18500</v>
      </c>
      <c r="G596" s="445" t="str">
        <f>E596</f>
        <v>Viss</v>
      </c>
      <c r="H596" s="792">
        <f>F596*C596</f>
        <v>170200</v>
      </c>
      <c r="I596" s="793">
        <f>H596</f>
        <v>170200</v>
      </c>
      <c r="J596" s="793"/>
      <c r="K596" s="794">
        <f>1790*90</f>
        <v>161100</v>
      </c>
    </row>
    <row r="597" spans="1:12" s="795" customFormat="1" ht="25.5" customHeight="1">
      <c r="A597" s="313"/>
      <c r="B597" s="676" t="s">
        <v>49</v>
      </c>
      <c r="C597" s="445">
        <f>ROUND(D597,0)</f>
        <v>9</v>
      </c>
      <c r="D597" s="430">
        <f>D593*0.4</f>
        <v>8.8360000000000003</v>
      </c>
      <c r="E597" s="445" t="s">
        <v>304</v>
      </c>
      <c r="F597" s="325">
        <f>VLOOKUP(B597,BQ!$B$6:$E$112,4,FALSE)</f>
        <v>8500</v>
      </c>
      <c r="G597" s="445" t="str">
        <f>E597</f>
        <v>Nos.</v>
      </c>
      <c r="H597" s="792">
        <f>F597*C597</f>
        <v>76500</v>
      </c>
      <c r="I597" s="793">
        <f>H597</f>
        <v>76500</v>
      </c>
      <c r="J597" s="793"/>
      <c r="K597" s="794"/>
    </row>
    <row r="598" spans="1:12" s="795" customFormat="1" ht="25.25" customHeight="1">
      <c r="A598" s="313"/>
      <c r="B598" s="676"/>
      <c r="C598" s="445"/>
      <c r="D598" s="430"/>
      <c r="E598" s="791"/>
      <c r="F598" s="301"/>
      <c r="G598" s="791"/>
      <c r="H598" s="792">
        <f>SUM(H595:H597)</f>
        <v>5708452.5</v>
      </c>
      <c r="I598" s="793"/>
      <c r="J598" s="793"/>
      <c r="K598" s="794"/>
    </row>
    <row r="599" spans="1:12" s="795" customFormat="1" ht="25.5" customHeight="1">
      <c r="A599" s="313"/>
      <c r="B599" s="675" t="s">
        <v>66</v>
      </c>
      <c r="C599" s="445"/>
      <c r="D599" s="430"/>
      <c r="E599" s="313"/>
      <c r="F599" s="301"/>
      <c r="G599" s="313"/>
      <c r="H599" s="792"/>
      <c r="I599" s="793"/>
      <c r="J599" s="793"/>
      <c r="K599" s="794"/>
    </row>
    <row r="600" spans="1:12" s="795" customFormat="1" ht="22.25" customHeight="1">
      <c r="A600" s="313"/>
      <c r="B600" s="676" t="s">
        <v>68</v>
      </c>
      <c r="C600" s="445">
        <f>ROUND(D600,2)</f>
        <v>33.14</v>
      </c>
      <c r="D600" s="430">
        <f>D593*1.5</f>
        <v>33.134999999999998</v>
      </c>
      <c r="E600" s="313" t="s">
        <v>3</v>
      </c>
      <c r="F600" s="325">
        <f>VLOOKUP(B600,BQ!$B$6:$E$112,4,FALSE)</f>
        <v>30250.000000000004</v>
      </c>
      <c r="G600" s="313" t="s">
        <v>3</v>
      </c>
      <c r="H600" s="792">
        <f>F600*C600</f>
        <v>1002485.0000000001</v>
      </c>
      <c r="I600" s="793"/>
      <c r="J600" s="793">
        <f>H600</f>
        <v>1002485.0000000001</v>
      </c>
      <c r="K600" s="794"/>
    </row>
    <row r="601" spans="1:12" s="795" customFormat="1" ht="22.25" customHeight="1">
      <c r="A601" s="313"/>
      <c r="B601" s="676" t="s">
        <v>67</v>
      </c>
      <c r="C601" s="445">
        <f>ROUND(D601,2)</f>
        <v>22.09</v>
      </c>
      <c r="D601" s="430">
        <f>D593*1</f>
        <v>22.09</v>
      </c>
      <c r="E601" s="313" t="s">
        <v>3</v>
      </c>
      <c r="F601" s="325">
        <f>VLOOKUP(B601,BQ!$B$6:$E$112,4,FALSE)</f>
        <v>21780</v>
      </c>
      <c r="G601" s="313" t="s">
        <v>3</v>
      </c>
      <c r="H601" s="792">
        <f>F601*C601</f>
        <v>481120.2</v>
      </c>
      <c r="I601" s="793"/>
      <c r="J601" s="793">
        <f>H601</f>
        <v>481120.2</v>
      </c>
      <c r="K601" s="794"/>
    </row>
    <row r="602" spans="1:12" s="795" customFormat="1" ht="22.25" customHeight="1" thickBot="1">
      <c r="A602" s="313"/>
      <c r="B602" s="676"/>
      <c r="C602" s="445"/>
      <c r="D602" s="430"/>
      <c r="E602" s="313"/>
      <c r="F602" s="301"/>
      <c r="G602" s="313"/>
      <c r="H602" s="792">
        <f>SUM(H600:H601)</f>
        <v>1483605.2000000002</v>
      </c>
      <c r="I602" s="793"/>
      <c r="J602" s="793"/>
      <c r="K602" s="794"/>
    </row>
    <row r="603" spans="1:12" s="795" customFormat="1" ht="22.25" customHeight="1" thickBot="1">
      <c r="A603" s="313"/>
      <c r="B603" s="676"/>
      <c r="C603" s="445"/>
      <c r="D603" s="430"/>
      <c r="E603" s="313"/>
      <c r="F603" s="555" t="s">
        <v>266</v>
      </c>
      <c r="G603" s="797" t="s">
        <v>221</v>
      </c>
      <c r="H603" s="798">
        <f>H598+H602</f>
        <v>7192057.7000000002</v>
      </c>
      <c r="I603" s="799"/>
      <c r="J603" s="799"/>
      <c r="K603" s="800"/>
    </row>
    <row r="604" spans="1:12" s="396" customFormat="1" ht="22.25" customHeight="1" thickTop="1">
      <c r="A604" s="313"/>
      <c r="B604" s="676"/>
      <c r="C604" s="445"/>
      <c r="D604" s="430"/>
      <c r="E604" s="313"/>
      <c r="F604" s="449"/>
      <c r="G604" s="810"/>
      <c r="H604" s="811"/>
      <c r="I604" s="799"/>
      <c r="J604" s="799"/>
      <c r="K604" s="809"/>
    </row>
    <row r="605" spans="1:12" s="795" customFormat="1" ht="22.25" customHeight="1">
      <c r="A605" s="788">
        <v>23</v>
      </c>
      <c r="B605" s="812" t="s">
        <v>381</v>
      </c>
      <c r="C605" s="790">
        <f>ROUND(D605,2)</f>
        <v>214.2</v>
      </c>
      <c r="D605" s="439">
        <f>Detail!K1140</f>
        <v>214.20000000000002</v>
      </c>
      <c r="E605" s="791" t="s">
        <v>13</v>
      </c>
      <c r="F605" s="301"/>
      <c r="G605" s="313"/>
      <c r="H605" s="808">
        <f>H608</f>
        <v>514080</v>
      </c>
      <c r="I605" s="793"/>
      <c r="J605" s="793"/>
      <c r="K605" s="794"/>
    </row>
    <row r="606" spans="1:12" s="795" customFormat="1" ht="22.25" customHeight="1">
      <c r="A606" s="313"/>
      <c r="B606" s="675" t="s">
        <v>65</v>
      </c>
      <c r="C606" s="445"/>
      <c r="D606" s="430"/>
      <c r="E606" s="313"/>
      <c r="F606" s="301"/>
      <c r="G606" s="313"/>
      <c r="H606" s="792"/>
      <c r="I606" s="793"/>
      <c r="J606" s="793"/>
      <c r="K606" s="794"/>
    </row>
    <row r="607" spans="1:12" s="795" customFormat="1" ht="22.25" customHeight="1" thickBot="1">
      <c r="A607" s="313"/>
      <c r="B607" s="676" t="s">
        <v>419</v>
      </c>
      <c r="C607" s="445">
        <f>ROUND(D607,2)</f>
        <v>214.2</v>
      </c>
      <c r="D607" s="430">
        <f>D605</f>
        <v>214.20000000000002</v>
      </c>
      <c r="E607" s="445" t="s">
        <v>13</v>
      </c>
      <c r="F607" s="325">
        <f>VLOOKUP(B607,BQ!$B$6:$E$112,4,FALSE)</f>
        <v>2400</v>
      </c>
      <c r="G607" s="445" t="s">
        <v>13</v>
      </c>
      <c r="H607" s="792">
        <f>F607*C607</f>
        <v>514080</v>
      </c>
      <c r="I607" s="793">
        <f>H607</f>
        <v>514080</v>
      </c>
      <c r="J607" s="793"/>
      <c r="K607" s="794"/>
    </row>
    <row r="608" spans="1:12" s="795" customFormat="1" ht="22.25" customHeight="1" thickBot="1">
      <c r="A608" s="313"/>
      <c r="B608" s="676"/>
      <c r="C608" s="445"/>
      <c r="D608" s="430"/>
      <c r="E608" s="313"/>
      <c r="F608" s="555" t="s">
        <v>266</v>
      </c>
      <c r="G608" s="797" t="s">
        <v>221</v>
      </c>
      <c r="H608" s="798">
        <f>SUM(H607)</f>
        <v>514080</v>
      </c>
      <c r="I608" s="799"/>
      <c r="J608" s="799"/>
      <c r="K608" s="800"/>
    </row>
    <row r="609" spans="1:11" s="396" customFormat="1" ht="22.25" customHeight="1" thickTop="1">
      <c r="A609" s="313"/>
      <c r="B609" s="676"/>
      <c r="C609" s="445"/>
      <c r="D609" s="430"/>
      <c r="E609" s="313"/>
      <c r="F609" s="449"/>
      <c r="G609" s="810"/>
      <c r="H609" s="811"/>
      <c r="I609" s="799"/>
      <c r="J609" s="799"/>
      <c r="K609" s="809"/>
    </row>
    <row r="610" spans="1:11" s="795" customFormat="1" ht="22.25" customHeight="1">
      <c r="A610" s="788">
        <v>24</v>
      </c>
      <c r="B610" s="812" t="s">
        <v>411</v>
      </c>
      <c r="C610" s="790">
        <f>ROUND(D610,2)</f>
        <v>192</v>
      </c>
      <c r="D610" s="439">
        <f>Detail!K1148</f>
        <v>192</v>
      </c>
      <c r="E610" s="791" t="s">
        <v>13</v>
      </c>
      <c r="F610" s="301"/>
      <c r="G610" s="313"/>
      <c r="H610" s="808">
        <f>H617</f>
        <v>830464</v>
      </c>
      <c r="I610" s="793"/>
      <c r="J610" s="793"/>
      <c r="K610" s="794"/>
    </row>
    <row r="611" spans="1:11" s="795" customFormat="1" ht="22.25" customHeight="1">
      <c r="A611" s="313"/>
      <c r="B611" s="675" t="s">
        <v>65</v>
      </c>
      <c r="C611" s="445"/>
      <c r="D611" s="430"/>
      <c r="E611" s="313"/>
      <c r="F611" s="301"/>
      <c r="G611" s="313"/>
      <c r="H611" s="792"/>
      <c r="I611" s="793"/>
      <c r="J611" s="793"/>
      <c r="K611" s="794"/>
    </row>
    <row r="612" spans="1:11" s="795" customFormat="1" ht="22.25" customHeight="1">
      <c r="A612" s="313"/>
      <c r="B612" s="676" t="s">
        <v>412</v>
      </c>
      <c r="C612" s="445">
        <f>ROUND(D612,2)</f>
        <v>205.44</v>
      </c>
      <c r="D612" s="430">
        <f>D610*1.07</f>
        <v>205.44</v>
      </c>
      <c r="E612" s="445" t="s">
        <v>13</v>
      </c>
      <c r="F612" s="325">
        <f>VLOOKUP(B612,BQ!$B$6:$E$112,4,FALSE)</f>
        <v>3100</v>
      </c>
      <c r="G612" s="445" t="s">
        <v>13</v>
      </c>
      <c r="H612" s="792">
        <f>F612*C612</f>
        <v>636864</v>
      </c>
      <c r="I612" s="793">
        <f>H612</f>
        <v>636864</v>
      </c>
      <c r="J612" s="793"/>
      <c r="K612" s="794"/>
    </row>
    <row r="613" spans="1:11" s="795" customFormat="1" ht="22.25" customHeight="1">
      <c r="A613" s="313"/>
      <c r="B613" s="676"/>
      <c r="C613" s="445"/>
      <c r="D613" s="430"/>
      <c r="E613" s="791"/>
      <c r="F613" s="301"/>
      <c r="G613" s="791"/>
      <c r="H613" s="792">
        <f>SUM(H612:H612)</f>
        <v>636864</v>
      </c>
      <c r="I613" s="793"/>
      <c r="J613" s="793"/>
      <c r="K613" s="794"/>
    </row>
    <row r="614" spans="1:11" s="795" customFormat="1" ht="22.25" customHeight="1">
      <c r="A614" s="313"/>
      <c r="B614" s="675" t="s">
        <v>66</v>
      </c>
      <c r="C614" s="445"/>
      <c r="D614" s="430"/>
      <c r="E614" s="313"/>
      <c r="F614" s="301"/>
      <c r="G614" s="313"/>
      <c r="H614" s="792"/>
      <c r="I614" s="793"/>
      <c r="J614" s="793"/>
      <c r="K614" s="794"/>
    </row>
    <row r="615" spans="1:11" s="795" customFormat="1" ht="22.25" customHeight="1">
      <c r="A615" s="313"/>
      <c r="B615" s="676" t="s">
        <v>68</v>
      </c>
      <c r="C615" s="445">
        <f>ROUND(D615,2)</f>
        <v>6.4</v>
      </c>
      <c r="D615" s="430">
        <f>D610*0.25/7.5</f>
        <v>6.4</v>
      </c>
      <c r="E615" s="313" t="s">
        <v>3</v>
      </c>
      <c r="F615" s="325">
        <f>VLOOKUP(B615,BQ!$B$6:$E$112,4,FALSE)</f>
        <v>30250.000000000004</v>
      </c>
      <c r="G615" s="313" t="s">
        <v>3</v>
      </c>
      <c r="H615" s="792">
        <f>F615*C615</f>
        <v>193600.00000000003</v>
      </c>
      <c r="I615" s="793"/>
      <c r="J615" s="793">
        <f>H615</f>
        <v>193600.00000000003</v>
      </c>
      <c r="K615" s="794"/>
    </row>
    <row r="616" spans="1:11" s="795" customFormat="1" ht="22.25" customHeight="1" thickBot="1">
      <c r="A616" s="313"/>
      <c r="B616" s="676"/>
      <c r="C616" s="445"/>
      <c r="D616" s="430"/>
      <c r="E616" s="313"/>
      <c r="F616" s="301"/>
      <c r="G616" s="313"/>
      <c r="H616" s="792">
        <f>SUM(H615:H615)</f>
        <v>193600.00000000003</v>
      </c>
      <c r="I616" s="793"/>
      <c r="J616" s="793"/>
      <c r="K616" s="794"/>
    </row>
    <row r="617" spans="1:11" s="795" customFormat="1" ht="22.25" customHeight="1" thickBot="1">
      <c r="A617" s="313"/>
      <c r="B617" s="676"/>
      <c r="C617" s="445"/>
      <c r="D617" s="430"/>
      <c r="E617" s="313"/>
      <c r="F617" s="433" t="s">
        <v>266</v>
      </c>
      <c r="G617" s="817" t="s">
        <v>221</v>
      </c>
      <c r="H617" s="798">
        <f>H613+H616</f>
        <v>830464</v>
      </c>
      <c r="I617" s="799"/>
      <c r="J617" s="799"/>
      <c r="K617" s="800"/>
    </row>
    <row r="618" spans="1:11" s="396" customFormat="1" ht="17.75" customHeight="1" thickTop="1">
      <c r="A618" s="313"/>
      <c r="B618" s="676"/>
      <c r="C618" s="445"/>
      <c r="D618" s="430"/>
      <c r="E618" s="313"/>
      <c r="F618" s="449"/>
      <c r="G618" s="810"/>
      <c r="H618" s="811"/>
      <c r="I618" s="799"/>
      <c r="J618" s="799"/>
      <c r="K618" s="809"/>
    </row>
    <row r="619" spans="1:11" s="795" customFormat="1" ht="22.25" customHeight="1">
      <c r="A619" s="788">
        <v>25</v>
      </c>
      <c r="B619" s="812" t="s">
        <v>862</v>
      </c>
      <c r="C619" s="790">
        <f>ROUND(D619,2)</f>
        <v>2259</v>
      </c>
      <c r="D619" s="439">
        <f>Detail!K1154+Detail!K1158</f>
        <v>2259</v>
      </c>
      <c r="E619" s="791" t="s">
        <v>10</v>
      </c>
      <c r="F619" s="301"/>
      <c r="G619" s="313"/>
      <c r="H619" s="808">
        <f>H633+H647+H661</f>
        <v>8640440</v>
      </c>
      <c r="I619" s="793"/>
      <c r="J619" s="793"/>
      <c r="K619" s="794"/>
    </row>
    <row r="620" spans="1:11" s="795" customFormat="1" ht="22.25" customHeight="1">
      <c r="A620" s="788"/>
      <c r="B620" s="812" t="s">
        <v>822</v>
      </c>
      <c r="C620" s="790">
        <f>ROUND(D620,2)</f>
        <v>612</v>
      </c>
      <c r="D620" s="439">
        <f>Detail!J1156</f>
        <v>612</v>
      </c>
      <c r="E620" s="791" t="s">
        <v>10</v>
      </c>
      <c r="F620" s="301"/>
      <c r="G620" s="313"/>
      <c r="H620" s="792"/>
      <c r="I620" s="793"/>
      <c r="J620" s="793"/>
      <c r="K620" s="794"/>
    </row>
    <row r="621" spans="1:11" s="795" customFormat="1" ht="23.15" customHeight="1">
      <c r="A621" s="313"/>
      <c r="B621" s="675" t="s">
        <v>65</v>
      </c>
      <c r="C621" s="445"/>
      <c r="D621" s="430"/>
      <c r="E621" s="313"/>
      <c r="F621" s="301"/>
      <c r="G621" s="313"/>
      <c r="H621" s="792"/>
      <c r="I621" s="793"/>
      <c r="J621" s="793"/>
      <c r="K621" s="794"/>
    </row>
    <row r="622" spans="1:11" s="795" customFormat="1" ht="23.15" customHeight="1">
      <c r="A622" s="313"/>
      <c r="B622" s="676" t="s">
        <v>840</v>
      </c>
      <c r="C622" s="445">
        <f>ROUND(D622,2)</f>
        <v>21.99</v>
      </c>
      <c r="D622" s="430">
        <f>D620/32*1.15</f>
        <v>21.993749999999999</v>
      </c>
      <c r="E622" s="445" t="s">
        <v>30</v>
      </c>
      <c r="F622" s="325">
        <f>VLOOKUP(B622,BQ!$B$6:$E$112,4,FALSE)</f>
        <v>72500</v>
      </c>
      <c r="G622" s="445" t="str">
        <f t="shared" ref="G622:G627" si="7">E622</f>
        <v>Sht</v>
      </c>
      <c r="H622" s="792">
        <f t="shared" ref="H622:H627" si="8">F622*C622</f>
        <v>1594275</v>
      </c>
      <c r="I622" s="793">
        <f t="shared" ref="I622:I627" si="9">H622</f>
        <v>1594275</v>
      </c>
      <c r="J622" s="793"/>
      <c r="K622" s="794">
        <f t="shared" ref="K622:K628" si="10">C622+C636+C650</f>
        <v>81.180000000000007</v>
      </c>
    </row>
    <row r="623" spans="1:11" s="795" customFormat="1" ht="23.15" customHeight="1">
      <c r="A623" s="313"/>
      <c r="B623" s="676" t="s">
        <v>842</v>
      </c>
      <c r="C623" s="445">
        <f>ROUNDUP(D623,0)</f>
        <v>13</v>
      </c>
      <c r="D623" s="430">
        <f>D620*2/100</f>
        <v>12.24</v>
      </c>
      <c r="E623" s="313" t="s">
        <v>304</v>
      </c>
      <c r="F623" s="325">
        <f>VLOOKUP(B623,BQ!$B$6:$E$112,4,FALSE)</f>
        <v>1550</v>
      </c>
      <c r="G623" s="445" t="str">
        <f t="shared" si="7"/>
        <v>Nos.</v>
      </c>
      <c r="H623" s="792">
        <f t="shared" si="8"/>
        <v>20150</v>
      </c>
      <c r="I623" s="793">
        <f t="shared" si="9"/>
        <v>20150</v>
      </c>
      <c r="J623" s="793"/>
      <c r="K623" s="794">
        <f t="shared" si="10"/>
        <v>80</v>
      </c>
    </row>
    <row r="624" spans="1:11" s="795" customFormat="1" ht="23.15" customHeight="1">
      <c r="A624" s="313"/>
      <c r="B624" s="676" t="s">
        <v>843</v>
      </c>
      <c r="C624" s="445">
        <f>ROUND(D624,2)</f>
        <v>128.52000000000001</v>
      </c>
      <c r="D624" s="430">
        <f>D620*20*1.05/100</f>
        <v>128.52000000000001</v>
      </c>
      <c r="E624" s="313" t="s">
        <v>304</v>
      </c>
      <c r="F624" s="325">
        <f>VLOOKUP(B624,BQ!$B$6:$E$112,4,FALSE)</f>
        <v>3500</v>
      </c>
      <c r="G624" s="445" t="str">
        <f t="shared" si="7"/>
        <v>Nos.</v>
      </c>
      <c r="H624" s="792">
        <f t="shared" si="8"/>
        <v>449820.00000000006</v>
      </c>
      <c r="I624" s="793">
        <f t="shared" si="9"/>
        <v>449820.00000000006</v>
      </c>
      <c r="J624" s="793"/>
      <c r="K624" s="794">
        <f t="shared" si="10"/>
        <v>474.39</v>
      </c>
    </row>
    <row r="625" spans="1:16" s="795" customFormat="1" ht="23.15" customHeight="1">
      <c r="A625" s="313"/>
      <c r="B625" s="676" t="s">
        <v>844</v>
      </c>
      <c r="C625" s="445">
        <f>ROUND(D625,2)</f>
        <v>0.53</v>
      </c>
      <c r="D625" s="430">
        <f>D620*0.075*1.15/100</f>
        <v>0.52784999999999993</v>
      </c>
      <c r="E625" s="313" t="s">
        <v>657</v>
      </c>
      <c r="F625" s="325">
        <f>VLOOKUP(B625,BQ!$B$6:$E$112,4,FALSE)</f>
        <v>8000</v>
      </c>
      <c r="G625" s="445" t="str">
        <f t="shared" si="7"/>
        <v>Box</v>
      </c>
      <c r="H625" s="792">
        <f t="shared" si="8"/>
        <v>4240</v>
      </c>
      <c r="I625" s="793">
        <f t="shared" si="9"/>
        <v>4240</v>
      </c>
      <c r="J625" s="793"/>
      <c r="K625" s="794">
        <f t="shared" si="10"/>
        <v>1.9500000000000002</v>
      </c>
    </row>
    <row r="626" spans="1:16" s="795" customFormat="1" ht="23.15" customHeight="1">
      <c r="A626" s="313"/>
      <c r="B626" s="676" t="s">
        <v>845</v>
      </c>
      <c r="C626" s="445">
        <f>ROUND(D626,0)</f>
        <v>6</v>
      </c>
      <c r="D626" s="430">
        <f>D620*0.8*1.15/100</f>
        <v>5.6303999999999998</v>
      </c>
      <c r="E626" s="313" t="s">
        <v>657</v>
      </c>
      <c r="F626" s="325">
        <f>VLOOKUP(B626,BQ!$B$6:$E$112,4,FALSE)</f>
        <v>16000</v>
      </c>
      <c r="G626" s="445" t="str">
        <f t="shared" si="7"/>
        <v>Box</v>
      </c>
      <c r="H626" s="792">
        <f t="shared" si="8"/>
        <v>96000</v>
      </c>
      <c r="I626" s="793">
        <f t="shared" si="9"/>
        <v>96000</v>
      </c>
      <c r="J626" s="793"/>
      <c r="K626" s="794">
        <f t="shared" si="10"/>
        <v>21</v>
      </c>
    </row>
    <row r="627" spans="1:16" s="795" customFormat="1" ht="23.15" customHeight="1">
      <c r="A627" s="313"/>
      <c r="B627" s="676" t="s">
        <v>867</v>
      </c>
      <c r="C627" s="445">
        <f>ROUND(D627,2)</f>
        <v>0.96</v>
      </c>
      <c r="D627" s="430">
        <f>D620*0.15*1.05/100</f>
        <v>0.96389999999999998</v>
      </c>
      <c r="E627" s="313" t="s">
        <v>657</v>
      </c>
      <c r="F627" s="325">
        <f>VLOOKUP(B627,BQ!$B$6:$E$112,4,FALSE)</f>
        <v>37500</v>
      </c>
      <c r="G627" s="445" t="str">
        <f t="shared" si="7"/>
        <v>Box</v>
      </c>
      <c r="H627" s="792">
        <f t="shared" si="8"/>
        <v>36000</v>
      </c>
      <c r="I627" s="793">
        <f t="shared" si="9"/>
        <v>36000</v>
      </c>
      <c r="J627" s="793"/>
      <c r="K627" s="794">
        <f t="shared" si="10"/>
        <v>3.55</v>
      </c>
    </row>
    <row r="628" spans="1:16" s="795" customFormat="1" ht="23.15" customHeight="1">
      <c r="A628" s="313"/>
      <c r="B628" s="676" t="s">
        <v>846</v>
      </c>
      <c r="C628" s="445">
        <f>ROUND(D628,2)</f>
        <v>0.53</v>
      </c>
      <c r="D628" s="430">
        <f>D620*0.075*1.15/100</f>
        <v>0.52784999999999993</v>
      </c>
      <c r="E628" s="313" t="s">
        <v>657</v>
      </c>
      <c r="F628" s="325">
        <f>VLOOKUP(B628,BQ!$B$6:$E$112,4,FALSE)</f>
        <v>34000</v>
      </c>
      <c r="G628" s="445" t="str">
        <f>E628</f>
        <v>Box</v>
      </c>
      <c r="H628" s="792">
        <f>F628*C628</f>
        <v>18020</v>
      </c>
      <c r="I628" s="793">
        <f>H628</f>
        <v>18020</v>
      </c>
      <c r="J628" s="793"/>
      <c r="K628" s="794">
        <f t="shared" si="10"/>
        <v>1.9500000000000002</v>
      </c>
      <c r="L628" s="795">
        <v>14.83</v>
      </c>
    </row>
    <row r="629" spans="1:16" s="795" customFormat="1" ht="23.15" customHeight="1">
      <c r="A629" s="313"/>
      <c r="B629" s="676"/>
      <c r="C629" s="445"/>
      <c r="D629" s="430"/>
      <c r="E629" s="791"/>
      <c r="F629" s="301"/>
      <c r="G629" s="796"/>
      <c r="H629" s="792">
        <f>SUM(H622:H628)</f>
        <v>2218505</v>
      </c>
      <c r="I629" s="793"/>
      <c r="J629" s="793"/>
      <c r="K629" s="794"/>
      <c r="L629" s="795">
        <f>L628/2.17</f>
        <v>6.8341013824884795</v>
      </c>
    </row>
    <row r="630" spans="1:16" s="795" customFormat="1" ht="23.15" customHeight="1">
      <c r="A630" s="313"/>
      <c r="B630" s="675" t="s">
        <v>185</v>
      </c>
      <c r="C630" s="790">
        <f>ROUND(D630,2)</f>
        <v>612</v>
      </c>
      <c r="D630" s="430">
        <f>D620</f>
        <v>612</v>
      </c>
      <c r="E630" s="791" t="s">
        <v>45</v>
      </c>
      <c r="F630" s="301"/>
      <c r="G630" s="313"/>
      <c r="H630" s="792"/>
      <c r="I630" s="793"/>
      <c r="J630" s="793"/>
      <c r="K630" s="794"/>
    </row>
    <row r="631" spans="1:16" s="795" customFormat="1" ht="23.15" customHeight="1">
      <c r="A631" s="313"/>
      <c r="B631" s="676" t="s">
        <v>841</v>
      </c>
      <c r="C631" s="445">
        <f>ROUND(D631,2)</f>
        <v>612</v>
      </c>
      <c r="D631" s="430">
        <f>D630*1</f>
        <v>612</v>
      </c>
      <c r="E631" s="802" t="str">
        <f>E630</f>
        <v>Sft</v>
      </c>
      <c r="F631" s="325">
        <f>VLOOKUP(B631,BQ!$B$6:$E$120,4,FALSE)</f>
        <v>1000</v>
      </c>
      <c r="G631" s="313" t="str">
        <f>E631</f>
        <v>Sft</v>
      </c>
      <c r="H631" s="792">
        <f>F631*C631</f>
        <v>612000</v>
      </c>
      <c r="I631" s="793"/>
      <c r="J631" s="793">
        <f>H631</f>
        <v>612000</v>
      </c>
      <c r="K631" s="794"/>
    </row>
    <row r="632" spans="1:16" s="795" customFormat="1" ht="23.15" customHeight="1" thickBot="1">
      <c r="A632" s="313"/>
      <c r="B632" s="676"/>
      <c r="C632" s="445"/>
      <c r="D632" s="430"/>
      <c r="E632" s="313"/>
      <c r="F632" s="301"/>
      <c r="G632" s="313"/>
      <c r="H632" s="792">
        <f>SUM(H631:H631)</f>
        <v>612000</v>
      </c>
      <c r="I632" s="793"/>
      <c r="J632" s="793"/>
      <c r="K632" s="794"/>
    </row>
    <row r="633" spans="1:16" s="795" customFormat="1" ht="23.15" customHeight="1" thickBot="1">
      <c r="A633" s="313"/>
      <c r="B633" s="676"/>
      <c r="C633" s="445"/>
      <c r="D633" s="430"/>
      <c r="E633" s="313"/>
      <c r="F633" s="555" t="s">
        <v>266</v>
      </c>
      <c r="G633" s="797" t="s">
        <v>221</v>
      </c>
      <c r="H633" s="1045">
        <f>H629+H632</f>
        <v>2830505</v>
      </c>
      <c r="I633" s="799"/>
      <c r="J633" s="799"/>
      <c r="K633" s="800"/>
    </row>
    <row r="634" spans="1:16" s="795" customFormat="1" ht="22.25" customHeight="1" thickTop="1">
      <c r="A634" s="788"/>
      <c r="B634" s="812" t="s">
        <v>824</v>
      </c>
      <c r="C634" s="790">
        <f>ROUND(D634,2)</f>
        <v>72</v>
      </c>
      <c r="D634" s="439">
        <f>Detail!J1157</f>
        <v>72</v>
      </c>
      <c r="E634" s="791" t="s">
        <v>10</v>
      </c>
      <c r="F634" s="301"/>
      <c r="G634" s="313"/>
      <c r="H634" s="792"/>
      <c r="I634" s="793"/>
      <c r="J634" s="793"/>
      <c r="K634" s="794"/>
    </row>
    <row r="635" spans="1:16" s="795" customFormat="1" ht="23.15" customHeight="1">
      <c r="A635" s="313"/>
      <c r="B635" s="675" t="s">
        <v>65</v>
      </c>
      <c r="C635" s="445"/>
      <c r="D635" s="430"/>
      <c r="E635" s="313"/>
      <c r="F635" s="301"/>
      <c r="G635" s="313"/>
      <c r="H635" s="792"/>
      <c r="I635" s="793"/>
      <c r="J635" s="793"/>
      <c r="K635" s="794"/>
      <c r="L635" s="795">
        <v>400000</v>
      </c>
      <c r="M635" s="795">
        <f>L635/L636</f>
        <v>25396.825396825396</v>
      </c>
    </row>
    <row r="636" spans="1:16" s="795" customFormat="1" ht="23.15" customHeight="1">
      <c r="A636" s="313"/>
      <c r="B636" s="676" t="s">
        <v>840</v>
      </c>
      <c r="C636" s="445">
        <f>ROUND(D636,2)</f>
        <v>2.59</v>
      </c>
      <c r="D636" s="430">
        <f>D634/32*1.15</f>
        <v>2.5874999999999999</v>
      </c>
      <c r="E636" s="445" t="s">
        <v>30</v>
      </c>
      <c r="F636" s="325">
        <f>VLOOKUP(B636,BQ!$B$6:$E$112,4,FALSE)</f>
        <v>72500</v>
      </c>
      <c r="G636" s="445" t="str">
        <f t="shared" ref="G636:G642" si="11">E636</f>
        <v>Sht</v>
      </c>
      <c r="H636" s="792">
        <f t="shared" ref="H636:H642" si="12">F636*C636</f>
        <v>187775</v>
      </c>
      <c r="I636" s="793">
        <f t="shared" ref="I636:I642" si="13">H636</f>
        <v>187775</v>
      </c>
      <c r="J636" s="793"/>
      <c r="K636" s="794"/>
      <c r="L636" s="795">
        <f>((35)*(45))/100</f>
        <v>15.75</v>
      </c>
    </row>
    <row r="637" spans="1:16" s="795" customFormat="1" ht="23.15" customHeight="1">
      <c r="A637" s="313"/>
      <c r="B637" s="676" t="s">
        <v>842</v>
      </c>
      <c r="C637" s="445">
        <f>ROUNDUP(D637,0)</f>
        <v>4</v>
      </c>
      <c r="D637" s="430">
        <f>D634*4*1.05/100</f>
        <v>3.0240000000000005</v>
      </c>
      <c r="E637" s="313" t="s">
        <v>304</v>
      </c>
      <c r="F637" s="325">
        <f>VLOOKUP(B637,BQ!$B$6:$E$112,4,FALSE)</f>
        <v>1550</v>
      </c>
      <c r="G637" s="445" t="str">
        <f t="shared" si="11"/>
        <v>Nos.</v>
      </c>
      <c r="H637" s="792">
        <f t="shared" si="12"/>
        <v>6200</v>
      </c>
      <c r="I637" s="793">
        <f t="shared" si="13"/>
        <v>6200</v>
      </c>
      <c r="J637" s="793"/>
      <c r="K637" s="794" t="s">
        <v>842</v>
      </c>
      <c r="L637" s="795">
        <f>35+50</f>
        <v>85</v>
      </c>
      <c r="M637" s="795" t="s">
        <v>304</v>
      </c>
      <c r="N637" s="795">
        <f>L637/L636</f>
        <v>5.3968253968253972</v>
      </c>
    </row>
    <row r="638" spans="1:16" s="795" customFormat="1" ht="23.15" customHeight="1">
      <c r="A638" s="313"/>
      <c r="B638" s="676" t="s">
        <v>843</v>
      </c>
      <c r="C638" s="445">
        <f>ROUND(D638,2)</f>
        <v>15.12</v>
      </c>
      <c r="D638" s="430">
        <f>D634*20*1.05/100</f>
        <v>15.12</v>
      </c>
      <c r="E638" s="313" t="s">
        <v>304</v>
      </c>
      <c r="F638" s="325">
        <f>VLOOKUP(B638,BQ!$B$6:$E$112,4,FALSE)</f>
        <v>3500</v>
      </c>
      <c r="G638" s="445" t="str">
        <f t="shared" si="11"/>
        <v>Nos.</v>
      </c>
      <c r="H638" s="792">
        <f t="shared" si="12"/>
        <v>52920</v>
      </c>
      <c r="I638" s="793">
        <f t="shared" si="13"/>
        <v>52920</v>
      </c>
      <c r="J638" s="793"/>
      <c r="K638" s="794" t="s">
        <v>843</v>
      </c>
      <c r="L638" s="795">
        <f>220+200</f>
        <v>420</v>
      </c>
      <c r="M638" s="795" t="s">
        <v>304</v>
      </c>
      <c r="N638" s="795" t="e">
        <f t="shared" ref="N638:N645" si="14">L638/$L$119</f>
        <v>#DIV/0!</v>
      </c>
      <c r="O638" s="795" t="e">
        <f>N638*D634</f>
        <v>#DIV/0!</v>
      </c>
      <c r="P638" s="795" t="e">
        <f>O638*3400</f>
        <v>#DIV/0!</v>
      </c>
    </row>
    <row r="639" spans="1:16" s="795" customFormat="1" ht="23.15" customHeight="1">
      <c r="A639" s="313"/>
      <c r="B639" s="676" t="s">
        <v>844</v>
      </c>
      <c r="C639" s="445">
        <f>ROUND(D639,2)</f>
        <v>0.06</v>
      </c>
      <c r="D639" s="430">
        <f>D634*0.075*1.15/100</f>
        <v>6.2099999999999989E-2</v>
      </c>
      <c r="E639" s="313" t="s">
        <v>657</v>
      </c>
      <c r="F639" s="325">
        <f>VLOOKUP(B639,BQ!$B$6:$E$112,4,FALSE)</f>
        <v>8000</v>
      </c>
      <c r="G639" s="445" t="str">
        <f t="shared" si="11"/>
        <v>Box</v>
      </c>
      <c r="H639" s="792">
        <f t="shared" si="12"/>
        <v>480</v>
      </c>
      <c r="I639" s="793">
        <f t="shared" si="13"/>
        <v>480</v>
      </c>
      <c r="J639" s="793"/>
      <c r="K639" s="794" t="s">
        <v>845</v>
      </c>
      <c r="L639" s="795">
        <f>1+7+4</f>
        <v>12</v>
      </c>
      <c r="M639" s="795" t="s">
        <v>657</v>
      </c>
      <c r="N639" s="795" t="e">
        <f t="shared" si="14"/>
        <v>#DIV/0!</v>
      </c>
    </row>
    <row r="640" spans="1:16" s="795" customFormat="1" ht="23.15" customHeight="1">
      <c r="A640" s="313"/>
      <c r="B640" s="676" t="s">
        <v>845</v>
      </c>
      <c r="C640" s="445">
        <f>ROUND(D640,0)</f>
        <v>1</v>
      </c>
      <c r="D640" s="430">
        <f>D634*0.8*1.15/100</f>
        <v>0.66239999999999999</v>
      </c>
      <c r="E640" s="313" t="s">
        <v>657</v>
      </c>
      <c r="F640" s="325">
        <f>VLOOKUP(B640,BQ!$B$6:$E$112,4,FALSE)</f>
        <v>16000</v>
      </c>
      <c r="G640" s="445" t="str">
        <f t="shared" si="11"/>
        <v>Box</v>
      </c>
      <c r="H640" s="792">
        <f t="shared" si="12"/>
        <v>16000</v>
      </c>
      <c r="I640" s="793">
        <f t="shared" si="13"/>
        <v>16000</v>
      </c>
      <c r="J640" s="793"/>
      <c r="K640" s="794" t="s">
        <v>847</v>
      </c>
      <c r="L640" s="795">
        <f>1+1</f>
        <v>2</v>
      </c>
      <c r="M640" s="795" t="s">
        <v>657</v>
      </c>
      <c r="N640" s="795" t="e">
        <f t="shared" si="14"/>
        <v>#DIV/0!</v>
      </c>
    </row>
    <row r="641" spans="1:16" s="795" customFormat="1" ht="23.15" customHeight="1">
      <c r="A641" s="313"/>
      <c r="B641" s="676" t="s">
        <v>867</v>
      </c>
      <c r="C641" s="445">
        <f>ROUND(D641,2)</f>
        <v>0.11</v>
      </c>
      <c r="D641" s="430">
        <f>D634*0.15*1.05/100</f>
        <v>0.1134</v>
      </c>
      <c r="E641" s="313" t="s">
        <v>657</v>
      </c>
      <c r="F641" s="325">
        <f>VLOOKUP(B641,BQ!$B$6:$E$112,4,FALSE)</f>
        <v>37500</v>
      </c>
      <c r="G641" s="445" t="str">
        <f t="shared" si="11"/>
        <v>Box</v>
      </c>
      <c r="H641" s="792">
        <f>F641*C641</f>
        <v>4125</v>
      </c>
      <c r="I641" s="793">
        <f>H641</f>
        <v>4125</v>
      </c>
      <c r="J641" s="793"/>
      <c r="K641" s="794"/>
    </row>
    <row r="642" spans="1:16" s="795" customFormat="1" ht="23.15" customHeight="1">
      <c r="A642" s="313"/>
      <c r="B642" s="676" t="s">
        <v>846</v>
      </c>
      <c r="C642" s="445">
        <f>ROUND(D642,2)</f>
        <v>0.06</v>
      </c>
      <c r="D642" s="430">
        <f>D634*0.075*1.15/100</f>
        <v>6.2099999999999989E-2</v>
      </c>
      <c r="E642" s="313" t="s">
        <v>657</v>
      </c>
      <c r="F642" s="325">
        <f>VLOOKUP(B642,BQ!$B$6:$E$112,4,FALSE)</f>
        <v>34000</v>
      </c>
      <c r="G642" s="445" t="str">
        <f t="shared" si="11"/>
        <v>Box</v>
      </c>
      <c r="H642" s="792">
        <f t="shared" si="12"/>
        <v>2040</v>
      </c>
      <c r="I642" s="793">
        <f t="shared" si="13"/>
        <v>2040</v>
      </c>
      <c r="J642" s="793"/>
      <c r="K642" s="794" t="s">
        <v>363</v>
      </c>
      <c r="L642" s="795">
        <v>4</v>
      </c>
      <c r="M642" s="795" t="s">
        <v>304</v>
      </c>
      <c r="N642" s="795" t="e">
        <f t="shared" si="14"/>
        <v>#DIV/0!</v>
      </c>
    </row>
    <row r="643" spans="1:16" s="795" customFormat="1" ht="23.15" customHeight="1">
      <c r="A643" s="313"/>
      <c r="B643" s="676"/>
      <c r="C643" s="445"/>
      <c r="D643" s="430"/>
      <c r="E643" s="791"/>
      <c r="F643" s="301"/>
      <c r="G643" s="796"/>
      <c r="H643" s="792">
        <f>SUM(H636:H642)</f>
        <v>269540</v>
      </c>
      <c r="I643" s="793"/>
      <c r="J643" s="793"/>
      <c r="K643" s="794" t="s">
        <v>489</v>
      </c>
      <c r="L643" s="795">
        <f>30+10+20</f>
        <v>60</v>
      </c>
      <c r="M643" s="795" t="s">
        <v>30</v>
      </c>
      <c r="N643" s="795" t="e">
        <f t="shared" si="14"/>
        <v>#DIV/0!</v>
      </c>
      <c r="O643" s="795">
        <f>L636*100/32</f>
        <v>49.21875</v>
      </c>
      <c r="P643" s="795">
        <f>O643*1.1</f>
        <v>54.140625000000007</v>
      </c>
    </row>
    <row r="644" spans="1:16" s="795" customFormat="1" ht="23.15" customHeight="1">
      <c r="A644" s="313"/>
      <c r="B644" s="675" t="s">
        <v>185</v>
      </c>
      <c r="C644" s="790">
        <f>ROUND(D644,2)</f>
        <v>72</v>
      </c>
      <c r="D644" s="439">
        <f>D634</f>
        <v>72</v>
      </c>
      <c r="E644" s="791" t="s">
        <v>45</v>
      </c>
      <c r="F644" s="301"/>
      <c r="G644" s="313"/>
      <c r="H644" s="792"/>
      <c r="I644" s="793"/>
      <c r="J644" s="793"/>
      <c r="K644" s="794" t="s">
        <v>848</v>
      </c>
      <c r="L644" s="795">
        <v>1</v>
      </c>
      <c r="M644" s="795" t="s">
        <v>657</v>
      </c>
      <c r="N644" s="795" t="e">
        <f t="shared" si="14"/>
        <v>#DIV/0!</v>
      </c>
    </row>
    <row r="645" spans="1:16" s="795" customFormat="1" ht="23.15" customHeight="1">
      <c r="A645" s="313"/>
      <c r="B645" s="676" t="s">
        <v>841</v>
      </c>
      <c r="C645" s="445">
        <f>ROUND(D645,2)</f>
        <v>72</v>
      </c>
      <c r="D645" s="430">
        <f>D644*1</f>
        <v>72</v>
      </c>
      <c r="E645" s="802" t="str">
        <f>E644</f>
        <v>Sft</v>
      </c>
      <c r="F645" s="325">
        <f>VLOOKUP(B645,BQ!$B$6:$E$120,4,FALSE)</f>
        <v>1000</v>
      </c>
      <c r="G645" s="313" t="str">
        <f>E645</f>
        <v>Sft</v>
      </c>
      <c r="H645" s="792">
        <f>F645*C645</f>
        <v>72000</v>
      </c>
      <c r="I645" s="793"/>
      <c r="J645" s="793">
        <f>H645</f>
        <v>72000</v>
      </c>
      <c r="K645" s="794" t="s">
        <v>849</v>
      </c>
      <c r="L645" s="795">
        <v>1</v>
      </c>
      <c r="M645" s="795" t="s">
        <v>850</v>
      </c>
      <c r="N645" s="795" t="e">
        <f t="shared" si="14"/>
        <v>#DIV/0!</v>
      </c>
    </row>
    <row r="646" spans="1:16" s="795" customFormat="1" ht="23.15" customHeight="1" thickBot="1">
      <c r="A646" s="313"/>
      <c r="B646" s="676"/>
      <c r="C646" s="445"/>
      <c r="D646" s="430"/>
      <c r="E646" s="313"/>
      <c r="F646" s="301"/>
      <c r="G646" s="313"/>
      <c r="H646" s="792">
        <f>SUM(H645:H645)</f>
        <v>72000</v>
      </c>
      <c r="I646" s="793"/>
      <c r="J646" s="793"/>
      <c r="K646" s="794"/>
    </row>
    <row r="647" spans="1:16" s="795" customFormat="1" ht="23.15" customHeight="1" thickBot="1">
      <c r="A647" s="313"/>
      <c r="B647" s="676"/>
      <c r="C647" s="445"/>
      <c r="D647" s="430"/>
      <c r="E647" s="313"/>
      <c r="F647" s="555" t="s">
        <v>266</v>
      </c>
      <c r="G647" s="797" t="s">
        <v>221</v>
      </c>
      <c r="H647" s="1045">
        <f>H646+H643</f>
        <v>341540</v>
      </c>
      <c r="I647" s="799"/>
      <c r="J647" s="799"/>
      <c r="K647" s="800"/>
    </row>
    <row r="648" spans="1:16" s="795" customFormat="1" ht="22.25" customHeight="1" thickTop="1">
      <c r="A648" s="788"/>
      <c r="B648" s="812" t="s">
        <v>821</v>
      </c>
      <c r="C648" s="790">
        <f>ROUND(D648,2)</f>
        <v>1575</v>
      </c>
      <c r="D648" s="439">
        <f>Detail!K1154</f>
        <v>1575</v>
      </c>
      <c r="E648" s="791" t="s">
        <v>10</v>
      </c>
      <c r="F648" s="301"/>
      <c r="G648" s="313"/>
      <c r="H648" s="792"/>
      <c r="I648" s="793"/>
      <c r="J648" s="793"/>
      <c r="K648" s="794"/>
    </row>
    <row r="649" spans="1:16" s="795" customFormat="1" ht="23.15" customHeight="1">
      <c r="A649" s="313"/>
      <c r="B649" s="675" t="s">
        <v>65</v>
      </c>
      <c r="C649" s="445"/>
      <c r="D649" s="430"/>
      <c r="E649" s="313"/>
      <c r="F649" s="301"/>
      <c r="G649" s="313"/>
      <c r="H649" s="792"/>
      <c r="I649" s="793"/>
      <c r="J649" s="793"/>
      <c r="K649" s="794"/>
    </row>
    <row r="650" spans="1:16" s="795" customFormat="1" ht="23.15" customHeight="1">
      <c r="A650" s="313"/>
      <c r="B650" s="676" t="s">
        <v>489</v>
      </c>
      <c r="C650" s="445">
        <f>ROUND(D650,2)</f>
        <v>56.6</v>
      </c>
      <c r="D650" s="430">
        <f>D648/32*1.15</f>
        <v>56.601562499999993</v>
      </c>
      <c r="E650" s="445" t="s">
        <v>30</v>
      </c>
      <c r="F650" s="325">
        <f>VLOOKUP(B650,BQ!$B$6:$E$112,4,FALSE)</f>
        <v>40000</v>
      </c>
      <c r="G650" s="445" t="str">
        <f t="shared" ref="G650:G656" si="15">E650</f>
        <v>Sht</v>
      </c>
      <c r="H650" s="792">
        <f t="shared" ref="H650:H656" si="16">F650*C650</f>
        <v>2264000</v>
      </c>
      <c r="I650" s="793">
        <f t="shared" ref="I650:I656" si="17">H650</f>
        <v>2264000</v>
      </c>
      <c r="J650" s="793"/>
      <c r="K650" s="794"/>
    </row>
    <row r="651" spans="1:16" s="795" customFormat="1" ht="23.15" customHeight="1">
      <c r="A651" s="313"/>
      <c r="B651" s="676" t="s">
        <v>842</v>
      </c>
      <c r="C651" s="445">
        <f>ROUNDUP(D651,0)</f>
        <v>63</v>
      </c>
      <c r="D651" s="430">
        <f>D648*4/100</f>
        <v>63</v>
      </c>
      <c r="E651" s="313" t="s">
        <v>304</v>
      </c>
      <c r="F651" s="325">
        <f>VLOOKUP(B651,BQ!$B$6:$E$112,4,FALSE)</f>
        <v>1550</v>
      </c>
      <c r="G651" s="445" t="str">
        <f t="shared" si="15"/>
        <v>Nos.</v>
      </c>
      <c r="H651" s="792">
        <f t="shared" si="16"/>
        <v>97650</v>
      </c>
      <c r="I651" s="793">
        <f t="shared" si="17"/>
        <v>97650</v>
      </c>
      <c r="J651" s="793"/>
      <c r="K651" s="794"/>
    </row>
    <row r="652" spans="1:16" s="795" customFormat="1" ht="23.15" customHeight="1">
      <c r="A652" s="313"/>
      <c r="B652" s="676" t="s">
        <v>843</v>
      </c>
      <c r="C652" s="445">
        <f>ROUND(D652,2)</f>
        <v>330.75</v>
      </c>
      <c r="D652" s="430">
        <f>D648*20*1.05/100</f>
        <v>330.75</v>
      </c>
      <c r="E652" s="313" t="s">
        <v>304</v>
      </c>
      <c r="F652" s="325">
        <f>VLOOKUP(B652,BQ!$B$6:$E$112,4,FALSE)</f>
        <v>3500</v>
      </c>
      <c r="G652" s="445" t="str">
        <f t="shared" si="15"/>
        <v>Nos.</v>
      </c>
      <c r="H652" s="792">
        <f t="shared" si="16"/>
        <v>1157625</v>
      </c>
      <c r="I652" s="793">
        <f t="shared" si="17"/>
        <v>1157625</v>
      </c>
      <c r="J652" s="793"/>
      <c r="K652" s="794"/>
    </row>
    <row r="653" spans="1:16" s="795" customFormat="1" ht="23.15" customHeight="1">
      <c r="A653" s="313"/>
      <c r="B653" s="676" t="s">
        <v>844</v>
      </c>
      <c r="C653" s="445">
        <f>ROUND(D653,2)</f>
        <v>1.36</v>
      </c>
      <c r="D653" s="430">
        <f>D648*0.075*1.15/100</f>
        <v>1.3584375</v>
      </c>
      <c r="E653" s="313" t="s">
        <v>657</v>
      </c>
      <c r="F653" s="325">
        <f>VLOOKUP(B653,BQ!$B$6:$E$112,4,FALSE)</f>
        <v>8000</v>
      </c>
      <c r="G653" s="445" t="str">
        <f t="shared" si="15"/>
        <v>Box</v>
      </c>
      <c r="H653" s="792">
        <f t="shared" si="16"/>
        <v>10880</v>
      </c>
      <c r="I653" s="793">
        <f t="shared" si="17"/>
        <v>10880</v>
      </c>
      <c r="J653" s="793"/>
      <c r="K653" s="794"/>
    </row>
    <row r="654" spans="1:16" s="795" customFormat="1" ht="23.15" customHeight="1">
      <c r="A654" s="313"/>
      <c r="B654" s="676" t="s">
        <v>845</v>
      </c>
      <c r="C654" s="445">
        <f>ROUND(D654,0)</f>
        <v>14</v>
      </c>
      <c r="D654" s="430">
        <f>D648*0.8*1.15/100</f>
        <v>14.49</v>
      </c>
      <c r="E654" s="313" t="s">
        <v>657</v>
      </c>
      <c r="F654" s="325">
        <f>VLOOKUP(B654,BQ!$B$6:$E$112,4,FALSE)</f>
        <v>16000</v>
      </c>
      <c r="G654" s="445" t="str">
        <f t="shared" si="15"/>
        <v>Box</v>
      </c>
      <c r="H654" s="792">
        <f t="shared" si="16"/>
        <v>224000</v>
      </c>
      <c r="I654" s="793">
        <f t="shared" si="17"/>
        <v>224000</v>
      </c>
      <c r="J654" s="793"/>
      <c r="K654" s="794"/>
    </row>
    <row r="655" spans="1:16" s="795" customFormat="1" ht="23.15" customHeight="1">
      <c r="A655" s="313"/>
      <c r="B655" s="676" t="s">
        <v>867</v>
      </c>
      <c r="C655" s="445">
        <f>ROUND(D655,2)</f>
        <v>2.48</v>
      </c>
      <c r="D655" s="430">
        <f>D648*0.15*1.05/100</f>
        <v>2.4806249999999999</v>
      </c>
      <c r="E655" s="313" t="s">
        <v>657</v>
      </c>
      <c r="F655" s="325">
        <f>VLOOKUP(B655,BQ!$B$6:$E$112,4,FALSE)</f>
        <v>37500</v>
      </c>
      <c r="G655" s="445" t="str">
        <f t="shared" si="15"/>
        <v>Box</v>
      </c>
      <c r="H655" s="792">
        <f t="shared" si="16"/>
        <v>93000</v>
      </c>
      <c r="I655" s="793">
        <f t="shared" si="17"/>
        <v>93000</v>
      </c>
      <c r="J655" s="793"/>
      <c r="K655" s="794"/>
    </row>
    <row r="656" spans="1:16" s="795" customFormat="1" ht="23.15" customHeight="1">
      <c r="A656" s="313"/>
      <c r="B656" s="676" t="s">
        <v>846</v>
      </c>
      <c r="C656" s="445">
        <f>ROUND(D656,2)</f>
        <v>1.36</v>
      </c>
      <c r="D656" s="430">
        <f>D648*0.075*1.15/100</f>
        <v>1.3584375</v>
      </c>
      <c r="E656" s="313" t="s">
        <v>657</v>
      </c>
      <c r="F656" s="325">
        <f>VLOOKUP(B656,BQ!$B$6:$E$112,4,FALSE)</f>
        <v>34000</v>
      </c>
      <c r="G656" s="445" t="str">
        <f t="shared" si="15"/>
        <v>Box</v>
      </c>
      <c r="H656" s="792">
        <f t="shared" si="16"/>
        <v>46240</v>
      </c>
      <c r="I656" s="793">
        <f t="shared" si="17"/>
        <v>46240</v>
      </c>
      <c r="J656" s="793"/>
      <c r="K656" s="794"/>
    </row>
    <row r="657" spans="1:12" s="795" customFormat="1" ht="23.15" customHeight="1">
      <c r="A657" s="313"/>
      <c r="B657" s="676"/>
      <c r="C657" s="445"/>
      <c r="D657" s="430"/>
      <c r="E657" s="791"/>
      <c r="F657" s="301"/>
      <c r="G657" s="796"/>
      <c r="H657" s="792">
        <f>SUM(H650:H656)</f>
        <v>3893395</v>
      </c>
      <c r="I657" s="793"/>
      <c r="J657" s="793"/>
      <c r="K657" s="794"/>
    </row>
    <row r="658" spans="1:12" s="795" customFormat="1" ht="23.15" customHeight="1">
      <c r="A658" s="313"/>
      <c r="B658" s="675" t="s">
        <v>185</v>
      </c>
      <c r="C658" s="790">
        <f>ROUND(D658,2)</f>
        <v>1575</v>
      </c>
      <c r="D658" s="439">
        <f>D648</f>
        <v>1575</v>
      </c>
      <c r="E658" s="791" t="s">
        <v>45</v>
      </c>
      <c r="F658" s="301"/>
      <c r="G658" s="313"/>
      <c r="H658" s="792"/>
      <c r="I658" s="793"/>
      <c r="J658" s="793"/>
      <c r="K658" s="794"/>
    </row>
    <row r="659" spans="1:12" s="795" customFormat="1" ht="23.15" customHeight="1">
      <c r="A659" s="313"/>
      <c r="B659" s="676" t="s">
        <v>841</v>
      </c>
      <c r="C659" s="445">
        <f>ROUND(D659,2)</f>
        <v>1575</v>
      </c>
      <c r="D659" s="430">
        <f>D658*1</f>
        <v>1575</v>
      </c>
      <c r="E659" s="802" t="str">
        <f>E658</f>
        <v>Sft</v>
      </c>
      <c r="F659" s="325">
        <f>VLOOKUP(B659,BQ!$B$6:$E$120,4,FALSE)</f>
        <v>1000</v>
      </c>
      <c r="G659" s="313" t="str">
        <f>E659</f>
        <v>Sft</v>
      </c>
      <c r="H659" s="792">
        <f>F659*C659</f>
        <v>1575000</v>
      </c>
      <c r="I659" s="793"/>
      <c r="J659" s="793">
        <f>H659</f>
        <v>1575000</v>
      </c>
      <c r="K659" s="794"/>
    </row>
    <row r="660" spans="1:12" s="795" customFormat="1" ht="23.15" customHeight="1" thickBot="1">
      <c r="A660" s="313"/>
      <c r="B660" s="676"/>
      <c r="C660" s="445"/>
      <c r="D660" s="430"/>
      <c r="E660" s="313"/>
      <c r="F660" s="301"/>
      <c r="G660" s="313"/>
      <c r="H660" s="792">
        <f>SUM(H659:H659)</f>
        <v>1575000</v>
      </c>
      <c r="I660" s="793"/>
      <c r="J660" s="793"/>
      <c r="K660" s="794"/>
    </row>
    <row r="661" spans="1:12" s="795" customFormat="1" ht="23.15" customHeight="1" thickBot="1">
      <c r="A661" s="313"/>
      <c r="B661" s="676"/>
      <c r="C661" s="445"/>
      <c r="D661" s="430"/>
      <c r="E661" s="313"/>
      <c r="F661" s="555" t="s">
        <v>266</v>
      </c>
      <c r="G661" s="797" t="s">
        <v>221</v>
      </c>
      <c r="H661" s="1045">
        <f>H660+H657</f>
        <v>5468395</v>
      </c>
      <c r="I661" s="799"/>
      <c r="J661" s="799"/>
      <c r="K661" s="800"/>
    </row>
    <row r="662" spans="1:12" s="396" customFormat="1" ht="23.15" customHeight="1" thickTop="1">
      <c r="A662" s="1046"/>
      <c r="B662" s="676"/>
      <c r="C662" s="445"/>
      <c r="D662" s="430"/>
      <c r="E662" s="313"/>
      <c r="F662" s="301"/>
      <c r="G662" s="842"/>
      <c r="H662" s="843"/>
      <c r="I662" s="793"/>
      <c r="J662" s="793"/>
      <c r="K662" s="395"/>
    </row>
    <row r="663" spans="1:12" s="795" customFormat="1" ht="22.25" customHeight="1">
      <c r="A663" s="788">
        <v>26</v>
      </c>
      <c r="B663" s="812" t="s">
        <v>863</v>
      </c>
      <c r="C663" s="790">
        <f>ROUND(D663,2)</f>
        <v>55</v>
      </c>
      <c r="D663" s="439">
        <f>Detail!K1225</f>
        <v>55</v>
      </c>
      <c r="E663" s="791" t="s">
        <v>10</v>
      </c>
      <c r="F663" s="301"/>
      <c r="G663" s="313"/>
      <c r="H663" s="1075">
        <f>H674</f>
        <v>596110</v>
      </c>
      <c r="I663" s="793"/>
      <c r="J663" s="793"/>
      <c r="K663" s="794"/>
    </row>
    <row r="664" spans="1:12" s="795" customFormat="1" ht="23.15" customHeight="1">
      <c r="A664" s="313"/>
      <c r="B664" s="675" t="s">
        <v>65</v>
      </c>
      <c r="C664" s="445"/>
      <c r="D664" s="430"/>
      <c r="E664" s="313"/>
      <c r="F664" s="301"/>
      <c r="G664" s="313"/>
      <c r="H664" s="792"/>
      <c r="I664" s="793"/>
      <c r="J664" s="793"/>
      <c r="K664" s="794"/>
    </row>
    <row r="665" spans="1:12" s="795" customFormat="1" ht="23.15" customHeight="1">
      <c r="A665" s="313"/>
      <c r="B665" s="676" t="s">
        <v>864</v>
      </c>
      <c r="C665" s="445">
        <f>ROUND(D665,2)</f>
        <v>12.16</v>
      </c>
      <c r="D665" s="430">
        <f>(D663/(0.5*9.5))*1.05</f>
        <v>12.157894736842106</v>
      </c>
      <c r="E665" s="445" t="s">
        <v>304</v>
      </c>
      <c r="F665" s="325">
        <f>VLOOKUP(B665,BQ!$B$6:$E$112,4,FALSE)</f>
        <v>30000</v>
      </c>
      <c r="G665" s="445" t="str">
        <f>E665</f>
        <v>Nos.</v>
      </c>
      <c r="H665" s="792">
        <f>F665*C665</f>
        <v>364800</v>
      </c>
      <c r="I665" s="793">
        <f>H665</f>
        <v>364800</v>
      </c>
      <c r="J665" s="793"/>
      <c r="K665" s="794" t="e">
        <f>C665+C702+#REF!</f>
        <v>#REF!</v>
      </c>
    </row>
    <row r="666" spans="1:12" s="795" customFormat="1" ht="23.15" customHeight="1">
      <c r="A666" s="313"/>
      <c r="B666" s="676" t="s">
        <v>865</v>
      </c>
      <c r="C666" s="445">
        <f>ROUNDUP(D666,0)</f>
        <v>6</v>
      </c>
      <c r="D666" s="430">
        <f>D663*10/100</f>
        <v>5.5</v>
      </c>
      <c r="E666" s="313" t="s">
        <v>304</v>
      </c>
      <c r="F666" s="325">
        <f>VLOOKUP(B666,BQ!$B$6:$E$112,4,FALSE)</f>
        <v>15000</v>
      </c>
      <c r="G666" s="445" t="str">
        <f>E666</f>
        <v>Nos.</v>
      </c>
      <c r="H666" s="792">
        <f>F666*C666</f>
        <v>90000</v>
      </c>
      <c r="I666" s="793">
        <f>H666</f>
        <v>90000</v>
      </c>
      <c r="J666" s="793"/>
      <c r="K666" s="794" t="e">
        <f>C666+C703+#REF!</f>
        <v>#REF!</v>
      </c>
    </row>
    <row r="667" spans="1:12" s="795" customFormat="1" ht="23.15" customHeight="1">
      <c r="A667" s="313"/>
      <c r="B667" s="676" t="s">
        <v>930</v>
      </c>
      <c r="C667" s="445">
        <f>ROUND(D667,2)</f>
        <v>72.95</v>
      </c>
      <c r="D667" s="430">
        <f>D665*6</f>
        <v>72.94736842105263</v>
      </c>
      <c r="E667" s="313" t="s">
        <v>304</v>
      </c>
      <c r="F667" s="325">
        <f>VLOOKUP(B667,BQ!$B$6:$E$112,4,FALSE)</f>
        <v>500</v>
      </c>
      <c r="G667" s="445" t="str">
        <f>E667</f>
        <v>Nos.</v>
      </c>
      <c r="H667" s="792">
        <f>F667*C667</f>
        <v>36475</v>
      </c>
      <c r="I667" s="793">
        <f>H667</f>
        <v>36475</v>
      </c>
      <c r="J667" s="793"/>
      <c r="K667" s="794" t="e">
        <f>C667+C704+#REF!</f>
        <v>#REF!</v>
      </c>
    </row>
    <row r="668" spans="1:12" s="795" customFormat="1" ht="23.15" customHeight="1">
      <c r="A668" s="313"/>
      <c r="B668" s="676" t="s">
        <v>931</v>
      </c>
      <c r="C668" s="445">
        <f>ROUND(D668,2)</f>
        <v>27.5</v>
      </c>
      <c r="D668" s="430">
        <f>D663*50/100</f>
        <v>27.5</v>
      </c>
      <c r="E668" s="313" t="s">
        <v>304</v>
      </c>
      <c r="F668" s="325">
        <f>VLOOKUP(B668,BQ!$B$6:$E$112,4,FALSE)</f>
        <v>150</v>
      </c>
      <c r="G668" s="445" t="str">
        <f>E668</f>
        <v>Nos.</v>
      </c>
      <c r="H668" s="792">
        <f>F668*C668</f>
        <v>4125</v>
      </c>
      <c r="I668" s="793">
        <f>H668</f>
        <v>4125</v>
      </c>
      <c r="J668" s="793"/>
      <c r="K668" s="794"/>
    </row>
    <row r="669" spans="1:12" s="795" customFormat="1" ht="23.15" customHeight="1">
      <c r="A669" s="313"/>
      <c r="B669" s="676" t="s">
        <v>843</v>
      </c>
      <c r="C669" s="445">
        <f>ROUND(D669,2)</f>
        <v>7.56</v>
      </c>
      <c r="D669" s="430">
        <f>Detail!K1240</f>
        <v>7.5625000000000009</v>
      </c>
      <c r="E669" s="313" t="s">
        <v>304</v>
      </c>
      <c r="F669" s="325">
        <f>VLOOKUP(B669,BQ!$B$6:$E$112,4,FALSE)</f>
        <v>3500</v>
      </c>
      <c r="G669" s="445" t="str">
        <f>E669</f>
        <v>Nos.</v>
      </c>
      <c r="H669" s="792">
        <f>F669*C669</f>
        <v>26460</v>
      </c>
      <c r="I669" s="793">
        <f>H669</f>
        <v>26460</v>
      </c>
      <c r="J669" s="793"/>
      <c r="K669" s="794"/>
    </row>
    <row r="670" spans="1:12" s="795" customFormat="1" ht="23.15" customHeight="1">
      <c r="A670" s="313"/>
      <c r="B670" s="676"/>
      <c r="C670" s="445"/>
      <c r="D670" s="430"/>
      <c r="E670" s="791"/>
      <c r="F670" s="301"/>
      <c r="G670" s="796"/>
      <c r="H670" s="792">
        <f>SUM(H665:H669)</f>
        <v>521860</v>
      </c>
      <c r="I670" s="793"/>
      <c r="J670" s="793"/>
      <c r="K670" s="794"/>
      <c r="L670" s="795" t="e">
        <f>#REF!/2.17</f>
        <v>#REF!</v>
      </c>
    </row>
    <row r="671" spans="1:12" s="795" customFormat="1" ht="23.15" customHeight="1">
      <c r="A671" s="313"/>
      <c r="B671" s="675" t="s">
        <v>185</v>
      </c>
      <c r="C671" s="790">
        <f>ROUND(D671,2)</f>
        <v>55</v>
      </c>
      <c r="D671" s="430">
        <f>D663</f>
        <v>55</v>
      </c>
      <c r="E671" s="791" t="s">
        <v>45</v>
      </c>
      <c r="F671" s="301"/>
      <c r="G671" s="313"/>
      <c r="H671" s="792"/>
      <c r="I671" s="793"/>
      <c r="J671" s="793"/>
      <c r="K671" s="794"/>
    </row>
    <row r="672" spans="1:12" s="795" customFormat="1" ht="23.15" customHeight="1">
      <c r="A672" s="313"/>
      <c r="B672" s="676" t="s">
        <v>866</v>
      </c>
      <c r="C672" s="445">
        <f>ROUND(D672,2)</f>
        <v>55</v>
      </c>
      <c r="D672" s="430">
        <f>D671*1</f>
        <v>55</v>
      </c>
      <c r="E672" s="802" t="str">
        <f>E671</f>
        <v>Sft</v>
      </c>
      <c r="F672" s="325">
        <f>VLOOKUP(B672,BQ!$B$6:$E$120,4,FALSE)</f>
        <v>1350</v>
      </c>
      <c r="G672" s="313" t="str">
        <f>E672</f>
        <v>Sft</v>
      </c>
      <c r="H672" s="792">
        <f>F672*C672</f>
        <v>74250</v>
      </c>
      <c r="I672" s="793"/>
      <c r="J672" s="793">
        <f>H672</f>
        <v>74250</v>
      </c>
      <c r="K672" s="794"/>
    </row>
    <row r="673" spans="1:11" s="795" customFormat="1" ht="23.15" customHeight="1" thickBot="1">
      <c r="A673" s="313"/>
      <c r="B673" s="676"/>
      <c r="C673" s="445"/>
      <c r="D673" s="430"/>
      <c r="E673" s="313"/>
      <c r="F673" s="301"/>
      <c r="G673" s="313"/>
      <c r="H673" s="792">
        <f>SUM(H672:H672)</f>
        <v>74250</v>
      </c>
      <c r="I673" s="793"/>
      <c r="J673" s="793"/>
      <c r="K673" s="794"/>
    </row>
    <row r="674" spans="1:11" s="795" customFormat="1" ht="23.15" customHeight="1" thickBot="1">
      <c r="A674" s="313"/>
      <c r="B674" s="676"/>
      <c r="C674" s="445"/>
      <c r="D674" s="430"/>
      <c r="E674" s="313"/>
      <c r="F674" s="555" t="s">
        <v>266</v>
      </c>
      <c r="G674" s="797" t="s">
        <v>221</v>
      </c>
      <c r="H674" s="1045">
        <f>H670+H673</f>
        <v>596110</v>
      </c>
      <c r="I674" s="799"/>
      <c r="J674" s="799"/>
      <c r="K674" s="800"/>
    </row>
    <row r="675" spans="1:11" s="795" customFormat="1" ht="23.15" customHeight="1" thickTop="1">
      <c r="A675" s="313"/>
      <c r="B675" s="676"/>
      <c r="C675" s="445"/>
      <c r="D675" s="430"/>
      <c r="E675" s="313"/>
      <c r="F675" s="813"/>
      <c r="G675" s="814"/>
      <c r="H675" s="1047"/>
      <c r="I675" s="799"/>
      <c r="J675" s="799"/>
      <c r="K675" s="800"/>
    </row>
    <row r="676" spans="1:11" s="795" customFormat="1" ht="31">
      <c r="A676" s="788">
        <v>27</v>
      </c>
      <c r="B676" s="812" t="s">
        <v>873</v>
      </c>
      <c r="C676" s="790">
        <f>ROUND(D676,2)</f>
        <v>22.59</v>
      </c>
      <c r="D676" s="439">
        <f>Detail!K1245</f>
        <v>22.59</v>
      </c>
      <c r="E676" s="791" t="s">
        <v>220</v>
      </c>
      <c r="F676" s="301"/>
      <c r="G676" s="313"/>
      <c r="H676" s="808">
        <f>H688</f>
        <v>2596307.7000000002</v>
      </c>
      <c r="I676" s="793"/>
      <c r="J676" s="793"/>
      <c r="K676" s="794"/>
    </row>
    <row r="677" spans="1:11" s="795" customFormat="1" ht="23.15" customHeight="1">
      <c r="A677" s="313"/>
      <c r="B677" s="675" t="s">
        <v>65</v>
      </c>
      <c r="C677" s="445"/>
      <c r="D677" s="430"/>
      <c r="E677" s="313"/>
      <c r="F677" s="301"/>
      <c r="G677" s="313"/>
      <c r="H677" s="792"/>
      <c r="I677" s="793"/>
      <c r="J677" s="793"/>
      <c r="K677" s="794"/>
    </row>
    <row r="678" spans="1:11" s="795" customFormat="1" ht="23.15" customHeight="1">
      <c r="A678" s="313"/>
      <c r="B678" s="676" t="s">
        <v>868</v>
      </c>
      <c r="C678" s="445">
        <f>ROUND(D678,2)</f>
        <v>5.65</v>
      </c>
      <c r="D678" s="430">
        <f>D676*0.25</f>
        <v>5.6475</v>
      </c>
      <c r="E678" s="445" t="s">
        <v>15</v>
      </c>
      <c r="F678" s="325">
        <f>VLOOKUP(B678,BQ!$B$6:$E$112,4,FALSE)</f>
        <v>67600</v>
      </c>
      <c r="G678" s="445" t="str">
        <f>E678</f>
        <v>Bag</v>
      </c>
      <c r="H678" s="792">
        <f>F678*C678</f>
        <v>381940</v>
      </c>
      <c r="I678" s="793">
        <f>H678</f>
        <v>381940</v>
      </c>
      <c r="J678" s="793"/>
      <c r="K678" s="794"/>
    </row>
    <row r="679" spans="1:11" s="795" customFormat="1" ht="23.15" customHeight="1">
      <c r="A679" s="313"/>
      <c r="B679" s="676" t="s">
        <v>869</v>
      </c>
      <c r="C679" s="445">
        <f>ROUND(D679,2)</f>
        <v>5.65</v>
      </c>
      <c r="D679" s="430">
        <f>D676*0.25</f>
        <v>5.6475</v>
      </c>
      <c r="E679" s="445" t="s">
        <v>23</v>
      </c>
      <c r="F679" s="325">
        <f>VLOOKUP(B679,BQ!$B$6:$E$112,4,FALSE)</f>
        <v>130200</v>
      </c>
      <c r="G679" s="445" t="str">
        <f>E679</f>
        <v>Gal</v>
      </c>
      <c r="H679" s="792">
        <f>F679*C679</f>
        <v>735630</v>
      </c>
      <c r="I679" s="793">
        <f>H679</f>
        <v>735630</v>
      </c>
      <c r="J679" s="793"/>
      <c r="K679" s="794"/>
    </row>
    <row r="680" spans="1:11" s="795" customFormat="1" ht="23.15" customHeight="1">
      <c r="A680" s="313"/>
      <c r="B680" s="676" t="s">
        <v>73</v>
      </c>
      <c r="C680" s="445">
        <f>ROUND(D680,2)</f>
        <v>11.3</v>
      </c>
      <c r="D680" s="430">
        <f>D676*0.5</f>
        <v>11.295</v>
      </c>
      <c r="E680" s="445" t="s">
        <v>154</v>
      </c>
      <c r="F680" s="325">
        <f>VLOOKUP(B680,BQ!$B$6:$E$112,4,FALSE)</f>
        <v>21600</v>
      </c>
      <c r="G680" s="445" t="str">
        <f>E680</f>
        <v>Doz</v>
      </c>
      <c r="H680" s="792">
        <f>F680*C680</f>
        <v>244080.00000000003</v>
      </c>
      <c r="I680" s="793">
        <f>H680</f>
        <v>244080.00000000003</v>
      </c>
      <c r="J680" s="793"/>
      <c r="K680" s="794"/>
    </row>
    <row r="681" spans="1:11" s="795" customFormat="1" ht="23.15" customHeight="1">
      <c r="A681" s="313"/>
      <c r="B681" s="676" t="s">
        <v>155</v>
      </c>
      <c r="C681" s="445">
        <f>ROUND(D681,2)</f>
        <v>5.65</v>
      </c>
      <c r="D681" s="430">
        <f>D676*0.25</f>
        <v>5.6475</v>
      </c>
      <c r="E681" s="445" t="s">
        <v>304</v>
      </c>
      <c r="F681" s="325">
        <f>VLOOKUP(B681,BQ!$B$6:$E$112,4,FALSE)</f>
        <v>2000</v>
      </c>
      <c r="G681" s="445" t="str">
        <f>E681</f>
        <v>Nos.</v>
      </c>
      <c r="H681" s="792">
        <f>F681*C681</f>
        <v>11300</v>
      </c>
      <c r="I681" s="793">
        <f>H681</f>
        <v>11300</v>
      </c>
      <c r="J681" s="793"/>
      <c r="K681" s="794"/>
    </row>
    <row r="682" spans="1:11" s="795" customFormat="1" ht="23.15" customHeight="1">
      <c r="A682" s="313"/>
      <c r="B682" s="676" t="s">
        <v>870</v>
      </c>
      <c r="C682" s="445">
        <f>ROUNDUP(D682,0)</f>
        <v>12</v>
      </c>
      <c r="D682" s="430">
        <f>D676*0.5</f>
        <v>11.295</v>
      </c>
      <c r="E682" s="445" t="s">
        <v>605</v>
      </c>
      <c r="F682" s="325">
        <f>VLOOKUP(B682,BQ!$B$6:$E$112,4,FALSE)</f>
        <v>4000</v>
      </c>
      <c r="G682" s="445" t="str">
        <f>E682</f>
        <v>Coil</v>
      </c>
      <c r="H682" s="792">
        <f>F682*C682</f>
        <v>48000</v>
      </c>
      <c r="I682" s="793">
        <f>H682</f>
        <v>48000</v>
      </c>
      <c r="J682" s="793"/>
      <c r="K682" s="794"/>
    </row>
    <row r="683" spans="1:11" s="795" customFormat="1" ht="23.15" customHeight="1">
      <c r="A683" s="313"/>
      <c r="B683" s="676"/>
      <c r="C683" s="445"/>
      <c r="D683" s="430"/>
      <c r="E683" s="791"/>
      <c r="F683" s="301"/>
      <c r="G683" s="796"/>
      <c r="H683" s="792">
        <f>SUM(H678:H682)</f>
        <v>1420950</v>
      </c>
      <c r="I683" s="793"/>
      <c r="J683" s="793"/>
      <c r="K683" s="794"/>
    </row>
    <row r="684" spans="1:11" s="795" customFormat="1" ht="23.15" customHeight="1">
      <c r="A684" s="313"/>
      <c r="B684" s="675" t="s">
        <v>185</v>
      </c>
      <c r="C684" s="790"/>
      <c r="D684" s="430"/>
      <c r="E684" s="791"/>
      <c r="F684" s="301"/>
      <c r="G684" s="313"/>
      <c r="H684" s="792"/>
      <c r="I684" s="793"/>
      <c r="J684" s="793"/>
      <c r="K684" s="794"/>
    </row>
    <row r="685" spans="1:11" s="795" customFormat="1" ht="23.15" customHeight="1">
      <c r="A685" s="313"/>
      <c r="B685" s="676" t="s">
        <v>75</v>
      </c>
      <c r="C685" s="445">
        <f>ROUND(D685,2)</f>
        <v>22.59</v>
      </c>
      <c r="D685" s="430">
        <f>D676*1</f>
        <v>22.59</v>
      </c>
      <c r="E685" s="313" t="s">
        <v>304</v>
      </c>
      <c r="F685" s="325">
        <f>VLOOKUP(B685,BQ!$B$6:$E$112,4,FALSE)</f>
        <v>30250.000000000004</v>
      </c>
      <c r="G685" s="313" t="str">
        <f>E685</f>
        <v>Nos.</v>
      </c>
      <c r="H685" s="792">
        <f>F685*C685</f>
        <v>683347.50000000012</v>
      </c>
      <c r="I685" s="793"/>
      <c r="J685" s="793">
        <f>H685</f>
        <v>683347.50000000012</v>
      </c>
      <c r="K685" s="794"/>
    </row>
    <row r="686" spans="1:11" s="795" customFormat="1" ht="23.15" customHeight="1">
      <c r="A686" s="313"/>
      <c r="B686" s="676" t="s">
        <v>67</v>
      </c>
      <c r="C686" s="445">
        <f>ROUND(D686,2)</f>
        <v>22.59</v>
      </c>
      <c r="D686" s="430">
        <f>D676*1</f>
        <v>22.59</v>
      </c>
      <c r="E686" s="313" t="s">
        <v>304</v>
      </c>
      <c r="F686" s="325">
        <f>VLOOKUP(B686,BQ!$B$6:$E$112,4,FALSE)</f>
        <v>21780</v>
      </c>
      <c r="G686" s="313" t="str">
        <f>E686</f>
        <v>Nos.</v>
      </c>
      <c r="H686" s="792">
        <f>F686*C686</f>
        <v>492010.2</v>
      </c>
      <c r="I686" s="793"/>
      <c r="J686" s="793">
        <f>H686</f>
        <v>492010.2</v>
      </c>
      <c r="K686" s="794"/>
    </row>
    <row r="687" spans="1:11" s="795" customFormat="1" ht="23.15" customHeight="1" thickBot="1">
      <c r="A687" s="313"/>
      <c r="B687" s="676"/>
      <c r="C687" s="445"/>
      <c r="D687" s="430"/>
      <c r="E687" s="313"/>
      <c r="F687" s="301"/>
      <c r="G687" s="313"/>
      <c r="H687" s="792">
        <f>SUM(H685:H686)</f>
        <v>1175357.7000000002</v>
      </c>
      <c r="I687" s="793"/>
      <c r="J687" s="793"/>
      <c r="K687" s="794"/>
    </row>
    <row r="688" spans="1:11" s="795" customFormat="1" ht="23.15" customHeight="1" thickBot="1">
      <c r="A688" s="313"/>
      <c r="B688" s="676"/>
      <c r="C688" s="445"/>
      <c r="D688" s="430"/>
      <c r="E688" s="313"/>
      <c r="F688" s="555" t="s">
        <v>266</v>
      </c>
      <c r="G688" s="797" t="s">
        <v>221</v>
      </c>
      <c r="H688" s="798">
        <f>H687+H683</f>
        <v>2596307.7000000002</v>
      </c>
      <c r="I688" s="799"/>
      <c r="J688" s="799"/>
      <c r="K688" s="800"/>
    </row>
    <row r="689" spans="1:11" s="396" customFormat="1" ht="23.15" customHeight="1" thickTop="1">
      <c r="A689" s="313"/>
      <c r="B689" s="676"/>
      <c r="C689" s="445"/>
      <c r="D689" s="430"/>
      <c r="E689" s="313"/>
      <c r="F689" s="449"/>
      <c r="G689" s="810"/>
      <c r="H689" s="811"/>
      <c r="I689" s="799"/>
      <c r="J689" s="799"/>
      <c r="K689" s="809"/>
    </row>
    <row r="690" spans="1:11" s="795" customFormat="1" ht="22.25" customHeight="1">
      <c r="A690" s="788">
        <v>28</v>
      </c>
      <c r="B690" s="812" t="s">
        <v>871</v>
      </c>
      <c r="C690" s="790">
        <f>ROUND(D690,2)</f>
        <v>22.59</v>
      </c>
      <c r="D690" s="439">
        <f>Detail!K1250</f>
        <v>22.59</v>
      </c>
      <c r="E690" s="791" t="s">
        <v>220</v>
      </c>
      <c r="F690" s="301"/>
      <c r="G690" s="313"/>
      <c r="H690" s="808">
        <f>H698</f>
        <v>1636502.5</v>
      </c>
      <c r="I690" s="793"/>
      <c r="J690" s="793"/>
      <c r="K690" s="794"/>
    </row>
    <row r="691" spans="1:11" s="795" customFormat="1" ht="23.15" customHeight="1">
      <c r="A691" s="313"/>
      <c r="B691" s="675" t="s">
        <v>65</v>
      </c>
      <c r="C691" s="445"/>
      <c r="D691" s="430"/>
      <c r="E691" s="313"/>
      <c r="F691" s="301"/>
      <c r="G691" s="313"/>
      <c r="H691" s="792"/>
      <c r="I691" s="793"/>
      <c r="J691" s="793"/>
      <c r="K691" s="794"/>
    </row>
    <row r="692" spans="1:11" s="795" customFormat="1" ht="23.15" customHeight="1">
      <c r="A692" s="313"/>
      <c r="B692" s="676" t="s">
        <v>872</v>
      </c>
      <c r="C692" s="445">
        <f>ROUND(D692,2)</f>
        <v>11.3</v>
      </c>
      <c r="D692" s="430">
        <f>D690*0.5</f>
        <v>11.295</v>
      </c>
      <c r="E692" s="445" t="s">
        <v>23</v>
      </c>
      <c r="F692" s="325">
        <f>VLOOKUP(B692,BQ!$B$6:$E$112,4,FALSE)</f>
        <v>80600</v>
      </c>
      <c r="G692" s="445" t="str">
        <f>E692</f>
        <v>Gal</v>
      </c>
      <c r="H692" s="792">
        <f>F692*C692</f>
        <v>910780</v>
      </c>
      <c r="I692" s="793">
        <f>H692</f>
        <v>910780</v>
      </c>
      <c r="J692" s="793"/>
      <c r="K692" s="794"/>
    </row>
    <row r="693" spans="1:11" s="795" customFormat="1" ht="23.15" customHeight="1">
      <c r="A693" s="313"/>
      <c r="B693" s="676" t="s">
        <v>72</v>
      </c>
      <c r="C693" s="445">
        <f>ROUND(D693,2)</f>
        <v>5.65</v>
      </c>
      <c r="D693" s="430">
        <f>D690*0.25</f>
        <v>5.6475</v>
      </c>
      <c r="E693" s="313" t="s">
        <v>304</v>
      </c>
      <c r="F693" s="325">
        <f>VLOOKUP(B693,BQ!$B$6:$E$112,4,FALSE)</f>
        <v>7500</v>
      </c>
      <c r="G693" s="445" t="str">
        <f>E693</f>
        <v>Nos.</v>
      </c>
      <c r="H693" s="792">
        <f>F693*C693</f>
        <v>42375</v>
      </c>
      <c r="I693" s="793">
        <f>H693</f>
        <v>42375</v>
      </c>
      <c r="J693" s="793"/>
      <c r="K693" s="794"/>
    </row>
    <row r="694" spans="1:11" s="795" customFormat="1" ht="23.15" customHeight="1">
      <c r="A694" s="313"/>
      <c r="B694" s="676"/>
      <c r="C694" s="445"/>
      <c r="D694" s="430"/>
      <c r="E694" s="791"/>
      <c r="F694" s="301"/>
      <c r="G694" s="796"/>
      <c r="H694" s="792">
        <f>SUM(H692:H693)</f>
        <v>953155</v>
      </c>
      <c r="I694" s="793"/>
      <c r="J694" s="793"/>
      <c r="K694" s="794"/>
    </row>
    <row r="695" spans="1:11" s="795" customFormat="1" ht="23.15" customHeight="1">
      <c r="A695" s="313"/>
      <c r="B695" s="675" t="s">
        <v>185</v>
      </c>
      <c r="C695" s="790"/>
      <c r="D695" s="430"/>
      <c r="E695" s="791"/>
      <c r="F695" s="301"/>
      <c r="G695" s="313"/>
      <c r="H695" s="792"/>
      <c r="I695" s="793"/>
      <c r="J695" s="793"/>
      <c r="K695" s="794"/>
    </row>
    <row r="696" spans="1:11" s="795" customFormat="1" ht="23.15" customHeight="1">
      <c r="A696" s="313"/>
      <c r="B696" s="676" t="s">
        <v>75</v>
      </c>
      <c r="C696" s="445">
        <f>ROUND(D696,2)</f>
        <v>22.59</v>
      </c>
      <c r="D696" s="430">
        <f>D690*1</f>
        <v>22.59</v>
      </c>
      <c r="E696" s="313" t="s">
        <v>304</v>
      </c>
      <c r="F696" s="325">
        <f>VLOOKUP(B696,BQ!$B$6:$E$112,4,FALSE)</f>
        <v>30250.000000000004</v>
      </c>
      <c r="G696" s="313" t="str">
        <f>E696</f>
        <v>Nos.</v>
      </c>
      <c r="H696" s="792">
        <f>F696*C696</f>
        <v>683347.50000000012</v>
      </c>
      <c r="I696" s="793"/>
      <c r="J696" s="793">
        <f>H696</f>
        <v>683347.50000000012</v>
      </c>
      <c r="K696" s="794"/>
    </row>
    <row r="697" spans="1:11" s="795" customFormat="1" ht="23.15" customHeight="1" thickBot="1">
      <c r="A697" s="313"/>
      <c r="B697" s="676"/>
      <c r="C697" s="445"/>
      <c r="D697" s="430"/>
      <c r="E697" s="313"/>
      <c r="F697" s="301"/>
      <c r="G697" s="313"/>
      <c r="H697" s="792">
        <f>SUM(H696:H696)</f>
        <v>683347.50000000012</v>
      </c>
      <c r="I697" s="793"/>
      <c r="J697" s="793"/>
      <c r="K697" s="794"/>
    </row>
    <row r="698" spans="1:11" s="795" customFormat="1" ht="23.15" customHeight="1" thickBot="1">
      <c r="A698" s="313"/>
      <c r="B698" s="676"/>
      <c r="C698" s="445"/>
      <c r="D698" s="430"/>
      <c r="E698" s="313"/>
      <c r="F698" s="555" t="s">
        <v>266</v>
      </c>
      <c r="G698" s="797" t="s">
        <v>221</v>
      </c>
      <c r="H698" s="798">
        <f>H697+H694</f>
        <v>1636502.5</v>
      </c>
      <c r="I698" s="799"/>
      <c r="J698" s="799"/>
      <c r="K698" s="800"/>
    </row>
    <row r="699" spans="1:11" s="396" customFormat="1" ht="23.15" customHeight="1" thickTop="1">
      <c r="A699" s="313"/>
      <c r="B699" s="676"/>
      <c r="C699" s="445"/>
      <c r="D699" s="430"/>
      <c r="E699" s="313"/>
      <c r="F699" s="449"/>
      <c r="G699" s="810"/>
      <c r="H699" s="811"/>
      <c r="I699" s="799"/>
      <c r="J699" s="799"/>
      <c r="K699" s="809"/>
    </row>
    <row r="700" spans="1:11" s="795" customFormat="1" ht="22.25" customHeight="1">
      <c r="A700" s="788">
        <v>29</v>
      </c>
      <c r="B700" s="812" t="s">
        <v>476</v>
      </c>
      <c r="C700" s="790">
        <f>ROUND(D700,2)</f>
        <v>188.36</v>
      </c>
      <c r="D700" s="439">
        <f>Detail!K1256+Detail!K1261</f>
        <v>188.36</v>
      </c>
      <c r="E700" s="791" t="s">
        <v>13</v>
      </c>
      <c r="F700" s="301"/>
      <c r="G700" s="313"/>
      <c r="H700" s="808">
        <f>H711</f>
        <v>2677691</v>
      </c>
      <c r="I700" s="793"/>
      <c r="J700" s="793"/>
      <c r="K700" s="794"/>
    </row>
    <row r="701" spans="1:11" s="795" customFormat="1" ht="22.25" customHeight="1">
      <c r="A701" s="313"/>
      <c r="B701" s="675" t="s">
        <v>65</v>
      </c>
      <c r="C701" s="445"/>
      <c r="D701" s="430"/>
      <c r="E701" s="313"/>
      <c r="F701" s="301"/>
      <c r="G701" s="313"/>
      <c r="H701" s="792"/>
      <c r="I701" s="793"/>
      <c r="J701" s="793"/>
      <c r="K701" s="794"/>
    </row>
    <row r="702" spans="1:11" s="795" customFormat="1" ht="22.25" customHeight="1">
      <c r="A702" s="313"/>
      <c r="B702" s="676" t="s">
        <v>661</v>
      </c>
      <c r="C702" s="445">
        <f>ROUND(D702,2)</f>
        <v>58.46</v>
      </c>
      <c r="D702" s="430">
        <f>Detail!K1257</f>
        <v>58.463999999999999</v>
      </c>
      <c r="E702" s="445" t="s">
        <v>13</v>
      </c>
      <c r="F702" s="325">
        <f>VLOOKUP(B702,BQ!$B$6:$E$112,4,FALSE)</f>
        <v>16500</v>
      </c>
      <c r="G702" s="445" t="s">
        <v>13</v>
      </c>
      <c r="H702" s="792">
        <f>F702*C702</f>
        <v>964590</v>
      </c>
      <c r="I702" s="793">
        <f>H702</f>
        <v>964590</v>
      </c>
      <c r="J702" s="793"/>
      <c r="K702" s="794"/>
    </row>
    <row r="703" spans="1:11" s="795" customFormat="1" ht="22.25" customHeight="1">
      <c r="A703" s="313"/>
      <c r="B703" s="676" t="s">
        <v>490</v>
      </c>
      <c r="C703" s="445">
        <f>ROUND(D703,2)</f>
        <v>139.31</v>
      </c>
      <c r="D703" s="430">
        <f>Detail!K1262</f>
        <v>139.31400000000002</v>
      </c>
      <c r="E703" s="445" t="s">
        <v>13</v>
      </c>
      <c r="F703" s="325">
        <f>VLOOKUP(B703,BQ!$B$6:$E$112,4,FALSE)</f>
        <v>10500</v>
      </c>
      <c r="G703" s="445" t="s">
        <v>13</v>
      </c>
      <c r="H703" s="792">
        <f>F703*C703</f>
        <v>1462755</v>
      </c>
      <c r="I703" s="793">
        <f>H703</f>
        <v>1462755</v>
      </c>
      <c r="J703" s="793"/>
      <c r="K703" s="794"/>
    </row>
    <row r="704" spans="1:11" s="795" customFormat="1" ht="22.25" customHeight="1">
      <c r="A704" s="313"/>
      <c r="B704" s="676" t="s">
        <v>21</v>
      </c>
      <c r="C704" s="445">
        <f>ROUND(D704,2)</f>
        <v>0.32</v>
      </c>
      <c r="D704" s="430">
        <f>(D702/100)*(2/3.6)</f>
        <v>0.32479999999999998</v>
      </c>
      <c r="E704" s="802" t="s">
        <v>52</v>
      </c>
      <c r="F704" s="325">
        <f>VLOOKUP(B704,BQ!$B$6:$E$112,4,FALSE)</f>
        <v>11600</v>
      </c>
      <c r="G704" s="802" t="str">
        <f>E704</f>
        <v>Viss</v>
      </c>
      <c r="H704" s="792">
        <f>F704*C704</f>
        <v>3712</v>
      </c>
      <c r="I704" s="793">
        <f>H704</f>
        <v>3712</v>
      </c>
      <c r="J704" s="793"/>
      <c r="K704" s="794"/>
    </row>
    <row r="705" spans="1:11" s="795" customFormat="1" ht="22.25" customHeight="1">
      <c r="A705" s="313"/>
      <c r="B705" s="676" t="s">
        <v>646</v>
      </c>
      <c r="C705" s="445">
        <f>ROUND(D705,2)</f>
        <v>120</v>
      </c>
      <c r="D705" s="430">
        <f>Detail!K1266</f>
        <v>120</v>
      </c>
      <c r="E705" s="802" t="s">
        <v>304</v>
      </c>
      <c r="F705" s="325">
        <f>VLOOKUP(B705,BQ!$B$6:$E$112,4,FALSE)</f>
        <v>350</v>
      </c>
      <c r="G705" s="802" t="str">
        <f>E705</f>
        <v>Nos.</v>
      </c>
      <c r="H705" s="792">
        <f>F705*C705</f>
        <v>42000</v>
      </c>
      <c r="I705" s="793">
        <f>H705</f>
        <v>42000</v>
      </c>
      <c r="J705" s="793"/>
      <c r="K705" s="794"/>
    </row>
    <row r="706" spans="1:11" s="795" customFormat="1" ht="22.25" customHeight="1">
      <c r="A706" s="313"/>
      <c r="B706" s="676" t="s">
        <v>647</v>
      </c>
      <c r="C706" s="445">
        <f>ROUND(D706,2)</f>
        <v>1.88</v>
      </c>
      <c r="D706" s="430">
        <f>(D700/100)*1</f>
        <v>1.8836000000000002</v>
      </c>
      <c r="E706" s="802" t="s">
        <v>304</v>
      </c>
      <c r="F706" s="325">
        <f>VLOOKUP(B706,BQ!$B$6:$E$112,4,FALSE)</f>
        <v>7800</v>
      </c>
      <c r="G706" s="802" t="str">
        <f>E706</f>
        <v>Nos.</v>
      </c>
      <c r="H706" s="792">
        <f>F706*C706</f>
        <v>14664</v>
      </c>
      <c r="I706" s="793">
        <f>H706</f>
        <v>14664</v>
      </c>
      <c r="J706" s="793"/>
      <c r="K706" s="794"/>
    </row>
    <row r="707" spans="1:11" s="795" customFormat="1" ht="22.25" customHeight="1">
      <c r="A707" s="313"/>
      <c r="B707" s="676"/>
      <c r="C707" s="445"/>
      <c r="D707" s="430"/>
      <c r="E707" s="791"/>
      <c r="F707" s="325"/>
      <c r="G707" s="791"/>
      <c r="H707" s="792">
        <f>SUM(H702:H706)</f>
        <v>2487721</v>
      </c>
      <c r="I707" s="793"/>
      <c r="J707" s="793"/>
      <c r="K707" s="794"/>
    </row>
    <row r="708" spans="1:11" s="795" customFormat="1" ht="22.25" customHeight="1">
      <c r="A708" s="313"/>
      <c r="B708" s="675" t="s">
        <v>66</v>
      </c>
      <c r="C708" s="445"/>
      <c r="D708" s="430"/>
      <c r="E708" s="313"/>
      <c r="F708" s="301"/>
      <c r="G708" s="313"/>
      <c r="H708" s="792"/>
      <c r="I708" s="793"/>
      <c r="J708" s="793"/>
      <c r="K708" s="794"/>
    </row>
    <row r="709" spans="1:11" s="795" customFormat="1" ht="22.25" customHeight="1">
      <c r="A709" s="313"/>
      <c r="B709" s="676" t="s">
        <v>68</v>
      </c>
      <c r="C709" s="445">
        <f>ROUND(D709,2)</f>
        <v>6.28</v>
      </c>
      <c r="D709" s="430">
        <f>D700*0.25/7.5</f>
        <v>6.2786666666666671</v>
      </c>
      <c r="E709" s="313" t="s">
        <v>3</v>
      </c>
      <c r="F709" s="325">
        <f>VLOOKUP(B709,BQ!$B$6:$E$112,4,FALSE)</f>
        <v>30250.000000000004</v>
      </c>
      <c r="G709" s="313" t="s">
        <v>3</v>
      </c>
      <c r="H709" s="792">
        <f>F709*C709</f>
        <v>189970.00000000003</v>
      </c>
      <c r="I709" s="793"/>
      <c r="J709" s="793">
        <f>H709</f>
        <v>189970.00000000003</v>
      </c>
      <c r="K709" s="794"/>
    </row>
    <row r="710" spans="1:11" s="795" customFormat="1" ht="22.25" customHeight="1" thickBot="1">
      <c r="A710" s="313"/>
      <c r="B710" s="676"/>
      <c r="C710" s="445"/>
      <c r="D710" s="430"/>
      <c r="E710" s="313"/>
      <c r="F710" s="301"/>
      <c r="G710" s="313"/>
      <c r="H710" s="792">
        <f>SUM(H709:H709)</f>
        <v>189970.00000000003</v>
      </c>
      <c r="I710" s="793"/>
      <c r="J710" s="793"/>
      <c r="K710" s="794"/>
    </row>
    <row r="711" spans="1:11" s="795" customFormat="1" ht="22.25" customHeight="1" thickBot="1">
      <c r="A711" s="313"/>
      <c r="B711" s="676"/>
      <c r="C711" s="445"/>
      <c r="D711" s="430"/>
      <c r="E711" s="313"/>
      <c r="F711" s="433" t="s">
        <v>266</v>
      </c>
      <c r="G711" s="817" t="s">
        <v>221</v>
      </c>
      <c r="H711" s="798">
        <f>H707+H710</f>
        <v>2677691</v>
      </c>
      <c r="I711" s="799"/>
      <c r="J711" s="799"/>
      <c r="K711" s="800"/>
    </row>
    <row r="712" spans="1:11" s="396" customFormat="1" ht="17.75" customHeight="1" thickTop="1">
      <c r="A712" s="313"/>
      <c r="B712" s="676"/>
      <c r="C712" s="445"/>
      <c r="D712" s="430"/>
      <c r="E712" s="313"/>
      <c r="F712" s="449"/>
      <c r="G712" s="810"/>
      <c r="H712" s="811"/>
      <c r="I712" s="799"/>
      <c r="J712" s="799"/>
      <c r="K712" s="809"/>
    </row>
    <row r="713" spans="1:11" s="795" customFormat="1" ht="22.25" customHeight="1">
      <c r="A713" s="788">
        <v>30</v>
      </c>
      <c r="B713" s="812" t="s">
        <v>475</v>
      </c>
      <c r="C713" s="790">
        <f>ROUND(D713,2)</f>
        <v>249.7</v>
      </c>
      <c r="D713" s="439">
        <f>Detail!K1273</f>
        <v>249.70440000000002</v>
      </c>
      <c r="E713" s="791" t="s">
        <v>45</v>
      </c>
      <c r="F713" s="301"/>
      <c r="G713" s="313"/>
      <c r="H713" s="808">
        <f>H726</f>
        <v>16086875</v>
      </c>
      <c r="I713" s="793"/>
      <c r="J713" s="793"/>
      <c r="K713" s="794">
        <f>D713*2300</f>
        <v>574320.12</v>
      </c>
    </row>
    <row r="714" spans="1:11" s="795" customFormat="1" ht="22.25" customHeight="1">
      <c r="A714" s="313"/>
      <c r="B714" s="675" t="s">
        <v>65</v>
      </c>
      <c r="C714" s="445"/>
      <c r="D714" s="430"/>
      <c r="E714" s="313"/>
      <c r="F714" s="301"/>
      <c r="G714" s="313"/>
      <c r="H714" s="792"/>
      <c r="I714" s="793"/>
      <c r="J714" s="793"/>
      <c r="K714" s="794"/>
    </row>
    <row r="715" spans="1:11" s="795" customFormat="1" ht="22.25" customHeight="1">
      <c r="A715" s="313"/>
      <c r="B715" s="676" t="s">
        <v>874</v>
      </c>
      <c r="C715" s="445">
        <f>ROUND(D715,2)</f>
        <v>267.18</v>
      </c>
      <c r="D715" s="430">
        <f>D713*1.07</f>
        <v>267.18370800000002</v>
      </c>
      <c r="E715" s="445" t="s">
        <v>45</v>
      </c>
      <c r="F715" s="325">
        <f>VLOOKUP(B715,BQ!$B$6:$E$112,4,FALSE)</f>
        <v>43000</v>
      </c>
      <c r="G715" s="445" t="str">
        <f>E715</f>
        <v>Sft</v>
      </c>
      <c r="H715" s="792">
        <f>F715*C715</f>
        <v>11488740</v>
      </c>
      <c r="I715" s="793">
        <f>H715</f>
        <v>11488740</v>
      </c>
      <c r="J715" s="793"/>
      <c r="K715" s="794"/>
    </row>
    <row r="716" spans="1:11" s="795" customFormat="1" ht="22.25" customHeight="1">
      <c r="A716" s="313"/>
      <c r="B716" s="676" t="s">
        <v>875</v>
      </c>
      <c r="C716" s="445">
        <f>ROUND(D716,2)</f>
        <v>48</v>
      </c>
      <c r="D716" s="430">
        <f>(Detail!K1270*4*2)+(Detail!K1271+Detail!K1272)*4*1</f>
        <v>48</v>
      </c>
      <c r="E716" s="445" t="s">
        <v>304</v>
      </c>
      <c r="F716" s="325">
        <f>VLOOKUP(B716,BQ!$B$6:$E$112,4,FALSE)</f>
        <v>3900</v>
      </c>
      <c r="G716" s="445" t="str">
        <f>E716</f>
        <v>Nos.</v>
      </c>
      <c r="H716" s="792">
        <f>F716*C716</f>
        <v>187200</v>
      </c>
      <c r="I716" s="793">
        <f>H716</f>
        <v>187200</v>
      </c>
      <c r="J716" s="793"/>
      <c r="K716" s="794"/>
    </row>
    <row r="717" spans="1:11" s="795" customFormat="1" ht="22.25" customHeight="1">
      <c r="A717" s="313"/>
      <c r="B717" s="676" t="s">
        <v>191</v>
      </c>
      <c r="C717" s="445">
        <f>ROUND(D717,2)</f>
        <v>192</v>
      </c>
      <c r="D717" s="430">
        <f>D716*4</f>
        <v>192</v>
      </c>
      <c r="E717" s="445" t="s">
        <v>304</v>
      </c>
      <c r="F717" s="325">
        <f>VLOOKUP(B717,BQ!$B$6:$E$112,4,FALSE)</f>
        <v>100</v>
      </c>
      <c r="G717" s="445" t="str">
        <f>E717</f>
        <v>Nos.</v>
      </c>
      <c r="H717" s="792">
        <f>F717*C717</f>
        <v>19200</v>
      </c>
      <c r="I717" s="793">
        <f>H717</f>
        <v>19200</v>
      </c>
      <c r="J717" s="793"/>
      <c r="K717" s="794"/>
    </row>
    <row r="718" spans="1:11" s="795" customFormat="1" ht="22.25" customHeight="1">
      <c r="A718" s="313"/>
      <c r="B718" s="676" t="s">
        <v>876</v>
      </c>
      <c r="C718" s="445">
        <f>ROUND(D718,2)</f>
        <v>8</v>
      </c>
      <c r="D718" s="430">
        <f>Detail!K1271+Detail!K1272</f>
        <v>8</v>
      </c>
      <c r="E718" s="445" t="s">
        <v>304</v>
      </c>
      <c r="F718" s="325">
        <f>VLOOKUP(B718,BQ!$B$6:$E$112,4,FALSE)</f>
        <v>85000</v>
      </c>
      <c r="G718" s="445" t="str">
        <f>E718</f>
        <v>Nos.</v>
      </c>
      <c r="H718" s="792">
        <f>F718*C718</f>
        <v>680000</v>
      </c>
      <c r="I718" s="793">
        <f>H718</f>
        <v>680000</v>
      </c>
      <c r="J718" s="793"/>
      <c r="K718" s="794"/>
    </row>
    <row r="719" spans="1:11" s="795" customFormat="1" ht="22.25" customHeight="1">
      <c r="A719" s="313"/>
      <c r="B719" s="676" t="s">
        <v>932</v>
      </c>
      <c r="C719" s="445">
        <f>ROUND(D719,2)</f>
        <v>2</v>
      </c>
      <c r="D719" s="430">
        <f>Detail!K1270</f>
        <v>2</v>
      </c>
      <c r="E719" s="445" t="s">
        <v>877</v>
      </c>
      <c r="F719" s="325">
        <f>VLOOKUP(B719,BQ!$B$6:$E$112,4,FALSE)</f>
        <v>1400000</v>
      </c>
      <c r="G719" s="445" t="str">
        <f>E719</f>
        <v>Set</v>
      </c>
      <c r="H719" s="792">
        <f>F719*C719</f>
        <v>2800000</v>
      </c>
      <c r="I719" s="793">
        <f>H719</f>
        <v>2800000</v>
      </c>
      <c r="J719" s="793"/>
      <c r="K719" s="794"/>
    </row>
    <row r="720" spans="1:11" s="795" customFormat="1" ht="22.25" customHeight="1">
      <c r="A720" s="313"/>
      <c r="B720" s="676"/>
      <c r="C720" s="445"/>
      <c r="D720" s="430"/>
      <c r="E720" s="791"/>
      <c r="F720" s="301"/>
      <c r="G720" s="791"/>
      <c r="H720" s="792">
        <f>SUM(H715:H719)</f>
        <v>15175140</v>
      </c>
      <c r="I720" s="793"/>
      <c r="J720" s="793"/>
      <c r="K720" s="794"/>
    </row>
    <row r="721" spans="1:11" s="795" customFormat="1" ht="22.25" customHeight="1">
      <c r="A721" s="313"/>
      <c r="B721" s="675" t="s">
        <v>66</v>
      </c>
      <c r="C721" s="445"/>
      <c r="D721" s="430"/>
      <c r="E721" s="313"/>
      <c r="F721" s="301"/>
      <c r="G721" s="313"/>
      <c r="H721" s="792"/>
      <c r="I721" s="793"/>
      <c r="J721" s="793"/>
      <c r="K721" s="794"/>
    </row>
    <row r="722" spans="1:11" s="795" customFormat="1" ht="22.25" customHeight="1">
      <c r="A722" s="313"/>
      <c r="B722" s="676" t="s">
        <v>878</v>
      </c>
      <c r="C722" s="445">
        <f>ROUND(D722,2)</f>
        <v>249.7</v>
      </c>
      <c r="D722" s="430">
        <f>D713</f>
        <v>249.70440000000002</v>
      </c>
      <c r="E722" s="313" t="s">
        <v>45</v>
      </c>
      <c r="F722" s="325">
        <f>VLOOKUP(B722,BQ!$B$6:$E$120,4,FALSE)</f>
        <v>2550</v>
      </c>
      <c r="G722" s="313" t="str">
        <f>E722</f>
        <v>Sft</v>
      </c>
      <c r="H722" s="792">
        <f>F722*C722</f>
        <v>636735</v>
      </c>
      <c r="I722" s="793"/>
      <c r="J722" s="793">
        <f>H722</f>
        <v>636735</v>
      </c>
      <c r="K722" s="794"/>
    </row>
    <row r="723" spans="1:11" s="795" customFormat="1" ht="22.25" customHeight="1">
      <c r="A723" s="313"/>
      <c r="B723" s="676" t="s">
        <v>879</v>
      </c>
      <c r="C723" s="445">
        <f>ROUND(D723,2)</f>
        <v>8</v>
      </c>
      <c r="D723" s="430">
        <f>D718</f>
        <v>8</v>
      </c>
      <c r="E723" s="445" t="s">
        <v>304</v>
      </c>
      <c r="F723" s="325">
        <f>VLOOKUP(B723,BQ!$B$6:$E$120,4,FALSE)</f>
        <v>22000</v>
      </c>
      <c r="G723" s="313" t="str">
        <f>E723</f>
        <v>Nos.</v>
      </c>
      <c r="H723" s="792">
        <f>F723*C723</f>
        <v>176000</v>
      </c>
      <c r="I723" s="793"/>
      <c r="J723" s="793">
        <f>H723</f>
        <v>176000</v>
      </c>
      <c r="K723" s="794"/>
    </row>
    <row r="724" spans="1:11" s="795" customFormat="1" ht="22.25" customHeight="1">
      <c r="A724" s="313"/>
      <c r="B724" s="676" t="s">
        <v>880</v>
      </c>
      <c r="C724" s="445">
        <f>ROUND(D724,2)</f>
        <v>2</v>
      </c>
      <c r="D724" s="430">
        <f>D719</f>
        <v>2</v>
      </c>
      <c r="E724" s="313" t="s">
        <v>877</v>
      </c>
      <c r="F724" s="325">
        <f>VLOOKUP(B724,BQ!$B$6:$E$120,4,FALSE)</f>
        <v>49500</v>
      </c>
      <c r="G724" s="313" t="str">
        <f>E724</f>
        <v>Set</v>
      </c>
      <c r="H724" s="792">
        <f>F724*C724</f>
        <v>99000</v>
      </c>
      <c r="I724" s="793"/>
      <c r="J724" s="793">
        <f>H724</f>
        <v>99000</v>
      </c>
      <c r="K724" s="794"/>
    </row>
    <row r="725" spans="1:11" s="795" customFormat="1" ht="22.25" customHeight="1" thickBot="1">
      <c r="A725" s="313"/>
      <c r="B725" s="676"/>
      <c r="C725" s="445"/>
      <c r="D725" s="430"/>
      <c r="E725" s="313"/>
      <c r="F725" s="301"/>
      <c r="G725" s="313"/>
      <c r="H725" s="792">
        <f>SUM(H722:H724)</f>
        <v>911735</v>
      </c>
      <c r="I725" s="793"/>
      <c r="J725" s="793"/>
      <c r="K725" s="794"/>
    </row>
    <row r="726" spans="1:11" s="795" customFormat="1" ht="22.25" customHeight="1" thickBot="1">
      <c r="A726" s="313"/>
      <c r="B726" s="676"/>
      <c r="C726" s="445"/>
      <c r="D726" s="430"/>
      <c r="E726" s="313"/>
      <c r="F726" s="433" t="s">
        <v>266</v>
      </c>
      <c r="G726" s="817" t="s">
        <v>221</v>
      </c>
      <c r="H726" s="798">
        <f>H720+H725</f>
        <v>16086875</v>
      </c>
      <c r="I726" s="799"/>
      <c r="J726" s="799"/>
      <c r="K726" s="800"/>
    </row>
    <row r="727" spans="1:11" s="396" customFormat="1" ht="17.75" customHeight="1" thickTop="1">
      <c r="A727" s="313"/>
      <c r="B727" s="676"/>
      <c r="C727" s="445"/>
      <c r="D727" s="430"/>
      <c r="E727" s="313"/>
      <c r="F727" s="449"/>
      <c r="G727" s="810"/>
      <c r="H727" s="811"/>
      <c r="I727" s="799"/>
      <c r="J727" s="799"/>
      <c r="K727" s="809"/>
    </row>
    <row r="728" spans="1:11" s="795" customFormat="1" ht="22.25" customHeight="1">
      <c r="A728" s="788">
        <v>31</v>
      </c>
      <c r="B728" s="812" t="s">
        <v>830</v>
      </c>
      <c r="C728" s="790">
        <f>ROUND(D728,2)</f>
        <v>651.47</v>
      </c>
      <c r="D728" s="439">
        <f>Detail!K1279</f>
        <v>651.47120000000007</v>
      </c>
      <c r="E728" s="791" t="s">
        <v>45</v>
      </c>
      <c r="F728" s="301"/>
      <c r="G728" s="313"/>
      <c r="H728" s="808">
        <f>H739</f>
        <v>1506507.7</v>
      </c>
      <c r="I728" s="793"/>
      <c r="J728" s="793"/>
      <c r="K728" s="794">
        <f>D728*2300</f>
        <v>1498383.7600000002</v>
      </c>
    </row>
    <row r="729" spans="1:11" s="795" customFormat="1" ht="22.25" customHeight="1">
      <c r="A729" s="313"/>
      <c r="B729" s="675" t="s">
        <v>65</v>
      </c>
      <c r="C729" s="445"/>
      <c r="D729" s="430"/>
      <c r="E729" s="313"/>
      <c r="F729" s="301"/>
      <c r="G729" s="313"/>
      <c r="H729" s="792"/>
      <c r="I729" s="793"/>
      <c r="J729" s="793"/>
      <c r="K729" s="794"/>
    </row>
    <row r="730" spans="1:11" s="795" customFormat="1" ht="22.25" customHeight="1">
      <c r="A730" s="313"/>
      <c r="B730" s="676" t="s">
        <v>496</v>
      </c>
      <c r="C730" s="445">
        <f>ROUND(D730,2)</f>
        <v>23.45</v>
      </c>
      <c r="D730" s="430">
        <f>D728*3*1.2/100</f>
        <v>23.452963200000003</v>
      </c>
      <c r="E730" s="445" t="s">
        <v>572</v>
      </c>
      <c r="F730" s="325">
        <f>VLOOKUP(B730,BQ!$B$6:$E$112,4,FALSE)</f>
        <v>6500</v>
      </c>
      <c r="G730" s="445" t="str">
        <f>E730</f>
        <v>Lit</v>
      </c>
      <c r="H730" s="792">
        <f>F730*C730</f>
        <v>152425</v>
      </c>
      <c r="I730" s="793">
        <f>H730</f>
        <v>152425</v>
      </c>
      <c r="J730" s="793"/>
      <c r="K730" s="794"/>
    </row>
    <row r="731" spans="1:11" s="795" customFormat="1" ht="22.25" customHeight="1">
      <c r="A731" s="313"/>
      <c r="B731" s="676" t="s">
        <v>881</v>
      </c>
      <c r="C731" s="445">
        <f>ROUNDUP(D731,0)</f>
        <v>1</v>
      </c>
      <c r="D731" s="430">
        <f>D728*(1/8)/100</f>
        <v>0.81433900000000004</v>
      </c>
      <c r="E731" s="445" t="s">
        <v>572</v>
      </c>
      <c r="F731" s="325">
        <f>VLOOKUP(B731,BQ!$B$6:$E$112,4,FALSE)</f>
        <v>19500</v>
      </c>
      <c r="G731" s="445" t="str">
        <f>E731</f>
        <v>Lit</v>
      </c>
      <c r="H731" s="792">
        <f>F731*C731</f>
        <v>19500</v>
      </c>
      <c r="I731" s="793">
        <f>H731</f>
        <v>19500</v>
      </c>
      <c r="J731" s="793"/>
      <c r="K731" s="794"/>
    </row>
    <row r="732" spans="1:11" s="795" customFormat="1" ht="22.25" customHeight="1">
      <c r="A732" s="313"/>
      <c r="B732" s="676" t="s">
        <v>882</v>
      </c>
      <c r="C732" s="445">
        <f>ROUND(D732,2)</f>
        <v>16.29</v>
      </c>
      <c r="D732" s="430">
        <f>D728*0.25/10</f>
        <v>16.28678</v>
      </c>
      <c r="E732" s="445" t="s">
        <v>572</v>
      </c>
      <c r="F732" s="325">
        <f>VLOOKUP(B732,BQ!$B$6:$E$112,4,FALSE)</f>
        <v>60900</v>
      </c>
      <c r="G732" s="445" t="str">
        <f>E732</f>
        <v>Lit</v>
      </c>
      <c r="H732" s="792">
        <f>F732*C732</f>
        <v>992061</v>
      </c>
      <c r="I732" s="793">
        <f>H732</f>
        <v>992061</v>
      </c>
      <c r="J732" s="793"/>
      <c r="K732" s="794"/>
    </row>
    <row r="733" spans="1:11" s="795" customFormat="1" ht="22.25" customHeight="1">
      <c r="A733" s="313"/>
      <c r="B733" s="676" t="s">
        <v>510</v>
      </c>
      <c r="C733" s="445">
        <f>ROUND(D733,2)</f>
        <v>13.03</v>
      </c>
      <c r="D733" s="430">
        <f>D728*2/100</f>
        <v>13.029424000000001</v>
      </c>
      <c r="E733" s="445" t="s">
        <v>304</v>
      </c>
      <c r="F733" s="325">
        <f>VLOOKUP(B733,BQ!$B$6:$E$112,4,FALSE)</f>
        <v>3000</v>
      </c>
      <c r="G733" s="445" t="str">
        <f>E733</f>
        <v>Nos.</v>
      </c>
      <c r="H733" s="792">
        <f>F733*C733</f>
        <v>39090</v>
      </c>
      <c r="I733" s="793">
        <f>H733</f>
        <v>39090</v>
      </c>
      <c r="J733" s="793"/>
      <c r="K733" s="794"/>
    </row>
    <row r="734" spans="1:11" s="795" customFormat="1" ht="22.25" customHeight="1">
      <c r="A734" s="313"/>
      <c r="B734" s="676"/>
      <c r="C734" s="445"/>
      <c r="D734" s="430"/>
      <c r="E734" s="791"/>
      <c r="F734" s="301"/>
      <c r="G734" s="791"/>
      <c r="H734" s="792">
        <f>SUM(H730:H733)</f>
        <v>1203076</v>
      </c>
      <c r="I734" s="793"/>
      <c r="J734" s="793"/>
      <c r="K734" s="794"/>
    </row>
    <row r="735" spans="1:11" s="795" customFormat="1" ht="22.25" customHeight="1">
      <c r="A735" s="313"/>
      <c r="B735" s="675" t="s">
        <v>66</v>
      </c>
      <c r="C735" s="445"/>
      <c r="D735" s="430"/>
      <c r="E735" s="313"/>
      <c r="F735" s="301"/>
      <c r="G735" s="313"/>
      <c r="H735" s="792"/>
      <c r="I735" s="793"/>
      <c r="J735" s="793"/>
      <c r="K735" s="794"/>
    </row>
    <row r="736" spans="1:11" s="795" customFormat="1" ht="22.25" customHeight="1">
      <c r="A736" s="313"/>
      <c r="B736" s="676" t="s">
        <v>75</v>
      </c>
      <c r="C736" s="445">
        <f>ROUND(D736,2)</f>
        <v>6.51</v>
      </c>
      <c r="D736" s="430">
        <f>D728*1/100</f>
        <v>6.5147120000000003</v>
      </c>
      <c r="E736" s="313" t="s">
        <v>304</v>
      </c>
      <c r="F736" s="325">
        <f>VLOOKUP(B736,BQ!$B$6:$E$112,4,FALSE)</f>
        <v>30250.000000000004</v>
      </c>
      <c r="G736" s="313" t="str">
        <f>E736</f>
        <v>Nos.</v>
      </c>
      <c r="H736" s="792">
        <f>F736*C736</f>
        <v>196927.50000000003</v>
      </c>
      <c r="I736" s="793"/>
      <c r="J736" s="793">
        <f>H736</f>
        <v>196927.50000000003</v>
      </c>
      <c r="K736" s="794"/>
    </row>
    <row r="737" spans="1:11" s="795" customFormat="1" ht="22.25" customHeight="1">
      <c r="A737" s="313"/>
      <c r="B737" s="676" t="s">
        <v>67</v>
      </c>
      <c r="C737" s="445">
        <f>ROUND(D737,2)</f>
        <v>4.8899999999999997</v>
      </c>
      <c r="D737" s="430">
        <f>D728*0.75/100</f>
        <v>4.8860340000000004</v>
      </c>
      <c r="E737" s="445" t="s">
        <v>304</v>
      </c>
      <c r="F737" s="325">
        <f>VLOOKUP(B737,BQ!$B$6:$E$112,4,FALSE)</f>
        <v>21780</v>
      </c>
      <c r="G737" s="313" t="str">
        <f>E737</f>
        <v>Nos.</v>
      </c>
      <c r="H737" s="792">
        <f>F737*C737</f>
        <v>106504.2</v>
      </c>
      <c r="I737" s="793"/>
      <c r="J737" s="793">
        <f>H737</f>
        <v>106504.2</v>
      </c>
      <c r="K737" s="794"/>
    </row>
    <row r="738" spans="1:11" s="795" customFormat="1" ht="22.25" customHeight="1" thickBot="1">
      <c r="A738" s="313"/>
      <c r="B738" s="676"/>
      <c r="C738" s="445"/>
      <c r="D738" s="430"/>
      <c r="E738" s="313"/>
      <c r="F738" s="301"/>
      <c r="G738" s="313"/>
      <c r="H738" s="792">
        <f>SUM(H736:H737)</f>
        <v>303431.7</v>
      </c>
      <c r="I738" s="793"/>
      <c r="J738" s="793"/>
      <c r="K738" s="794"/>
    </row>
    <row r="739" spans="1:11" s="795" customFormat="1" ht="22.25" customHeight="1" thickBot="1">
      <c r="A739" s="313"/>
      <c r="B739" s="676"/>
      <c r="C739" s="445"/>
      <c r="D739" s="430"/>
      <c r="E739" s="313"/>
      <c r="F739" s="433" t="s">
        <v>266</v>
      </c>
      <c r="G739" s="817" t="s">
        <v>221</v>
      </c>
      <c r="H739" s="798">
        <f>H734+H738</f>
        <v>1506507.7</v>
      </c>
      <c r="I739" s="799"/>
      <c r="J739" s="799"/>
      <c r="K739" s="800"/>
    </row>
    <row r="740" spans="1:11" s="396" customFormat="1" ht="17.75" customHeight="1" thickTop="1">
      <c r="A740" s="313"/>
      <c r="B740" s="676"/>
      <c r="C740" s="445"/>
      <c r="D740" s="430"/>
      <c r="E740" s="313"/>
      <c r="F740" s="449"/>
      <c r="G740" s="810"/>
      <c r="H740" s="811"/>
      <c r="I740" s="799"/>
      <c r="J740" s="799"/>
      <c r="K740" s="809"/>
    </row>
    <row r="741" spans="1:11" s="795" customFormat="1" ht="22.25" customHeight="1">
      <c r="A741" s="788">
        <v>32</v>
      </c>
      <c r="B741" s="812" t="s">
        <v>804</v>
      </c>
      <c r="C741" s="790">
        <f>ROUND(D741,2)</f>
        <v>309.66000000000003</v>
      </c>
      <c r="D741" s="439">
        <f>Detail!K1286</f>
        <v>309.65999999999997</v>
      </c>
      <c r="E741" s="791" t="s">
        <v>45</v>
      </c>
      <c r="F741" s="301"/>
      <c r="G741" s="313"/>
      <c r="H741" s="808">
        <f>H744</f>
        <v>14244360.000000002</v>
      </c>
      <c r="I741" s="793"/>
      <c r="J741" s="793"/>
      <c r="K741" s="794">
        <f>D741*2300</f>
        <v>712217.99999999988</v>
      </c>
    </row>
    <row r="742" spans="1:11" s="795" customFormat="1" ht="22.25" customHeight="1">
      <c r="A742" s="313"/>
      <c r="B742" s="675" t="s">
        <v>884</v>
      </c>
      <c r="C742" s="445"/>
      <c r="D742" s="430"/>
      <c r="E742" s="313"/>
      <c r="F742" s="301"/>
      <c r="G742" s="313"/>
      <c r="H742" s="792"/>
      <c r="I742" s="793"/>
      <c r="J742" s="793"/>
      <c r="K742" s="794"/>
    </row>
    <row r="743" spans="1:11" s="795" customFormat="1" ht="22.25" customHeight="1" thickBot="1">
      <c r="A743" s="313"/>
      <c r="B743" s="676" t="s">
        <v>883</v>
      </c>
      <c r="C743" s="445">
        <f>ROUND(D743,2)</f>
        <v>309.66000000000003</v>
      </c>
      <c r="D743" s="430">
        <f>D741</f>
        <v>309.65999999999997</v>
      </c>
      <c r="E743" s="445" t="s">
        <v>45</v>
      </c>
      <c r="F743" s="325">
        <f>VLOOKUP(B743,BQ!$B$6:$E$112,4,FALSE)</f>
        <v>46000</v>
      </c>
      <c r="G743" s="445" t="str">
        <f>E743</f>
        <v>Sft</v>
      </c>
      <c r="H743" s="792">
        <f>F743*C743</f>
        <v>14244360.000000002</v>
      </c>
      <c r="I743" s="793">
        <f>H743</f>
        <v>14244360.000000002</v>
      </c>
      <c r="J743" s="793"/>
      <c r="K743" s="794"/>
    </row>
    <row r="744" spans="1:11" s="795" customFormat="1" ht="22.25" customHeight="1" thickBot="1">
      <c r="A744" s="313"/>
      <c r="B744" s="676"/>
      <c r="C744" s="445"/>
      <c r="D744" s="430"/>
      <c r="E744" s="313"/>
      <c r="F744" s="433" t="s">
        <v>266</v>
      </c>
      <c r="G744" s="817" t="s">
        <v>221</v>
      </c>
      <c r="H744" s="798">
        <f>H743</f>
        <v>14244360.000000002</v>
      </c>
      <c r="I744" s="799"/>
      <c r="J744" s="799"/>
      <c r="K744" s="800"/>
    </row>
    <row r="745" spans="1:11" s="396" customFormat="1" ht="17.75" customHeight="1" thickTop="1">
      <c r="A745" s="313"/>
      <c r="B745" s="676"/>
      <c r="C745" s="445"/>
      <c r="D745" s="430"/>
      <c r="E745" s="313"/>
      <c r="F745" s="449"/>
      <c r="G745" s="810"/>
      <c r="H745" s="811"/>
      <c r="I745" s="799"/>
      <c r="J745" s="799"/>
      <c r="K745" s="809"/>
    </row>
    <row r="746" spans="1:11" s="795" customFormat="1" ht="22.25" customHeight="1">
      <c r="A746" s="788">
        <v>33</v>
      </c>
      <c r="B746" s="812" t="s">
        <v>808</v>
      </c>
      <c r="C746" s="790">
        <f>ROUND(D746,2)</f>
        <v>12.84</v>
      </c>
      <c r="D746" s="439">
        <f>Detail!K1293+Detail!K1297+Detail!K1304+Detail!K1314+Detail!K1321</f>
        <v>12.84</v>
      </c>
      <c r="E746" s="791" t="s">
        <v>315</v>
      </c>
      <c r="F746" s="301"/>
      <c r="G746" s="313"/>
      <c r="H746" s="808">
        <f>H763</f>
        <v>7932940.4000000004</v>
      </c>
      <c r="I746" s="793"/>
      <c r="J746" s="793"/>
    </row>
    <row r="747" spans="1:11" s="795" customFormat="1" ht="22.25" customHeight="1">
      <c r="A747" s="313"/>
      <c r="B747" s="675" t="s">
        <v>65</v>
      </c>
      <c r="C747" s="445"/>
      <c r="D747" s="430"/>
      <c r="E747" s="313"/>
      <c r="F747" s="301"/>
      <c r="G747" s="313"/>
      <c r="H747" s="792"/>
      <c r="I747" s="793"/>
      <c r="J747" s="793"/>
    </row>
    <row r="748" spans="1:11" s="795" customFormat="1" ht="22.25" customHeight="1">
      <c r="A748" s="313"/>
      <c r="B748" s="676" t="s">
        <v>806</v>
      </c>
      <c r="C748" s="445">
        <f t="shared" ref="C748:C757" si="18">ROUNDUP(D748,0)</f>
        <v>138</v>
      </c>
      <c r="D748" s="430">
        <f>Detail!K1292*1.15/1</f>
        <v>137.42499999999998</v>
      </c>
      <c r="E748" s="445" t="s">
        <v>30</v>
      </c>
      <c r="F748" s="325">
        <f>VLOOKUP(B748,BQ!$B$6:$E$112,4,FALSE)</f>
        <v>2700</v>
      </c>
      <c r="G748" s="445" t="str">
        <f t="shared" ref="G748:G757" si="19">E748</f>
        <v>Sht</v>
      </c>
      <c r="H748" s="792">
        <f t="shared" ref="H748:H757" si="20">F748*C748</f>
        <v>372600</v>
      </c>
      <c r="I748" s="793">
        <f t="shared" ref="I748:I757" si="21">H748</f>
        <v>372600</v>
      </c>
      <c r="J748" s="793"/>
    </row>
    <row r="749" spans="1:11" s="795" customFormat="1" ht="22.25" customHeight="1">
      <c r="A749" s="313"/>
      <c r="B749" s="676" t="s">
        <v>807</v>
      </c>
      <c r="C749" s="445">
        <f t="shared" si="18"/>
        <v>37</v>
      </c>
      <c r="D749" s="430">
        <f>Detail!K1296*1.15/4</f>
        <v>36.65625</v>
      </c>
      <c r="E749" s="445" t="s">
        <v>30</v>
      </c>
      <c r="F749" s="325">
        <f>VLOOKUP(B749,BQ!$B$6:$E$112,4,FALSE)</f>
        <v>14600</v>
      </c>
      <c r="G749" s="445" t="str">
        <f t="shared" si="19"/>
        <v>Sht</v>
      </c>
      <c r="H749" s="792">
        <f t="shared" si="20"/>
        <v>540200</v>
      </c>
      <c r="I749" s="793">
        <f t="shared" si="21"/>
        <v>540200</v>
      </c>
      <c r="J749" s="793"/>
    </row>
    <row r="750" spans="1:11" s="795" customFormat="1" ht="22.25" customHeight="1">
      <c r="A750" s="313"/>
      <c r="B750" s="676" t="s">
        <v>809</v>
      </c>
      <c r="C750" s="445">
        <f t="shared" si="18"/>
        <v>554</v>
      </c>
      <c r="D750" s="430">
        <f>Detail!K1303*1.15/2</f>
        <v>553.15</v>
      </c>
      <c r="E750" s="445" t="s">
        <v>30</v>
      </c>
      <c r="F750" s="325">
        <f>VLOOKUP(B750,BQ!$B$6:$E$112,4,FALSE)</f>
        <v>4600</v>
      </c>
      <c r="G750" s="445" t="str">
        <f t="shared" si="19"/>
        <v>Sht</v>
      </c>
      <c r="H750" s="792">
        <f t="shared" si="20"/>
        <v>2548400</v>
      </c>
      <c r="I750" s="793">
        <f t="shared" si="21"/>
        <v>2548400</v>
      </c>
      <c r="J750" s="793"/>
    </row>
    <row r="751" spans="1:11" s="795" customFormat="1" ht="22.25" customHeight="1">
      <c r="A751" s="313"/>
      <c r="B751" s="676" t="s">
        <v>812</v>
      </c>
      <c r="C751" s="445">
        <f t="shared" si="18"/>
        <v>18</v>
      </c>
      <c r="D751" s="430">
        <f>Detail!K1308*1.15/2</f>
        <v>17.25</v>
      </c>
      <c r="E751" s="445" t="s">
        <v>30</v>
      </c>
      <c r="F751" s="325">
        <f>VLOOKUP(B751,BQ!$B$6:$E$112,4,FALSE)</f>
        <v>4900</v>
      </c>
      <c r="G751" s="445" t="str">
        <f t="shared" si="19"/>
        <v>Sht</v>
      </c>
      <c r="H751" s="792">
        <f t="shared" si="20"/>
        <v>88200</v>
      </c>
      <c r="I751" s="793">
        <f t="shared" si="21"/>
        <v>88200</v>
      </c>
      <c r="J751" s="793"/>
    </row>
    <row r="752" spans="1:11" s="795" customFormat="1" ht="22.25" customHeight="1">
      <c r="A752" s="313"/>
      <c r="B752" s="676" t="s">
        <v>810</v>
      </c>
      <c r="C752" s="445">
        <f t="shared" si="18"/>
        <v>5</v>
      </c>
      <c r="D752" s="430">
        <f>Detail!K1313*1.15/8</f>
        <v>4.3125</v>
      </c>
      <c r="E752" s="445" t="s">
        <v>30</v>
      </c>
      <c r="F752" s="325">
        <f>VLOOKUP(B752,BQ!$B$6:$E$112,4,FALSE)</f>
        <v>280000</v>
      </c>
      <c r="G752" s="445" t="str">
        <f t="shared" si="19"/>
        <v>Sht</v>
      </c>
      <c r="H752" s="792">
        <f t="shared" si="20"/>
        <v>1400000</v>
      </c>
      <c r="I752" s="793">
        <f t="shared" si="21"/>
        <v>1400000</v>
      </c>
      <c r="J752" s="793"/>
    </row>
    <row r="753" spans="1:13" s="795" customFormat="1" ht="22.25" customHeight="1">
      <c r="A753" s="313"/>
      <c r="B753" s="676" t="s">
        <v>888</v>
      </c>
      <c r="C753" s="445">
        <f t="shared" si="18"/>
        <v>18</v>
      </c>
      <c r="D753" s="430">
        <f>Detail!K1317</f>
        <v>18</v>
      </c>
      <c r="E753" s="445" t="s">
        <v>877</v>
      </c>
      <c r="F753" s="325">
        <f>VLOOKUP(B753,BQ!$B$6:$E$112,4,FALSE)</f>
        <v>24500</v>
      </c>
      <c r="G753" s="445" t="str">
        <f t="shared" si="19"/>
        <v>Set</v>
      </c>
      <c r="H753" s="792">
        <f t="shared" si="20"/>
        <v>441000</v>
      </c>
      <c r="I753" s="793">
        <f t="shared" si="21"/>
        <v>441000</v>
      </c>
      <c r="J753" s="793"/>
    </row>
    <row r="754" spans="1:13" s="795" customFormat="1" ht="22.25" customHeight="1">
      <c r="A754" s="313"/>
      <c r="B754" s="676" t="s">
        <v>889</v>
      </c>
      <c r="C754" s="445">
        <f t="shared" si="18"/>
        <v>12</v>
      </c>
      <c r="D754" s="430">
        <f>Detail!K1319</f>
        <v>12</v>
      </c>
      <c r="E754" s="445" t="s">
        <v>877</v>
      </c>
      <c r="F754" s="325">
        <f>VLOOKUP(B754,BQ!$B$6:$E$112,4,FALSE)</f>
        <v>18000</v>
      </c>
      <c r="G754" s="445" t="str">
        <f t="shared" si="19"/>
        <v>Set</v>
      </c>
      <c r="H754" s="792">
        <f t="shared" si="20"/>
        <v>216000</v>
      </c>
      <c r="I754" s="793">
        <f t="shared" si="21"/>
        <v>216000</v>
      </c>
      <c r="J754" s="793"/>
    </row>
    <row r="755" spans="1:13" s="795" customFormat="1" ht="22.25" customHeight="1">
      <c r="A755" s="313"/>
      <c r="B755" s="676" t="s">
        <v>14</v>
      </c>
      <c r="C755" s="445">
        <f t="shared" si="18"/>
        <v>22</v>
      </c>
      <c r="D755" s="430">
        <f>(D746)*(180/110)</f>
        <v>21.010909090909092</v>
      </c>
      <c r="E755" s="445" t="s">
        <v>15</v>
      </c>
      <c r="F755" s="325">
        <f>VLOOKUP(B755,BQ!$B$6:$E$112,4,FALSE)</f>
        <v>18600</v>
      </c>
      <c r="G755" s="445" t="str">
        <f t="shared" si="19"/>
        <v>Bag</v>
      </c>
      <c r="H755" s="792">
        <f t="shared" si="20"/>
        <v>409200</v>
      </c>
      <c r="I755" s="793">
        <f t="shared" si="21"/>
        <v>409200</v>
      </c>
      <c r="J755" s="793"/>
    </row>
    <row r="756" spans="1:13" s="795" customFormat="1" ht="22.25" customHeight="1">
      <c r="A756" s="313"/>
      <c r="B756" s="676" t="s">
        <v>887</v>
      </c>
      <c r="C756" s="445">
        <f t="shared" si="18"/>
        <v>10</v>
      </c>
      <c r="D756" s="430">
        <f>(D746)*0.75</f>
        <v>9.629999999999999</v>
      </c>
      <c r="E756" s="445" t="s">
        <v>15</v>
      </c>
      <c r="F756" s="325">
        <f>VLOOKUP(B756,BQ!$B$6:$E$112,4,FALSE)</f>
        <v>5000</v>
      </c>
      <c r="G756" s="445" t="str">
        <f t="shared" si="19"/>
        <v>Bag</v>
      </c>
      <c r="H756" s="792">
        <f t="shared" si="20"/>
        <v>50000</v>
      </c>
      <c r="I756" s="793">
        <f t="shared" si="21"/>
        <v>50000</v>
      </c>
      <c r="J756" s="793"/>
    </row>
    <row r="757" spans="1:13" s="795" customFormat="1" ht="22.25" customHeight="1">
      <c r="A757" s="313"/>
      <c r="B757" s="676" t="s">
        <v>623</v>
      </c>
      <c r="C757" s="445">
        <f t="shared" si="18"/>
        <v>238</v>
      </c>
      <c r="D757" s="430">
        <f>Detail!K1331</f>
        <v>237.5</v>
      </c>
      <c r="E757" s="445" t="s">
        <v>13</v>
      </c>
      <c r="F757" s="325">
        <f>VLOOKUP(B757,BQ!$B$6:$E$112,4,FALSE)</f>
        <v>600</v>
      </c>
      <c r="G757" s="445" t="str">
        <f t="shared" si="19"/>
        <v>Rft</v>
      </c>
      <c r="H757" s="792">
        <f t="shared" si="20"/>
        <v>142800</v>
      </c>
      <c r="I757" s="793">
        <f t="shared" si="21"/>
        <v>142800</v>
      </c>
      <c r="J757" s="793"/>
    </row>
    <row r="758" spans="1:13" s="795" customFormat="1" ht="24" customHeight="1">
      <c r="A758" s="313"/>
      <c r="B758" s="676"/>
      <c r="C758" s="445"/>
      <c r="D758" s="430"/>
      <c r="E758" s="791"/>
      <c r="F758" s="301"/>
      <c r="G758" s="791"/>
      <c r="H758" s="792">
        <f>SUM(H748:H757)</f>
        <v>6208400</v>
      </c>
      <c r="I758" s="793"/>
      <c r="J758" s="793"/>
    </row>
    <row r="759" spans="1:13" s="795" customFormat="1" ht="22.25" customHeight="1">
      <c r="A759" s="313"/>
      <c r="B759" s="675" t="s">
        <v>66</v>
      </c>
      <c r="C759" s="445"/>
      <c r="D759" s="430"/>
      <c r="E759" s="313"/>
      <c r="F759" s="301"/>
      <c r="G759" s="313"/>
      <c r="H759" s="792"/>
      <c r="I759" s="793"/>
      <c r="J759" s="793"/>
      <c r="L759" s="795">
        <v>80000</v>
      </c>
      <c r="M759" s="795">
        <f>L759*1.02</f>
        <v>81600</v>
      </c>
    </row>
    <row r="760" spans="1:13" s="795" customFormat="1" ht="22.25" customHeight="1">
      <c r="A760" s="313"/>
      <c r="B760" s="676" t="s">
        <v>69</v>
      </c>
      <c r="C760" s="445">
        <f>ROUND(D760,2)</f>
        <v>38.520000000000003</v>
      </c>
      <c r="D760" s="430">
        <f>D746*3</f>
        <v>38.519999999999996</v>
      </c>
      <c r="E760" s="802" t="s">
        <v>304</v>
      </c>
      <c r="F760" s="325">
        <f>VLOOKUP(B760,BQ!$B$6:$E$112,4,FALSE)</f>
        <v>30250.000000000004</v>
      </c>
      <c r="G760" s="802" t="str">
        <f>E760</f>
        <v>Nos.</v>
      </c>
      <c r="H760" s="792">
        <f>F760*C760</f>
        <v>1165230.0000000002</v>
      </c>
      <c r="I760" s="793"/>
      <c r="J760" s="793">
        <f>H760</f>
        <v>1165230.0000000002</v>
      </c>
      <c r="L760" s="795">
        <v>75000</v>
      </c>
      <c r="M760" s="795">
        <f>L760*1.02</f>
        <v>76500</v>
      </c>
    </row>
    <row r="761" spans="1:13" s="795" customFormat="1" ht="22.25" customHeight="1">
      <c r="A761" s="313"/>
      <c r="B761" s="676" t="s">
        <v>67</v>
      </c>
      <c r="C761" s="445">
        <f>ROUND(D761,2)</f>
        <v>25.68</v>
      </c>
      <c r="D761" s="430">
        <f>D746*2</f>
        <v>25.68</v>
      </c>
      <c r="E761" s="802" t="s">
        <v>304</v>
      </c>
      <c r="F761" s="325">
        <f>VLOOKUP(B761,BQ!$B$6:$E$112,4,FALSE)</f>
        <v>21780</v>
      </c>
      <c r="G761" s="802" t="str">
        <f>E761</f>
        <v>Nos.</v>
      </c>
      <c r="H761" s="792">
        <f>F761*C761</f>
        <v>559310.4</v>
      </c>
      <c r="I761" s="793"/>
      <c r="J761" s="793">
        <f>H761</f>
        <v>559310.4</v>
      </c>
      <c r="K761" s="794">
        <f>SUM(J760:J761)</f>
        <v>1724540.4000000004</v>
      </c>
      <c r="L761" s="795">
        <f>K761/D746</f>
        <v>134310.00000000003</v>
      </c>
    </row>
    <row r="762" spans="1:13" s="795" customFormat="1" ht="22.25" customHeight="1" thickBot="1">
      <c r="A762" s="313"/>
      <c r="B762" s="676"/>
      <c r="C762" s="445"/>
      <c r="D762" s="430"/>
      <c r="E762" s="313"/>
      <c r="F762" s="301"/>
      <c r="G762" s="313"/>
      <c r="H762" s="792">
        <f>SUM(H760:H761)</f>
        <v>1724540.4000000004</v>
      </c>
      <c r="I762" s="793"/>
      <c r="J762" s="793"/>
    </row>
    <row r="763" spans="1:13" s="795" customFormat="1" ht="22.25" customHeight="1" thickBot="1">
      <c r="A763" s="313"/>
      <c r="B763" s="676"/>
      <c r="C763" s="445"/>
      <c r="D763" s="430"/>
      <c r="E763" s="313"/>
      <c r="F763" s="433" t="s">
        <v>266</v>
      </c>
      <c r="G763" s="817" t="s">
        <v>221</v>
      </c>
      <c r="H763" s="798">
        <f>H758+H762</f>
        <v>7932940.4000000004</v>
      </c>
      <c r="I763" s="799"/>
      <c r="J763" s="799"/>
    </row>
    <row r="764" spans="1:13" s="396" customFormat="1" ht="17.75" customHeight="1" thickTop="1">
      <c r="A764" s="313"/>
      <c r="B764" s="676"/>
      <c r="C764" s="445"/>
      <c r="D764" s="430"/>
      <c r="E764" s="313"/>
      <c r="F764" s="1048"/>
      <c r="G764" s="1049"/>
      <c r="H764" s="1050"/>
      <c r="I764" s="799"/>
      <c r="J764" s="799"/>
    </row>
    <row r="765" spans="1:13" s="795" customFormat="1" ht="22.25" customHeight="1">
      <c r="A765" s="788">
        <v>34</v>
      </c>
      <c r="B765" s="946" t="s">
        <v>817</v>
      </c>
      <c r="C765" s="790">
        <f>ROUND(D765,2)</f>
        <v>142</v>
      </c>
      <c r="D765" s="439">
        <f>Detail!K1339</f>
        <v>142</v>
      </c>
      <c r="E765" s="791" t="s">
        <v>45</v>
      </c>
      <c r="F765" s="301"/>
      <c r="G765" s="313"/>
      <c r="H765" s="808">
        <f>H775</f>
        <v>1598925.2</v>
      </c>
      <c r="I765" s="793"/>
      <c r="J765" s="793"/>
    </row>
    <row r="766" spans="1:13" s="795" customFormat="1" ht="22.25" customHeight="1">
      <c r="A766" s="313"/>
      <c r="B766" s="675" t="s">
        <v>65</v>
      </c>
      <c r="C766" s="445"/>
      <c r="D766" s="430"/>
      <c r="E766" s="313"/>
      <c r="F766" s="301"/>
      <c r="G766" s="313"/>
      <c r="H766" s="792"/>
      <c r="I766" s="793"/>
      <c r="J766" s="793"/>
    </row>
    <row r="767" spans="1:13" s="795" customFormat="1" ht="22.25" customHeight="1">
      <c r="A767" s="313"/>
      <c r="B767" s="676" t="s">
        <v>890</v>
      </c>
      <c r="C767" s="445">
        <f>ROUNDUP(D767,0)</f>
        <v>4999</v>
      </c>
      <c r="D767" s="430">
        <f>D765*1.1/(0.125*0.25)</f>
        <v>4998.4000000000005</v>
      </c>
      <c r="E767" s="445" t="s">
        <v>304</v>
      </c>
      <c r="F767" s="325">
        <f>VLOOKUP(B767,BQ!$B$6:$E$112,4,FALSE)</f>
        <v>250</v>
      </c>
      <c r="G767" s="445" t="str">
        <f>E767</f>
        <v>Nos.</v>
      </c>
      <c r="H767" s="792">
        <f>F767*C767</f>
        <v>1249750</v>
      </c>
      <c r="I767" s="793">
        <f>H767</f>
        <v>1249750</v>
      </c>
      <c r="J767" s="793"/>
      <c r="K767" s="1057">
        <f>4843-D767</f>
        <v>-155.40000000000055</v>
      </c>
    </row>
    <row r="768" spans="1:13" s="795" customFormat="1" ht="22.25" customHeight="1">
      <c r="A768" s="313"/>
      <c r="B768" s="676" t="s">
        <v>891</v>
      </c>
      <c r="C768" s="445">
        <f>ROUNDUP(D768,0)</f>
        <v>3</v>
      </c>
      <c r="D768" s="430">
        <f>D765*2/100</f>
        <v>2.84</v>
      </c>
      <c r="E768" s="445" t="s">
        <v>893</v>
      </c>
      <c r="F768" s="325">
        <f>VLOOKUP(B768,BQ!$B$6:$E$112,4,FALSE)</f>
        <v>38500</v>
      </c>
      <c r="G768" s="445" t="str">
        <f>E768</f>
        <v>Bot</v>
      </c>
      <c r="H768" s="792">
        <f>F768*C768</f>
        <v>115500</v>
      </c>
      <c r="I768" s="793">
        <f>H768</f>
        <v>115500</v>
      </c>
      <c r="J768" s="793"/>
    </row>
    <row r="769" spans="1:13" s="795" customFormat="1" ht="24" customHeight="1">
      <c r="A769" s="313"/>
      <c r="B769" s="676"/>
      <c r="C769" s="445"/>
      <c r="D769" s="430"/>
      <c r="E769" s="791"/>
      <c r="F769" s="301"/>
      <c r="G769" s="791"/>
      <c r="H769" s="792">
        <f>SUM(H767:H768)</f>
        <v>1365250</v>
      </c>
      <c r="I769" s="793"/>
      <c r="J769" s="793"/>
    </row>
    <row r="770" spans="1:13" s="795" customFormat="1" ht="22.25" customHeight="1">
      <c r="A770" s="313"/>
      <c r="B770" s="675" t="s">
        <v>66</v>
      </c>
      <c r="C770" s="445"/>
      <c r="D770" s="430"/>
      <c r="E770" s="313"/>
      <c r="F770" s="301"/>
      <c r="G770" s="313"/>
      <c r="H770" s="792"/>
      <c r="I770" s="793"/>
      <c r="J770" s="793"/>
      <c r="L770" s="795">
        <v>80000</v>
      </c>
      <c r="M770" s="795">
        <f>L770*1.02</f>
        <v>81600</v>
      </c>
    </row>
    <row r="771" spans="1:13" s="795" customFormat="1" ht="22.25" customHeight="1">
      <c r="A771" s="313"/>
      <c r="B771" s="676" t="s">
        <v>69</v>
      </c>
      <c r="C771" s="445">
        <f>ROUND(D771,2)</f>
        <v>4.26</v>
      </c>
      <c r="D771" s="430">
        <f>D765*3/100</f>
        <v>4.26</v>
      </c>
      <c r="E771" s="802" t="s">
        <v>304</v>
      </c>
      <c r="F771" s="325">
        <f>VLOOKUP(B771,BQ!$B$6:$E$112,4,FALSE)</f>
        <v>30250.000000000004</v>
      </c>
      <c r="G771" s="802" t="str">
        <f>E771</f>
        <v>Nos.</v>
      </c>
      <c r="H771" s="792">
        <f>F771*C771</f>
        <v>128865.00000000001</v>
      </c>
      <c r="I771" s="793"/>
      <c r="J771" s="793">
        <f>H771</f>
        <v>128865.00000000001</v>
      </c>
      <c r="L771" s="795">
        <v>75000</v>
      </c>
      <c r="M771" s="795">
        <f>L771*1.02</f>
        <v>76500</v>
      </c>
    </row>
    <row r="772" spans="1:13" s="795" customFormat="1" ht="22.25" customHeight="1">
      <c r="A772" s="313"/>
      <c r="B772" s="676" t="s">
        <v>75</v>
      </c>
      <c r="C772" s="445">
        <f>ROUND(D772,2)</f>
        <v>1.42</v>
      </c>
      <c r="D772" s="430">
        <f>D765*1/100</f>
        <v>1.42</v>
      </c>
      <c r="E772" s="802" t="s">
        <v>304</v>
      </c>
      <c r="F772" s="325">
        <f>VLOOKUP(B772,BQ!$B$6:$E$112,4,FALSE)</f>
        <v>30250.000000000004</v>
      </c>
      <c r="G772" s="802" t="str">
        <f>E772</f>
        <v>Nos.</v>
      </c>
      <c r="H772" s="792">
        <f>F772*C772</f>
        <v>42955</v>
      </c>
      <c r="I772" s="793"/>
      <c r="J772" s="793">
        <f>H772</f>
        <v>42955</v>
      </c>
      <c r="L772" s="795">
        <v>75000</v>
      </c>
      <c r="M772" s="795">
        <f>L772*1.02</f>
        <v>76500</v>
      </c>
    </row>
    <row r="773" spans="1:13" s="795" customFormat="1" ht="22.25" customHeight="1">
      <c r="A773" s="313"/>
      <c r="B773" s="676" t="s">
        <v>67</v>
      </c>
      <c r="C773" s="445">
        <f>ROUND(D773,2)</f>
        <v>2.84</v>
      </c>
      <c r="D773" s="430">
        <f>D765*2/100</f>
        <v>2.84</v>
      </c>
      <c r="E773" s="802" t="s">
        <v>304</v>
      </c>
      <c r="F773" s="325">
        <f>VLOOKUP(B773,BQ!$B$6:$E$112,4,FALSE)</f>
        <v>21780</v>
      </c>
      <c r="G773" s="802" t="str">
        <f>E773</f>
        <v>Nos.</v>
      </c>
      <c r="H773" s="792">
        <f>F773*C773</f>
        <v>61855.199999999997</v>
      </c>
      <c r="I773" s="793"/>
      <c r="J773" s="793">
        <f>H773</f>
        <v>61855.199999999997</v>
      </c>
      <c r="K773" s="794">
        <f>SUM(J771:J773)</f>
        <v>233675.2</v>
      </c>
      <c r="L773" s="795">
        <f>K773/D765</f>
        <v>1645.6000000000001</v>
      </c>
    </row>
    <row r="774" spans="1:13" s="795" customFormat="1" ht="22.25" customHeight="1" thickBot="1">
      <c r="A774" s="313"/>
      <c r="B774" s="676"/>
      <c r="C774" s="445"/>
      <c r="D774" s="430"/>
      <c r="E774" s="313"/>
      <c r="F774" s="301"/>
      <c r="G774" s="313"/>
      <c r="H774" s="792">
        <f>SUM(H771:H773)</f>
        <v>233675.2</v>
      </c>
      <c r="I774" s="793"/>
      <c r="J774" s="793"/>
    </row>
    <row r="775" spans="1:13" s="795" customFormat="1" ht="22.25" customHeight="1" thickBot="1">
      <c r="A775" s="313"/>
      <c r="B775" s="676"/>
      <c r="C775" s="445"/>
      <c r="D775" s="430"/>
      <c r="E775" s="313"/>
      <c r="F775" s="433" t="s">
        <v>266</v>
      </c>
      <c r="G775" s="817" t="s">
        <v>221</v>
      </c>
      <c r="H775" s="798">
        <f>H769+H774</f>
        <v>1598925.2</v>
      </c>
      <c r="I775" s="799"/>
      <c r="J775" s="799"/>
    </row>
    <row r="776" spans="1:13" s="396" customFormat="1" ht="17.75" customHeight="1" thickTop="1">
      <c r="A776" s="313"/>
      <c r="B776" s="676"/>
      <c r="C776" s="445"/>
      <c r="D776" s="430"/>
      <c r="E776" s="313"/>
      <c r="F776" s="1048"/>
      <c r="G776" s="1049"/>
      <c r="H776" s="1050"/>
      <c r="I776" s="799"/>
      <c r="J776" s="799"/>
    </row>
    <row r="777" spans="1:13" s="795" customFormat="1" ht="22.25" hidden="1" customHeight="1">
      <c r="A777" s="788">
        <v>35</v>
      </c>
      <c r="B777" s="946" t="s">
        <v>816</v>
      </c>
      <c r="C777" s="790">
        <f>ROUND(D777,2)</f>
        <v>0</v>
      </c>
      <c r="D777" s="439"/>
      <c r="E777" s="791" t="s">
        <v>220</v>
      </c>
      <c r="F777" s="301"/>
      <c r="G777" s="313"/>
      <c r="H777" s="808">
        <f>H794</f>
        <v>0</v>
      </c>
      <c r="I777" s="793"/>
      <c r="J777" s="793"/>
    </row>
    <row r="778" spans="1:13" s="795" customFormat="1" ht="22.25" hidden="1" customHeight="1">
      <c r="A778" s="313"/>
      <c r="B778" s="675" t="s">
        <v>65</v>
      </c>
      <c r="C778" s="445"/>
      <c r="D778" s="430"/>
      <c r="E778" s="313"/>
      <c r="F778" s="301"/>
      <c r="G778" s="313"/>
      <c r="H778" s="792"/>
      <c r="I778" s="793"/>
      <c r="J778" s="793"/>
    </row>
    <row r="779" spans="1:13" s="795" customFormat="1" ht="22.25" hidden="1" customHeight="1">
      <c r="A779" s="313"/>
      <c r="B779" s="676" t="s">
        <v>894</v>
      </c>
      <c r="C779" s="445">
        <f>ROUNDUP(D779,0)</f>
        <v>0</v>
      </c>
      <c r="D779" s="430">
        <f>D777*560</f>
        <v>0</v>
      </c>
      <c r="E779" s="445" t="s">
        <v>304</v>
      </c>
      <c r="F779" s="325"/>
      <c r="G779" s="445" t="str">
        <f>E779</f>
        <v>Nos.</v>
      </c>
      <c r="H779" s="792">
        <f>F779*C779</f>
        <v>0</v>
      </c>
      <c r="I779" s="793">
        <f>H779</f>
        <v>0</v>
      </c>
      <c r="J779" s="793"/>
      <c r="K779" s="1057">
        <f>6646-D779</f>
        <v>6646</v>
      </c>
    </row>
    <row r="780" spans="1:13" s="795" customFormat="1" ht="22.25" hidden="1" customHeight="1">
      <c r="A780" s="313"/>
      <c r="B780" s="676" t="s">
        <v>895</v>
      </c>
      <c r="C780" s="445">
        <f>ROUNDUP(D780,0)</f>
        <v>454</v>
      </c>
      <c r="D780" s="430">
        <f>Detail!K1355</f>
        <v>453.36</v>
      </c>
      <c r="E780" s="445" t="s">
        <v>13</v>
      </c>
      <c r="F780" s="325"/>
      <c r="G780" s="445" t="str">
        <f>E780</f>
        <v>Rft</v>
      </c>
      <c r="H780" s="792">
        <f>F780*C780</f>
        <v>0</v>
      </c>
      <c r="I780" s="793">
        <f>H780</f>
        <v>0</v>
      </c>
      <c r="J780" s="793"/>
    </row>
    <row r="781" spans="1:13" s="795" customFormat="1" ht="22.25" hidden="1" customHeight="1">
      <c r="A781" s="313"/>
      <c r="B781" s="676" t="s">
        <v>897</v>
      </c>
      <c r="C781" s="445">
        <f>ROUNDUP(D781,2)</f>
        <v>0</v>
      </c>
      <c r="D781" s="430">
        <f>D777*0.5/10</f>
        <v>0</v>
      </c>
      <c r="E781" s="445" t="s">
        <v>572</v>
      </c>
      <c r="F781" s="325"/>
      <c r="G781" s="445" t="str">
        <f t="shared" ref="G781:G789" si="22">E781</f>
        <v>Lit</v>
      </c>
      <c r="H781" s="792">
        <f t="shared" ref="H781:H789" si="23">F781*C781</f>
        <v>0</v>
      </c>
      <c r="I781" s="793">
        <f t="shared" ref="I781:I789" si="24">H781</f>
        <v>0</v>
      </c>
      <c r="J781" s="793"/>
      <c r="K781" s="1058" t="s">
        <v>906</v>
      </c>
      <c r="L781" s="1058" t="s">
        <v>907</v>
      </c>
      <c r="M781" s="1058">
        <v>8</v>
      </c>
    </row>
    <row r="782" spans="1:13" s="795" customFormat="1" ht="22.25" hidden="1" customHeight="1">
      <c r="A782" s="313"/>
      <c r="B782" s="676" t="s">
        <v>898</v>
      </c>
      <c r="C782" s="445">
        <f>ROUNDUP(D782,1)</f>
        <v>0</v>
      </c>
      <c r="D782" s="430">
        <f>D777*1.1</f>
        <v>0</v>
      </c>
      <c r="E782" s="445" t="s">
        <v>929</v>
      </c>
      <c r="F782" s="325"/>
      <c r="G782" s="445" t="str">
        <f t="shared" si="22"/>
        <v>LIt</v>
      </c>
      <c r="H782" s="792">
        <f t="shared" si="23"/>
        <v>0</v>
      </c>
      <c r="I782" s="793">
        <f t="shared" si="24"/>
        <v>0</v>
      </c>
      <c r="J782" s="793"/>
      <c r="K782" s="1058" t="s">
        <v>908</v>
      </c>
      <c r="L782" s="1058" t="s">
        <v>907</v>
      </c>
      <c r="M782" s="1059">
        <f>1/3</f>
        <v>0.33333333333333331</v>
      </c>
    </row>
    <row r="783" spans="1:13" s="795" customFormat="1" ht="22.25" hidden="1" customHeight="1">
      <c r="A783" s="313"/>
      <c r="B783" s="676" t="s">
        <v>899</v>
      </c>
      <c r="C783" s="445">
        <f t="shared" ref="C783:C789" si="25">ROUNDUP(D783,0)</f>
        <v>0</v>
      </c>
      <c r="D783" s="430">
        <f>D777*0.5</f>
        <v>0</v>
      </c>
      <c r="E783" s="445" t="s">
        <v>657</v>
      </c>
      <c r="F783" s="325"/>
      <c r="G783" s="445" t="str">
        <f t="shared" si="22"/>
        <v>Box</v>
      </c>
      <c r="H783" s="792">
        <f t="shared" si="23"/>
        <v>0</v>
      </c>
      <c r="I783" s="793">
        <f t="shared" si="24"/>
        <v>0</v>
      </c>
      <c r="J783" s="793"/>
      <c r="K783" s="1058" t="s">
        <v>909</v>
      </c>
      <c r="L783" s="1058" t="s">
        <v>572</v>
      </c>
      <c r="M783" s="1058">
        <v>0.5</v>
      </c>
    </row>
    <row r="784" spans="1:13" s="795" customFormat="1" ht="22.25" hidden="1" customHeight="1">
      <c r="A784" s="313"/>
      <c r="B784" s="676" t="s">
        <v>900</v>
      </c>
      <c r="C784" s="445">
        <f>ROUNDUP(D784,2)</f>
        <v>0</v>
      </c>
      <c r="D784" s="430">
        <f>D777*3/10</f>
        <v>0</v>
      </c>
      <c r="E784" s="445" t="s">
        <v>657</v>
      </c>
      <c r="F784" s="325"/>
      <c r="G784" s="445" t="str">
        <f t="shared" si="22"/>
        <v>Box</v>
      </c>
      <c r="H784" s="792">
        <f t="shared" si="23"/>
        <v>0</v>
      </c>
      <c r="I784" s="793">
        <f t="shared" si="24"/>
        <v>0</v>
      </c>
      <c r="J784" s="793"/>
      <c r="K784" s="1058" t="s">
        <v>910</v>
      </c>
      <c r="L784" s="1058" t="s">
        <v>657</v>
      </c>
      <c r="M784" s="1058">
        <v>0.7</v>
      </c>
    </row>
    <row r="785" spans="1:13" s="795" customFormat="1" ht="22.25" hidden="1" customHeight="1">
      <c r="A785" s="313"/>
      <c r="B785" s="676" t="s">
        <v>901</v>
      </c>
      <c r="C785" s="445">
        <f>ROUNDUP(D785,2)</f>
        <v>0</v>
      </c>
      <c r="D785" s="430">
        <f>D777*3.5/10</f>
        <v>0</v>
      </c>
      <c r="E785" s="445" t="s">
        <v>657</v>
      </c>
      <c r="F785" s="325"/>
      <c r="G785" s="445" t="str">
        <f t="shared" si="22"/>
        <v>Box</v>
      </c>
      <c r="H785" s="792">
        <f t="shared" si="23"/>
        <v>0</v>
      </c>
      <c r="I785" s="793">
        <f t="shared" si="24"/>
        <v>0</v>
      </c>
      <c r="J785" s="793"/>
      <c r="K785" s="1058" t="s">
        <v>911</v>
      </c>
      <c r="L785" s="1058" t="s">
        <v>572</v>
      </c>
      <c r="M785" s="1058">
        <f>15-1.8</f>
        <v>13.2</v>
      </c>
    </row>
    <row r="786" spans="1:13" s="795" customFormat="1" ht="22.25" hidden="1" customHeight="1">
      <c r="A786" s="313"/>
      <c r="B786" s="676" t="s">
        <v>902</v>
      </c>
      <c r="C786" s="445">
        <f t="shared" si="25"/>
        <v>0</v>
      </c>
      <c r="D786" s="430">
        <f>D777*0.7</f>
        <v>0</v>
      </c>
      <c r="E786" s="445" t="s">
        <v>928</v>
      </c>
      <c r="F786" s="325"/>
      <c r="G786" s="445" t="str">
        <f t="shared" si="22"/>
        <v>Buck</v>
      </c>
      <c r="H786" s="792">
        <f t="shared" si="23"/>
        <v>0</v>
      </c>
      <c r="I786" s="793">
        <f t="shared" si="24"/>
        <v>0</v>
      </c>
      <c r="J786" s="793"/>
      <c r="K786" s="1058" t="s">
        <v>912</v>
      </c>
      <c r="L786" s="1058" t="s">
        <v>657</v>
      </c>
      <c r="M786" s="1058">
        <v>3.5</v>
      </c>
    </row>
    <row r="787" spans="1:13" s="795" customFormat="1" ht="22.25" hidden="1" customHeight="1">
      <c r="A787" s="313"/>
      <c r="B787" s="676" t="s">
        <v>903</v>
      </c>
      <c r="C787" s="445">
        <f>ROUNDUP(D787,2)</f>
        <v>0</v>
      </c>
      <c r="D787" s="430">
        <f>D777*3.5/10</f>
        <v>0</v>
      </c>
      <c r="E787" s="445" t="s">
        <v>657</v>
      </c>
      <c r="F787" s="325"/>
      <c r="G787" s="445" t="str">
        <f t="shared" si="22"/>
        <v>Box</v>
      </c>
      <c r="H787" s="792">
        <f t="shared" si="23"/>
        <v>0</v>
      </c>
      <c r="I787" s="793">
        <f t="shared" si="24"/>
        <v>0</v>
      </c>
      <c r="J787" s="793"/>
      <c r="K787" s="1058" t="s">
        <v>913</v>
      </c>
      <c r="L787" s="1058" t="s">
        <v>657</v>
      </c>
      <c r="M787" s="1058">
        <v>5</v>
      </c>
    </row>
    <row r="788" spans="1:13" s="795" customFormat="1" ht="22.25" hidden="1" customHeight="1">
      <c r="A788" s="313"/>
      <c r="B788" s="676" t="s">
        <v>904</v>
      </c>
      <c r="C788" s="445">
        <f t="shared" si="25"/>
        <v>0</v>
      </c>
      <c r="D788" s="430">
        <f>D777*3</f>
        <v>0</v>
      </c>
      <c r="E788" s="445" t="s">
        <v>30</v>
      </c>
      <c r="F788" s="325"/>
      <c r="G788" s="445" t="str">
        <f t="shared" si="22"/>
        <v>Sht</v>
      </c>
      <c r="H788" s="792">
        <f t="shared" si="23"/>
        <v>0</v>
      </c>
      <c r="I788" s="793">
        <f t="shared" si="24"/>
        <v>0</v>
      </c>
      <c r="J788" s="793"/>
      <c r="K788" s="1058" t="s">
        <v>914</v>
      </c>
      <c r="L788" s="1058" t="s">
        <v>657</v>
      </c>
      <c r="M788" s="1058">
        <v>0.5</v>
      </c>
    </row>
    <row r="789" spans="1:13" s="795" customFormat="1" ht="22.25" hidden="1" customHeight="1">
      <c r="A789" s="313"/>
      <c r="B789" s="676" t="s">
        <v>905</v>
      </c>
      <c r="C789" s="445">
        <f t="shared" si="25"/>
        <v>0</v>
      </c>
      <c r="D789" s="430">
        <f>D777*1*1.1</f>
        <v>0</v>
      </c>
      <c r="E789" s="445" t="s">
        <v>304</v>
      </c>
      <c r="F789" s="325"/>
      <c r="G789" s="445" t="str">
        <f t="shared" si="22"/>
        <v>Nos.</v>
      </c>
      <c r="H789" s="792">
        <f t="shared" si="23"/>
        <v>0</v>
      </c>
      <c r="I789" s="793">
        <f t="shared" si="24"/>
        <v>0</v>
      </c>
      <c r="J789" s="793"/>
      <c r="K789" s="1058" t="s">
        <v>915</v>
      </c>
      <c r="L789" s="1058" t="s">
        <v>657</v>
      </c>
      <c r="M789" s="1058">
        <v>4</v>
      </c>
    </row>
    <row r="790" spans="1:13" s="795" customFormat="1" ht="24" hidden="1" customHeight="1">
      <c r="A790" s="313"/>
      <c r="B790" s="676"/>
      <c r="C790" s="445"/>
      <c r="D790" s="430"/>
      <c r="E790" s="791"/>
      <c r="F790" s="301"/>
      <c r="G790" s="791"/>
      <c r="H790" s="792">
        <f>SUM(H779:H789)</f>
        <v>0</v>
      </c>
      <c r="I790" s="793"/>
      <c r="J790" s="793"/>
      <c r="K790" s="1058" t="s">
        <v>916</v>
      </c>
      <c r="L790" s="1058" t="s">
        <v>657</v>
      </c>
      <c r="M790" s="1058">
        <v>4</v>
      </c>
    </row>
    <row r="791" spans="1:13" s="795" customFormat="1" ht="22.25" hidden="1" customHeight="1">
      <c r="A791" s="313"/>
      <c r="B791" s="675" t="s">
        <v>66</v>
      </c>
      <c r="C791" s="445"/>
      <c r="D791" s="430"/>
      <c r="E791" s="313"/>
      <c r="F791" s="301"/>
      <c r="G791" s="313"/>
      <c r="H791" s="792"/>
      <c r="I791" s="793"/>
      <c r="J791" s="793"/>
      <c r="K791" s="1058" t="s">
        <v>917</v>
      </c>
      <c r="L791" s="1058" t="s">
        <v>918</v>
      </c>
      <c r="M791" s="1058">
        <v>15</v>
      </c>
    </row>
    <row r="792" spans="1:13" s="795" customFormat="1" ht="22.25" hidden="1" customHeight="1">
      <c r="A792" s="313"/>
      <c r="B792" s="676" t="s">
        <v>896</v>
      </c>
      <c r="C792" s="445">
        <f>ROUND(D792,2)</f>
        <v>0</v>
      </c>
      <c r="D792" s="430">
        <f>D777</f>
        <v>0</v>
      </c>
      <c r="E792" s="802" t="s">
        <v>11</v>
      </c>
      <c r="F792" s="325"/>
      <c r="G792" s="802" t="str">
        <f>E792</f>
        <v>Sud</v>
      </c>
      <c r="H792" s="792">
        <f>F792*C792</f>
        <v>0</v>
      </c>
      <c r="I792" s="793"/>
      <c r="J792" s="793">
        <f>H792</f>
        <v>0</v>
      </c>
      <c r="K792" s="1058" t="s">
        <v>919</v>
      </c>
      <c r="L792" s="1058" t="s">
        <v>183</v>
      </c>
      <c r="M792" s="1058">
        <v>14</v>
      </c>
    </row>
    <row r="793" spans="1:13" s="795" customFormat="1" ht="22.25" hidden="1" customHeight="1" thickBot="1">
      <c r="A793" s="313"/>
      <c r="B793" s="676"/>
      <c r="C793" s="445"/>
      <c r="D793" s="430"/>
      <c r="E793" s="313"/>
      <c r="F793" s="301"/>
      <c r="G793" s="313"/>
      <c r="H793" s="792">
        <f>SUM(H792:H792)</f>
        <v>0</v>
      </c>
      <c r="I793" s="793"/>
      <c r="J793" s="793"/>
      <c r="K793" s="1058" t="s">
        <v>920</v>
      </c>
      <c r="L793" s="1058" t="s">
        <v>30</v>
      </c>
      <c r="M793" s="1058">
        <f>72-39</f>
        <v>33</v>
      </c>
    </row>
    <row r="794" spans="1:13" s="795" customFormat="1" ht="22.25" hidden="1" customHeight="1" thickBot="1">
      <c r="A794" s="313"/>
      <c r="B794" s="676"/>
      <c r="C794" s="445"/>
      <c r="D794" s="430"/>
      <c r="E794" s="313"/>
      <c r="F794" s="433" t="s">
        <v>266</v>
      </c>
      <c r="G794" s="817" t="s">
        <v>221</v>
      </c>
      <c r="H794" s="798">
        <f>H790+H793</f>
        <v>0</v>
      </c>
      <c r="I794" s="799"/>
      <c r="J794" s="799"/>
      <c r="K794" s="1058" t="s">
        <v>921</v>
      </c>
      <c r="L794" s="1058" t="s">
        <v>657</v>
      </c>
      <c r="M794" s="1058">
        <v>1</v>
      </c>
    </row>
    <row r="795" spans="1:13" s="396" customFormat="1" ht="17.75" hidden="1" customHeight="1" thickTop="1">
      <c r="A795" s="313"/>
      <c r="B795" s="676"/>
      <c r="C795" s="445"/>
      <c r="D795" s="430"/>
      <c r="E795" s="313"/>
      <c r="F795" s="1048"/>
      <c r="G795" s="1049"/>
      <c r="H795" s="1050"/>
      <c r="I795" s="799"/>
      <c r="J795" s="799"/>
      <c r="K795" s="1058" t="s">
        <v>922</v>
      </c>
      <c r="L795" s="1058" t="s">
        <v>923</v>
      </c>
      <c r="M795" s="1058">
        <v>351</v>
      </c>
    </row>
    <row r="796" spans="1:13" s="795" customFormat="1" ht="22.25" customHeight="1">
      <c r="A796" s="788">
        <v>35</v>
      </c>
      <c r="B796" s="946" t="s">
        <v>948</v>
      </c>
      <c r="C796" s="790">
        <f>ROUND(D796,2)</f>
        <v>12.24</v>
      </c>
      <c r="D796" s="439">
        <f>Detail!K1349</f>
        <v>12.24</v>
      </c>
      <c r="E796" s="791" t="s">
        <v>220</v>
      </c>
      <c r="F796" s="301"/>
      <c r="G796" s="313"/>
      <c r="H796" s="808">
        <f>H803</f>
        <v>9547200</v>
      </c>
      <c r="I796" s="793"/>
      <c r="J796" s="793"/>
    </row>
    <row r="797" spans="1:13" s="795" customFormat="1" ht="22.25" customHeight="1">
      <c r="A797" s="313"/>
      <c r="B797" s="675" t="s">
        <v>65</v>
      </c>
      <c r="C797" s="445"/>
      <c r="D797" s="430"/>
      <c r="E797" s="313"/>
      <c r="F797" s="301"/>
      <c r="G797" s="313"/>
      <c r="H797" s="792"/>
      <c r="I797" s="793"/>
      <c r="J797" s="793"/>
    </row>
    <row r="798" spans="1:13" s="795" customFormat="1" ht="22.25" customHeight="1">
      <c r="A798" s="313"/>
      <c r="B798" s="676" t="s">
        <v>947</v>
      </c>
      <c r="C798" s="445">
        <f>ROUNDUP(D798,2)</f>
        <v>12.24</v>
      </c>
      <c r="D798" s="430">
        <f>D796</f>
        <v>12.24</v>
      </c>
      <c r="E798" s="445" t="str">
        <f>E796</f>
        <v>%Fs</v>
      </c>
      <c r="F798" s="325">
        <f>VLOOKUP(B798,BQ!$B$6:$E$119,4,FALSE)</f>
        <v>630000</v>
      </c>
      <c r="G798" s="445" t="str">
        <f>E798</f>
        <v>%Fs</v>
      </c>
      <c r="H798" s="792">
        <f>F798*C798</f>
        <v>7711200</v>
      </c>
      <c r="I798" s="793">
        <f>H798</f>
        <v>7711200</v>
      </c>
      <c r="J798" s="793"/>
      <c r="K798" s="1057">
        <f>6646-D798</f>
        <v>6633.76</v>
      </c>
    </row>
    <row r="799" spans="1:13" s="795" customFormat="1" ht="24" customHeight="1">
      <c r="A799" s="313"/>
      <c r="B799" s="676"/>
      <c r="C799" s="445"/>
      <c r="D799" s="430"/>
      <c r="E799" s="791"/>
      <c r="F799" s="301"/>
      <c r="G799" s="791"/>
      <c r="H799" s="792">
        <f>SUM(H798:H798)</f>
        <v>7711200</v>
      </c>
      <c r="I799" s="793"/>
      <c r="J799" s="793"/>
      <c r="K799" s="1058" t="s">
        <v>916</v>
      </c>
      <c r="L799" s="1058" t="s">
        <v>657</v>
      </c>
      <c r="M799" s="1058">
        <v>4</v>
      </c>
    </row>
    <row r="800" spans="1:13" s="795" customFormat="1" ht="22.25" customHeight="1">
      <c r="A800" s="313"/>
      <c r="B800" s="675" t="s">
        <v>66</v>
      </c>
      <c r="C800" s="445"/>
      <c r="D800" s="430"/>
      <c r="E800" s="313"/>
      <c r="F800" s="301"/>
      <c r="G800" s="313"/>
      <c r="H800" s="792"/>
      <c r="I800" s="793"/>
      <c r="J800" s="793"/>
      <c r="K800" s="1058" t="s">
        <v>917</v>
      </c>
      <c r="L800" s="1058" t="s">
        <v>918</v>
      </c>
      <c r="M800" s="1058">
        <v>15</v>
      </c>
    </row>
    <row r="801" spans="1:13" s="795" customFormat="1" ht="22.25" customHeight="1">
      <c r="A801" s="313"/>
      <c r="B801" s="676" t="s">
        <v>949</v>
      </c>
      <c r="C801" s="445">
        <f>ROUND(D801,2)</f>
        <v>12.24</v>
      </c>
      <c r="D801" s="430">
        <f>D796</f>
        <v>12.24</v>
      </c>
      <c r="E801" s="802" t="s">
        <v>11</v>
      </c>
      <c r="F801" s="325">
        <f>VLOOKUP(B801,BQ!$B$6:$E$119,4,FALSE)</f>
        <v>150000</v>
      </c>
      <c r="G801" s="802" t="str">
        <f>E801</f>
        <v>Sud</v>
      </c>
      <c r="H801" s="792">
        <f>F801*C801</f>
        <v>1836000</v>
      </c>
      <c r="I801" s="793"/>
      <c r="J801" s="793">
        <f>H801</f>
        <v>1836000</v>
      </c>
      <c r="K801" s="1058" t="s">
        <v>919</v>
      </c>
      <c r="L801" s="1058" t="s">
        <v>183</v>
      </c>
      <c r="M801" s="1058">
        <v>14</v>
      </c>
    </row>
    <row r="802" spans="1:13" s="795" customFormat="1" ht="22.25" customHeight="1" thickBot="1">
      <c r="A802" s="313"/>
      <c r="B802" s="676"/>
      <c r="C802" s="445"/>
      <c r="D802" s="430"/>
      <c r="E802" s="313"/>
      <c r="F802" s="301"/>
      <c r="G802" s="313"/>
      <c r="H802" s="792">
        <f>SUM(H801:H801)</f>
        <v>1836000</v>
      </c>
      <c r="I802" s="793"/>
      <c r="J802" s="793"/>
      <c r="K802" s="1058" t="s">
        <v>920</v>
      </c>
      <c r="L802" s="1058" t="s">
        <v>30</v>
      </c>
      <c r="M802" s="1058">
        <f>72-39</f>
        <v>33</v>
      </c>
    </row>
    <row r="803" spans="1:13" s="795" customFormat="1" ht="22.25" customHeight="1" thickBot="1">
      <c r="A803" s="313"/>
      <c r="B803" s="676"/>
      <c r="C803" s="445"/>
      <c r="D803" s="430"/>
      <c r="E803" s="313"/>
      <c r="F803" s="433" t="s">
        <v>266</v>
      </c>
      <c r="G803" s="817" t="s">
        <v>221</v>
      </c>
      <c r="H803" s="798">
        <f>H799+H802</f>
        <v>9547200</v>
      </c>
      <c r="I803" s="799"/>
      <c r="J803" s="799"/>
      <c r="K803" s="1058" t="s">
        <v>921</v>
      </c>
      <c r="L803" s="1058" t="s">
        <v>657</v>
      </c>
      <c r="M803" s="1058">
        <v>1</v>
      </c>
    </row>
    <row r="804" spans="1:13" s="396" customFormat="1" ht="17.75" customHeight="1" thickTop="1">
      <c r="A804" s="313"/>
      <c r="B804" s="676"/>
      <c r="C804" s="445"/>
      <c r="D804" s="430"/>
      <c r="E804" s="313"/>
      <c r="F804" s="1048"/>
      <c r="G804" s="1049"/>
      <c r="H804" s="1050"/>
      <c r="I804" s="799"/>
      <c r="J804" s="799"/>
      <c r="K804" s="1058" t="s">
        <v>922</v>
      </c>
      <c r="L804" s="1058" t="s">
        <v>923</v>
      </c>
      <c r="M804" s="1058">
        <v>351</v>
      </c>
    </row>
    <row r="805" spans="1:13" s="795" customFormat="1" ht="22.25" customHeight="1">
      <c r="A805" s="788">
        <v>36</v>
      </c>
      <c r="B805" s="812" t="s">
        <v>831</v>
      </c>
      <c r="C805" s="790">
        <f>ROUND(D805,2)</f>
        <v>45.68</v>
      </c>
      <c r="D805" s="439">
        <f>Detail!K1359</f>
        <v>45.68</v>
      </c>
      <c r="E805" s="791" t="s">
        <v>13</v>
      </c>
      <c r="F805" s="301"/>
      <c r="G805" s="313"/>
      <c r="H805" s="808">
        <f>H808</f>
        <v>1918400</v>
      </c>
      <c r="I805" s="793"/>
      <c r="J805" s="793"/>
      <c r="K805" s="794">
        <f>D805*2300</f>
        <v>105064</v>
      </c>
    </row>
    <row r="806" spans="1:13" s="795" customFormat="1" ht="22.25" customHeight="1">
      <c r="A806" s="313"/>
      <c r="B806" s="675" t="s">
        <v>884</v>
      </c>
      <c r="C806" s="445"/>
      <c r="D806" s="430"/>
      <c r="E806" s="313"/>
      <c r="F806" s="301"/>
      <c r="G806" s="313"/>
      <c r="H806" s="792"/>
      <c r="I806" s="793"/>
      <c r="J806" s="793"/>
      <c r="K806" s="794"/>
    </row>
    <row r="807" spans="1:13" s="795" customFormat="1" ht="22.25" customHeight="1" thickBot="1">
      <c r="A807" s="313"/>
      <c r="B807" s="676" t="s">
        <v>933</v>
      </c>
      <c r="C807" s="445">
        <f>ROUND(D807,2)</f>
        <v>47.96</v>
      </c>
      <c r="D807" s="430">
        <f>D805*1.05</f>
        <v>47.963999999999999</v>
      </c>
      <c r="E807" s="445" t="s">
        <v>13</v>
      </c>
      <c r="F807" s="325">
        <f>VLOOKUP(B807,BQ!$B$6:$E$112,4,FALSE)</f>
        <v>40000</v>
      </c>
      <c r="G807" s="445" t="str">
        <f>E807</f>
        <v>Rft</v>
      </c>
      <c r="H807" s="792">
        <f>F807*C807</f>
        <v>1918400</v>
      </c>
      <c r="I807" s="793">
        <f>H807</f>
        <v>1918400</v>
      </c>
      <c r="J807" s="793"/>
      <c r="K807" s="794"/>
    </row>
    <row r="808" spans="1:13" s="795" customFormat="1" ht="22.25" customHeight="1" thickBot="1">
      <c r="A808" s="313"/>
      <c r="B808" s="676"/>
      <c r="C808" s="445"/>
      <c r="D808" s="430"/>
      <c r="E808" s="313"/>
      <c r="F808" s="433" t="s">
        <v>266</v>
      </c>
      <c r="G808" s="817" t="s">
        <v>221</v>
      </c>
      <c r="H808" s="798">
        <f>H807</f>
        <v>1918400</v>
      </c>
      <c r="I808" s="799"/>
      <c r="J808" s="799"/>
      <c r="K808" s="800"/>
    </row>
    <row r="809" spans="1:13" s="396" customFormat="1" ht="17.75" customHeight="1" thickTop="1">
      <c r="A809" s="313"/>
      <c r="B809" s="676"/>
      <c r="C809" s="445"/>
      <c r="D809" s="430"/>
      <c r="E809" s="313"/>
      <c r="F809" s="449"/>
      <c r="G809" s="810"/>
      <c r="H809" s="811"/>
      <c r="I809" s="799"/>
      <c r="J809" s="799"/>
      <c r="K809" s="809"/>
    </row>
    <row r="810" spans="1:13" s="396" customFormat="1" ht="23.15" customHeight="1" thickBot="1">
      <c r="A810" s="313"/>
      <c r="B810" s="676"/>
      <c r="C810" s="445"/>
      <c r="D810" s="430"/>
      <c r="E810" s="313"/>
      <c r="F810" s="449"/>
      <c r="G810" s="810"/>
      <c r="H810" s="811"/>
      <c r="I810" s="799"/>
      <c r="J810" s="799"/>
      <c r="K810" s="1058" t="s">
        <v>924</v>
      </c>
      <c r="L810" s="1058" t="s">
        <v>572</v>
      </c>
      <c r="M810" s="1058">
        <v>12</v>
      </c>
    </row>
    <row r="811" spans="1:13" s="467" customFormat="1" ht="22.25" customHeight="1" thickBot="1">
      <c r="A811" s="588"/>
      <c r="B811" s="1100" t="s">
        <v>391</v>
      </c>
      <c r="C811" s="1101"/>
      <c r="D811" s="1101"/>
      <c r="E811" s="1101"/>
      <c r="F811" s="1104"/>
      <c r="G811" s="589"/>
      <c r="H811" s="707">
        <f>SUMIF(F5:F810,F458,H5:H810)</f>
        <v>258848126.39319527</v>
      </c>
      <c r="I811" s="710">
        <f>SUM(I5:I810)</f>
        <v>170700558.29319525</v>
      </c>
      <c r="J811" s="710">
        <f>SUM(J5:J810)</f>
        <v>88147568.100000009</v>
      </c>
      <c r="K811" s="1058" t="s">
        <v>925</v>
      </c>
      <c r="L811" s="1058" t="s">
        <v>572</v>
      </c>
      <c r="M811" s="1058">
        <v>2</v>
      </c>
    </row>
    <row r="812" spans="1:13" ht="23.15" customHeight="1" thickBot="1">
      <c r="A812" s="588"/>
      <c r="B812" s="1100" t="s">
        <v>529</v>
      </c>
      <c r="C812" s="1101"/>
      <c r="D812" s="1101"/>
      <c r="E812" s="1101"/>
      <c r="F812" s="1104"/>
      <c r="G812" s="749">
        <v>0.03</v>
      </c>
      <c r="H812" s="707">
        <f>H811*G812</f>
        <v>7765443.7917958582</v>
      </c>
      <c r="K812" s="1058" t="s">
        <v>926</v>
      </c>
      <c r="L812" s="1058" t="s">
        <v>927</v>
      </c>
      <c r="M812" s="1058">
        <v>0.5</v>
      </c>
    </row>
    <row r="813" spans="1:13" ht="23.15" customHeight="1" thickBot="1">
      <c r="A813" s="588"/>
      <c r="B813" s="1100" t="s">
        <v>649</v>
      </c>
      <c r="C813" s="1101"/>
      <c r="D813" s="1101"/>
      <c r="E813" s="1101"/>
      <c r="F813" s="1104"/>
      <c r="G813" s="749">
        <v>0.05</v>
      </c>
      <c r="H813" s="707">
        <f>(H811+H812)*G813</f>
        <v>13330678.509249557</v>
      </c>
    </row>
    <row r="814" spans="1:13" ht="23.15" customHeight="1" thickBot="1">
      <c r="A814" s="588"/>
      <c r="B814" s="1100" t="s">
        <v>530</v>
      </c>
      <c r="C814" s="1101"/>
      <c r="D814" s="1101"/>
      <c r="E814" s="1101"/>
      <c r="F814" s="1104"/>
      <c r="G814" s="749">
        <v>0.1</v>
      </c>
      <c r="H814" s="707">
        <f>(H811+H812+H813)*G814</f>
        <v>27994424.869424071</v>
      </c>
      <c r="K814" s="398"/>
    </row>
    <row r="815" spans="1:13" ht="23.15" customHeight="1" thickBot="1">
      <c r="A815" s="588"/>
      <c r="B815" s="1100" t="s">
        <v>386</v>
      </c>
      <c r="C815" s="1101"/>
      <c r="D815" s="1101"/>
      <c r="E815" s="1101"/>
      <c r="F815" s="1104"/>
      <c r="G815" s="589"/>
      <c r="H815" s="707">
        <f>SUM(H811:H814)</f>
        <v>307938673.56366473</v>
      </c>
      <c r="I815" s="392">
        <f>BQ!G126</f>
        <v>307938673.56366473</v>
      </c>
      <c r="J815" s="392">
        <f>I811+J811</f>
        <v>258848126.39319527</v>
      </c>
    </row>
    <row r="816" spans="1:13" ht="23.15" customHeight="1">
      <c r="H816" s="398"/>
      <c r="I816" s="398"/>
      <c r="J816" s="468"/>
    </row>
    <row r="819" spans="4:4" s="393" customFormat="1" ht="23.15" customHeight="1">
      <c r="D819" s="516"/>
    </row>
  </sheetData>
  <mergeCells count="8">
    <mergeCell ref="B815:F815"/>
    <mergeCell ref="A3:H3"/>
    <mergeCell ref="B811:F811"/>
    <mergeCell ref="A2:H2"/>
    <mergeCell ref="A1:H1"/>
    <mergeCell ref="B812:F812"/>
    <mergeCell ref="B814:F814"/>
    <mergeCell ref="B813:F813"/>
  </mergeCells>
  <printOptions horizontalCentered="1"/>
  <pageMargins left="0.5" right="0.25" top="0.5" bottom="0.25" header="0" footer="0"/>
  <pageSetup paperSize="9" scale="95" orientation="portrait" horizontalDpi="360" verticalDpi="360" r:id="rId1"/>
  <headerFooter>
    <oddHeader>Page &amp;P of &amp;N</oddHeader>
    <oddFooter>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23FF-D391-41B2-ADAA-57D36E688485}">
  <dimension ref="A1:O67"/>
  <sheetViews>
    <sheetView zoomScaleNormal="100" zoomScaleSheetLayoutView="100" workbookViewId="0">
      <selection activeCell="G7" sqref="G7"/>
    </sheetView>
  </sheetViews>
  <sheetFormatPr defaultColWidth="9.36328125" defaultRowHeight="15.5"/>
  <cols>
    <col min="1" max="1" width="5.453125" style="151" customWidth="1"/>
    <col min="2" max="2" width="36.6328125" style="151" customWidth="1"/>
    <col min="3" max="3" width="10.54296875" style="151" customWidth="1"/>
    <col min="4" max="4" width="17.453125" style="157" customWidth="1"/>
    <col min="5" max="5" width="12.36328125" style="151" bestFit="1" customWidth="1"/>
    <col min="6" max="16384" width="9.36328125" style="151"/>
  </cols>
  <sheetData>
    <row r="1" spans="1:9" ht="21" customHeight="1">
      <c r="A1" s="1112" t="s">
        <v>206</v>
      </c>
      <c r="B1" s="1112"/>
      <c r="C1" s="1112"/>
      <c r="D1" s="1112"/>
      <c r="E1" s="99"/>
      <c r="F1" s="99"/>
      <c r="G1" s="99"/>
      <c r="H1" s="99"/>
      <c r="I1" s="99"/>
    </row>
    <row r="2" spans="1:9" ht="21" customHeight="1">
      <c r="A2" s="1113" t="s">
        <v>207</v>
      </c>
      <c r="B2" s="1113"/>
      <c r="C2" s="1113"/>
      <c r="D2" s="1113"/>
    </row>
    <row r="3" spans="1:9" ht="42.75" customHeight="1">
      <c r="A3" s="7" t="s">
        <v>3</v>
      </c>
      <c r="B3" s="7" t="s">
        <v>31</v>
      </c>
      <c r="C3" s="94" t="s">
        <v>0</v>
      </c>
      <c r="D3" s="7" t="s">
        <v>199</v>
      </c>
    </row>
    <row r="4" spans="1:9" ht="21" customHeight="1">
      <c r="A4" s="152">
        <v>1</v>
      </c>
      <c r="B4" s="145" t="s">
        <v>14</v>
      </c>
      <c r="C4" s="153" t="s">
        <v>15</v>
      </c>
      <c r="D4" s="154">
        <v>5390</v>
      </c>
    </row>
    <row r="5" spans="1:9" ht="21" customHeight="1">
      <c r="A5" s="146">
        <v>2</v>
      </c>
      <c r="B5" s="40" t="s">
        <v>41</v>
      </c>
      <c r="C5" s="24" t="s">
        <v>11</v>
      </c>
      <c r="D5" s="155">
        <v>12000</v>
      </c>
    </row>
    <row r="6" spans="1:9" ht="21" customHeight="1">
      <c r="A6" s="146">
        <v>3</v>
      </c>
      <c r="B6" s="40" t="s">
        <v>36</v>
      </c>
      <c r="C6" s="24" t="s">
        <v>11</v>
      </c>
      <c r="D6" s="155">
        <v>35500</v>
      </c>
    </row>
    <row r="7" spans="1:9" ht="21" customHeight="1">
      <c r="A7" s="146">
        <v>4</v>
      </c>
      <c r="B7" s="40" t="s">
        <v>17</v>
      </c>
      <c r="C7" s="24" t="s">
        <v>9</v>
      </c>
      <c r="D7" s="155">
        <v>680000</v>
      </c>
    </row>
    <row r="8" spans="1:9" ht="21" customHeight="1">
      <c r="A8" s="146">
        <v>5</v>
      </c>
      <c r="B8" s="40" t="s">
        <v>18</v>
      </c>
      <c r="C8" s="24" t="s">
        <v>30</v>
      </c>
      <c r="D8" s="155">
        <v>20000</v>
      </c>
      <c r="F8" s="151">
        <f>23*110</f>
        <v>2530</v>
      </c>
      <c r="G8" s="151">
        <f>5.5*5</f>
        <v>27.5</v>
      </c>
    </row>
    <row r="9" spans="1:9" ht="21" customHeight="1">
      <c r="A9" s="146">
        <v>6</v>
      </c>
      <c r="B9" s="40" t="s">
        <v>21</v>
      </c>
      <c r="C9" s="24" t="s">
        <v>25</v>
      </c>
      <c r="D9" s="155">
        <v>700</v>
      </c>
      <c r="G9" s="151">
        <f>G8/7</f>
        <v>3.9285714285714284</v>
      </c>
      <c r="H9" s="151">
        <v>90</v>
      </c>
    </row>
    <row r="10" spans="1:9" ht="21" customHeight="1">
      <c r="A10" s="146">
        <v>9</v>
      </c>
      <c r="B10" s="40" t="s">
        <v>24</v>
      </c>
      <c r="C10" s="24" t="s">
        <v>3</v>
      </c>
      <c r="D10" s="142">
        <v>90</v>
      </c>
      <c r="E10" s="156"/>
    </row>
    <row r="11" spans="1:9" ht="21" customHeight="1">
      <c r="A11" s="146">
        <v>10</v>
      </c>
      <c r="B11" s="40" t="s">
        <v>198</v>
      </c>
      <c r="C11" s="26" t="s">
        <v>13</v>
      </c>
      <c r="D11" s="155">
        <v>85</v>
      </c>
    </row>
    <row r="12" spans="1:9" ht="21" customHeight="1">
      <c r="A12" s="146">
        <v>12</v>
      </c>
      <c r="B12" s="89" t="s">
        <v>164</v>
      </c>
      <c r="C12" s="24" t="s">
        <v>9</v>
      </c>
      <c r="D12" s="155">
        <v>750000</v>
      </c>
    </row>
    <row r="13" spans="1:9" ht="21" customHeight="1">
      <c r="A13" s="146">
        <v>13</v>
      </c>
      <c r="B13" s="89" t="s">
        <v>144</v>
      </c>
      <c r="C13" s="24" t="s">
        <v>9</v>
      </c>
      <c r="D13" s="155">
        <v>750000</v>
      </c>
    </row>
    <row r="14" spans="1:9" ht="21" customHeight="1">
      <c r="A14" s="146">
        <v>14</v>
      </c>
      <c r="B14" s="89" t="s">
        <v>120</v>
      </c>
      <c r="C14" s="24" t="s">
        <v>9</v>
      </c>
      <c r="D14" s="155">
        <v>750000</v>
      </c>
    </row>
    <row r="15" spans="1:9" ht="21" customHeight="1">
      <c r="A15" s="146">
        <v>15</v>
      </c>
      <c r="B15" s="89" t="s">
        <v>71</v>
      </c>
      <c r="C15" s="24" t="s">
        <v>9</v>
      </c>
      <c r="D15" s="155">
        <v>750000</v>
      </c>
    </row>
    <row r="16" spans="1:9" ht="21" customHeight="1">
      <c r="A16" s="146">
        <v>16</v>
      </c>
      <c r="B16" s="89" t="s">
        <v>123</v>
      </c>
      <c r="C16" s="24" t="s">
        <v>9</v>
      </c>
      <c r="D16" s="155">
        <v>750000</v>
      </c>
    </row>
    <row r="17" spans="1:4" ht="21" customHeight="1">
      <c r="A17" s="146">
        <v>17</v>
      </c>
      <c r="B17" s="89" t="s">
        <v>53</v>
      </c>
      <c r="C17" s="24" t="s">
        <v>9</v>
      </c>
      <c r="D17" s="155">
        <v>750000</v>
      </c>
    </row>
    <row r="18" spans="1:4" ht="21" customHeight="1">
      <c r="A18" s="146">
        <v>18</v>
      </c>
      <c r="B18" s="89" t="s">
        <v>196</v>
      </c>
      <c r="C18" s="24" t="s">
        <v>9</v>
      </c>
      <c r="D18" s="155">
        <v>850000</v>
      </c>
    </row>
    <row r="19" spans="1:4" ht="21" customHeight="1">
      <c r="A19" s="146">
        <v>19</v>
      </c>
      <c r="B19" s="89" t="s">
        <v>20</v>
      </c>
      <c r="C19" s="24" t="s">
        <v>28</v>
      </c>
      <c r="D19" s="155">
        <v>1400</v>
      </c>
    </row>
    <row r="20" spans="1:4" ht="21" customHeight="1">
      <c r="A20" s="146">
        <v>20</v>
      </c>
      <c r="B20" s="40" t="s">
        <v>178</v>
      </c>
      <c r="C20" s="26" t="s">
        <v>23</v>
      </c>
      <c r="D20" s="155">
        <v>5500</v>
      </c>
    </row>
    <row r="21" spans="1:4" ht="21" customHeight="1">
      <c r="A21" s="146">
        <v>21</v>
      </c>
      <c r="B21" s="40" t="s">
        <v>73</v>
      </c>
      <c r="C21" s="26" t="s">
        <v>154</v>
      </c>
      <c r="D21" s="155">
        <v>3600</v>
      </c>
    </row>
    <row r="22" spans="1:4" ht="21" customHeight="1">
      <c r="A22" s="146">
        <v>22</v>
      </c>
      <c r="B22" s="40" t="s">
        <v>179</v>
      </c>
      <c r="C22" s="26" t="s">
        <v>3</v>
      </c>
      <c r="D22" s="155">
        <v>900</v>
      </c>
    </row>
    <row r="23" spans="1:4" ht="21" customHeight="1">
      <c r="A23" s="146">
        <v>23</v>
      </c>
      <c r="B23" s="40" t="s">
        <v>152</v>
      </c>
      <c r="C23" s="26" t="s">
        <v>23</v>
      </c>
      <c r="D23" s="155">
        <v>11000</v>
      </c>
    </row>
    <row r="24" spans="1:4" ht="21" customHeight="1">
      <c r="A24" s="146">
        <v>24</v>
      </c>
      <c r="B24" s="40" t="s">
        <v>72</v>
      </c>
      <c r="C24" s="26" t="s">
        <v>3</v>
      </c>
      <c r="D24" s="155">
        <v>1500</v>
      </c>
    </row>
    <row r="25" spans="1:4" ht="21" customHeight="1">
      <c r="A25" s="146">
        <v>25</v>
      </c>
      <c r="B25" s="40" t="s">
        <v>180</v>
      </c>
      <c r="C25" s="26" t="s">
        <v>3</v>
      </c>
      <c r="D25" s="155">
        <v>1000</v>
      </c>
    </row>
    <row r="26" spans="1:4" ht="21" customHeight="1">
      <c r="A26" s="146">
        <v>26</v>
      </c>
      <c r="B26" s="40" t="s">
        <v>51</v>
      </c>
      <c r="C26" s="26" t="s">
        <v>52</v>
      </c>
      <c r="D26" s="155">
        <v>3000</v>
      </c>
    </row>
    <row r="27" spans="1:4" ht="21" customHeight="1">
      <c r="A27" s="146">
        <v>27</v>
      </c>
      <c r="B27" s="40" t="s">
        <v>181</v>
      </c>
      <c r="C27" s="24" t="s">
        <v>30</v>
      </c>
      <c r="D27" s="155">
        <v>800</v>
      </c>
    </row>
    <row r="28" spans="1:4" ht="21" customHeight="1">
      <c r="A28" s="146">
        <v>28</v>
      </c>
      <c r="B28" s="40" t="s">
        <v>182</v>
      </c>
      <c r="C28" s="24" t="s">
        <v>30</v>
      </c>
      <c r="D28" s="155">
        <v>850</v>
      </c>
    </row>
    <row r="29" spans="1:4" ht="21" customHeight="1">
      <c r="A29" s="146">
        <v>29</v>
      </c>
      <c r="B29" s="40" t="s">
        <v>83</v>
      </c>
      <c r="C29" s="24" t="s">
        <v>28</v>
      </c>
      <c r="D29" s="155">
        <v>600</v>
      </c>
    </row>
    <row r="30" spans="1:4" ht="21" customHeight="1">
      <c r="A30" s="146">
        <v>30</v>
      </c>
      <c r="B30" s="40" t="s">
        <v>84</v>
      </c>
      <c r="C30" s="24" t="s">
        <v>85</v>
      </c>
      <c r="D30" s="155">
        <v>1000</v>
      </c>
    </row>
    <row r="31" spans="1:4" ht="21" customHeight="1">
      <c r="A31" s="146">
        <v>31</v>
      </c>
      <c r="B31" s="40" t="s">
        <v>86</v>
      </c>
      <c r="C31" s="24" t="s">
        <v>13</v>
      </c>
      <c r="D31" s="155">
        <v>200</v>
      </c>
    </row>
    <row r="32" spans="1:4" ht="21" customHeight="1">
      <c r="A32" s="146">
        <v>32</v>
      </c>
      <c r="B32" s="89" t="s">
        <v>171</v>
      </c>
      <c r="C32" s="29" t="s">
        <v>172</v>
      </c>
      <c r="D32" s="155">
        <v>900</v>
      </c>
    </row>
    <row r="33" spans="1:4" ht="21" customHeight="1">
      <c r="A33" s="146">
        <v>33</v>
      </c>
      <c r="B33" s="89" t="s">
        <v>200</v>
      </c>
      <c r="C33" s="29" t="s">
        <v>13</v>
      </c>
      <c r="D33" s="155">
        <v>850</v>
      </c>
    </row>
    <row r="34" spans="1:4" ht="21" customHeight="1">
      <c r="A34" s="146">
        <v>34</v>
      </c>
      <c r="B34" s="89" t="s">
        <v>173</v>
      </c>
      <c r="C34" s="29" t="s">
        <v>183</v>
      </c>
      <c r="D34" s="155">
        <v>700</v>
      </c>
    </row>
    <row r="35" spans="1:4" ht="21" customHeight="1">
      <c r="A35" s="146">
        <v>35</v>
      </c>
      <c r="B35" s="89" t="s">
        <v>176</v>
      </c>
      <c r="C35" s="29" t="s">
        <v>172</v>
      </c>
      <c r="D35" s="155">
        <v>850</v>
      </c>
    </row>
    <row r="36" spans="1:4" ht="21" customHeight="1">
      <c r="A36" s="146">
        <v>36</v>
      </c>
      <c r="B36" s="89" t="s">
        <v>184</v>
      </c>
      <c r="C36" s="29" t="s">
        <v>172</v>
      </c>
      <c r="D36" s="155">
        <v>850</v>
      </c>
    </row>
    <row r="37" spans="1:4" ht="21" customHeight="1">
      <c r="A37" s="146">
        <v>37</v>
      </c>
      <c r="B37" s="89" t="s">
        <v>174</v>
      </c>
      <c r="C37" s="29" t="s">
        <v>183</v>
      </c>
      <c r="D37" s="155">
        <v>500</v>
      </c>
    </row>
    <row r="38" spans="1:4" ht="21" customHeight="1">
      <c r="A38" s="146">
        <v>38</v>
      </c>
      <c r="B38" s="89" t="s">
        <v>175</v>
      </c>
      <c r="C38" s="29" t="s">
        <v>183</v>
      </c>
      <c r="D38" s="155">
        <v>300</v>
      </c>
    </row>
    <row r="39" spans="1:4" ht="21" customHeight="1">
      <c r="A39" s="146">
        <v>39</v>
      </c>
      <c r="B39" s="40" t="s">
        <v>48</v>
      </c>
      <c r="C39" s="24" t="s">
        <v>13</v>
      </c>
      <c r="D39" s="155">
        <v>700</v>
      </c>
    </row>
    <row r="40" spans="1:4" ht="21" customHeight="1">
      <c r="A40" s="146">
        <v>40</v>
      </c>
      <c r="B40" s="89" t="s">
        <v>186</v>
      </c>
      <c r="C40" s="24" t="s">
        <v>13</v>
      </c>
      <c r="D40" s="155">
        <v>2800</v>
      </c>
    </row>
    <row r="41" spans="1:4" ht="21" customHeight="1">
      <c r="A41" s="146">
        <v>41</v>
      </c>
      <c r="B41" s="89" t="s">
        <v>187</v>
      </c>
      <c r="C41" s="24" t="s">
        <v>183</v>
      </c>
      <c r="D41" s="155">
        <v>3500</v>
      </c>
    </row>
    <row r="42" spans="1:4" ht="21" customHeight="1">
      <c r="A42" s="146">
        <v>42</v>
      </c>
      <c r="B42" s="89" t="s">
        <v>188</v>
      </c>
      <c r="C42" s="24" t="s">
        <v>183</v>
      </c>
      <c r="D42" s="155">
        <v>3500</v>
      </c>
    </row>
    <row r="43" spans="1:4" ht="21" customHeight="1">
      <c r="A43" s="146">
        <v>43</v>
      </c>
      <c r="B43" s="89" t="s">
        <v>189</v>
      </c>
      <c r="C43" s="24" t="s">
        <v>183</v>
      </c>
      <c r="D43" s="155">
        <v>2500</v>
      </c>
    </row>
    <row r="44" spans="1:4" ht="21" customHeight="1">
      <c r="A44" s="146">
        <v>44</v>
      </c>
      <c r="B44" s="89" t="s">
        <v>190</v>
      </c>
      <c r="C44" s="24" t="s">
        <v>183</v>
      </c>
      <c r="D44" s="155">
        <v>1300</v>
      </c>
    </row>
    <row r="45" spans="1:4" ht="21" customHeight="1">
      <c r="A45" s="146">
        <v>45</v>
      </c>
      <c r="B45" s="89" t="s">
        <v>191</v>
      </c>
      <c r="C45" s="24" t="s">
        <v>183</v>
      </c>
      <c r="D45" s="155">
        <v>60</v>
      </c>
    </row>
    <row r="46" spans="1:4" ht="21" customHeight="1">
      <c r="A46" s="146">
        <v>46</v>
      </c>
      <c r="B46" s="40" t="s">
        <v>107</v>
      </c>
      <c r="C46" s="24" t="s">
        <v>13</v>
      </c>
      <c r="D46" s="155">
        <v>1100</v>
      </c>
    </row>
    <row r="47" spans="1:4" ht="21" customHeight="1">
      <c r="A47" s="146">
        <v>47</v>
      </c>
      <c r="B47" s="89" t="s">
        <v>47</v>
      </c>
      <c r="C47" s="24" t="s">
        <v>3</v>
      </c>
      <c r="D47" s="155">
        <v>30</v>
      </c>
    </row>
    <row r="48" spans="1:4" ht="21" customHeight="1">
      <c r="A48" s="146">
        <v>48</v>
      </c>
      <c r="B48" s="89" t="s">
        <v>49</v>
      </c>
      <c r="C48" s="24" t="s">
        <v>3</v>
      </c>
      <c r="D48" s="155">
        <v>3000</v>
      </c>
    </row>
    <row r="49" spans="1:15" ht="21" customHeight="1">
      <c r="A49" s="146">
        <v>49</v>
      </c>
      <c r="B49" s="40" t="s">
        <v>124</v>
      </c>
      <c r="C49" s="24" t="s">
        <v>23</v>
      </c>
      <c r="D49" s="155">
        <v>9500</v>
      </c>
    </row>
    <row r="50" spans="1:15" ht="21" customHeight="1">
      <c r="A50" s="146">
        <v>50</v>
      </c>
      <c r="B50" s="40" t="s">
        <v>192</v>
      </c>
      <c r="C50" s="24" t="s">
        <v>23</v>
      </c>
      <c r="D50" s="155">
        <v>16500</v>
      </c>
    </row>
    <row r="51" spans="1:15" ht="21" customHeight="1">
      <c r="A51" s="146">
        <v>51</v>
      </c>
      <c r="B51" s="40" t="s">
        <v>193</v>
      </c>
      <c r="C51" s="26" t="s">
        <v>13</v>
      </c>
      <c r="D51" s="155">
        <v>3000</v>
      </c>
    </row>
    <row r="52" spans="1:15" ht="21" customHeight="1">
      <c r="A52" s="146">
        <v>52</v>
      </c>
      <c r="B52" s="40" t="s">
        <v>194</v>
      </c>
      <c r="C52" s="26" t="s">
        <v>45</v>
      </c>
      <c r="D52" s="155">
        <v>8000</v>
      </c>
    </row>
    <row r="53" spans="1:15" ht="21" customHeight="1">
      <c r="A53" s="146">
        <v>53</v>
      </c>
      <c r="B53" s="40" t="s">
        <v>177</v>
      </c>
      <c r="C53" s="26" t="s">
        <v>45</v>
      </c>
      <c r="D53" s="155"/>
    </row>
    <row r="54" spans="1:15" ht="21" customHeight="1">
      <c r="A54" s="146">
        <v>54</v>
      </c>
      <c r="B54" s="40" t="s">
        <v>201</v>
      </c>
      <c r="C54" s="26" t="s">
        <v>45</v>
      </c>
      <c r="D54" s="155">
        <v>5500</v>
      </c>
    </row>
    <row r="55" spans="1:15" ht="21" customHeight="1">
      <c r="A55" s="146">
        <v>55</v>
      </c>
      <c r="B55" s="40" t="s">
        <v>202</v>
      </c>
      <c r="C55" s="24" t="s">
        <v>45</v>
      </c>
      <c r="D55" s="155">
        <v>4500</v>
      </c>
    </row>
    <row r="56" spans="1:15" ht="21" customHeight="1">
      <c r="A56" s="146">
        <v>56</v>
      </c>
      <c r="B56" s="40" t="s">
        <v>197</v>
      </c>
      <c r="C56" s="24" t="s">
        <v>45</v>
      </c>
      <c r="D56" s="155"/>
    </row>
    <row r="57" spans="1:15" ht="21" customHeight="1">
      <c r="A57" s="146">
        <v>57</v>
      </c>
      <c r="B57" s="40" t="s">
        <v>195</v>
      </c>
      <c r="C57" s="26" t="s">
        <v>45</v>
      </c>
      <c r="D57" s="155"/>
    </row>
    <row r="58" spans="1:15" ht="21" customHeight="1">
      <c r="A58" s="146">
        <v>58</v>
      </c>
      <c r="B58" s="143" t="s">
        <v>203</v>
      </c>
      <c r="C58" s="140" t="s">
        <v>45</v>
      </c>
      <c r="D58" s="155">
        <v>3000</v>
      </c>
    </row>
    <row r="59" spans="1:15" s="51" customFormat="1" ht="27.75" customHeight="1">
      <c r="A59" s="92" t="s">
        <v>3</v>
      </c>
      <c r="B59" s="95" t="s">
        <v>31</v>
      </c>
      <c r="C59" s="94" t="s">
        <v>0</v>
      </c>
      <c r="D59" s="121" t="s">
        <v>33</v>
      </c>
      <c r="F59" s="99"/>
      <c r="G59" s="99"/>
      <c r="H59" s="99"/>
      <c r="I59" s="68"/>
      <c r="J59" s="68"/>
      <c r="K59" s="68"/>
      <c r="L59" s="68"/>
      <c r="M59" s="68"/>
      <c r="N59" s="68"/>
      <c r="O59" s="66"/>
    </row>
    <row r="60" spans="1:15" s="51" customFormat="1" ht="23.25" customHeight="1">
      <c r="A60" s="147"/>
      <c r="B60" s="149" t="s">
        <v>185</v>
      </c>
      <c r="C60" s="136"/>
      <c r="D60" s="148"/>
      <c r="F60" s="99"/>
      <c r="G60" s="99"/>
      <c r="H60" s="99"/>
      <c r="I60" s="68"/>
      <c r="J60" s="68"/>
      <c r="K60" s="68"/>
      <c r="L60" s="68"/>
      <c r="M60" s="68"/>
      <c r="N60" s="68"/>
      <c r="O60" s="66"/>
    </row>
    <row r="61" spans="1:15" s="51" customFormat="1" ht="20.75" customHeight="1">
      <c r="A61" s="61">
        <v>1</v>
      </c>
      <c r="B61" s="62" t="s">
        <v>69</v>
      </c>
      <c r="C61" s="63" t="s">
        <v>3</v>
      </c>
      <c r="D61" s="107">
        <v>5500</v>
      </c>
      <c r="F61" s="67"/>
      <c r="G61" s="67"/>
      <c r="H61" s="90"/>
      <c r="I61" s="68"/>
      <c r="J61" s="68"/>
      <c r="K61" s="68"/>
      <c r="L61" s="68"/>
      <c r="M61" s="68"/>
      <c r="N61" s="68"/>
      <c r="O61" s="66"/>
    </row>
    <row r="62" spans="1:15" s="51" customFormat="1" ht="20.75" customHeight="1">
      <c r="A62" s="61">
        <v>2</v>
      </c>
      <c r="B62" s="62" t="s">
        <v>143</v>
      </c>
      <c r="C62" s="63" t="s">
        <v>3</v>
      </c>
      <c r="D62" s="107">
        <v>5500</v>
      </c>
      <c r="F62" s="99"/>
      <c r="G62" s="99"/>
      <c r="H62" s="99"/>
      <c r="I62" s="68"/>
      <c r="J62" s="68"/>
      <c r="K62" s="68"/>
      <c r="L62" s="68"/>
      <c r="M62" s="68"/>
      <c r="N62" s="68"/>
      <c r="O62" s="66"/>
    </row>
    <row r="63" spans="1:15" s="51" customFormat="1" ht="20.75" customHeight="1">
      <c r="A63" s="61">
        <v>3</v>
      </c>
      <c r="B63" s="48" t="s">
        <v>68</v>
      </c>
      <c r="C63" s="24" t="s">
        <v>3</v>
      </c>
      <c r="D63" s="109">
        <v>5500</v>
      </c>
      <c r="F63" s="67"/>
      <c r="G63" s="67"/>
      <c r="H63" s="90"/>
      <c r="I63" s="68"/>
      <c r="J63" s="68"/>
      <c r="K63" s="68"/>
      <c r="L63" s="68"/>
      <c r="M63" s="68"/>
      <c r="N63" s="68"/>
      <c r="O63" s="66"/>
    </row>
    <row r="64" spans="1:15" s="51" customFormat="1" ht="20.75" customHeight="1">
      <c r="A64" s="61">
        <v>4</v>
      </c>
      <c r="B64" s="48" t="s">
        <v>75</v>
      </c>
      <c r="C64" s="24" t="s">
        <v>3</v>
      </c>
      <c r="D64" s="109">
        <v>5500</v>
      </c>
      <c r="F64" s="67"/>
      <c r="G64" s="67"/>
      <c r="H64" s="90"/>
      <c r="I64" s="68"/>
      <c r="J64" s="68"/>
      <c r="K64" s="68"/>
      <c r="L64" s="68"/>
      <c r="M64" s="68"/>
      <c r="N64" s="68"/>
      <c r="O64" s="66"/>
    </row>
    <row r="65" spans="1:15" s="51" customFormat="1" ht="20.75" customHeight="1">
      <c r="A65" s="61">
        <v>6</v>
      </c>
      <c r="B65" s="48" t="s">
        <v>67</v>
      </c>
      <c r="C65" s="24" t="s">
        <v>3</v>
      </c>
      <c r="D65" s="109">
        <v>4500</v>
      </c>
      <c r="F65" s="69"/>
      <c r="G65" s="72"/>
      <c r="H65" s="68"/>
      <c r="I65" s="68"/>
      <c r="J65" s="68"/>
      <c r="K65" s="68"/>
      <c r="L65" s="68"/>
      <c r="M65" s="68"/>
      <c r="N65" s="68"/>
      <c r="O65" s="66"/>
    </row>
    <row r="66" spans="1:15" ht="21" customHeight="1"/>
    <row r="67" spans="1:15" ht="21" customHeight="1"/>
  </sheetData>
  <mergeCells count="2">
    <mergeCell ref="A1:D1"/>
    <mergeCell ref="A2:D2"/>
  </mergeCells>
  <pageMargins left="0.5" right="0.7" top="0.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A114-0213-4767-8076-654EA0988DAB}">
  <dimension ref="E12:I19"/>
  <sheetViews>
    <sheetView workbookViewId="0">
      <selection activeCell="E18" sqref="E18"/>
    </sheetView>
  </sheetViews>
  <sheetFormatPr defaultRowHeight="14.5"/>
  <cols>
    <col min="5" max="5" width="13.36328125" bestFit="1" customWidth="1"/>
    <col min="7" max="7" width="14.36328125" bestFit="1" customWidth="1"/>
    <col min="9" max="9" width="13.36328125" bestFit="1" customWidth="1"/>
  </cols>
  <sheetData>
    <row r="12" spans="5:9">
      <c r="E12">
        <f>11.81*40</f>
        <v>472.40000000000003</v>
      </c>
      <c r="F12">
        <v>5000</v>
      </c>
      <c r="G12">
        <f>F12*E12</f>
        <v>2362000</v>
      </c>
    </row>
    <row r="13" spans="5:9">
      <c r="E13">
        <f>22.97*40</f>
        <v>918.8</v>
      </c>
      <c r="F13">
        <v>4500</v>
      </c>
      <c r="G13">
        <f>F13*E13</f>
        <v>4134600</v>
      </c>
    </row>
    <row r="14" spans="5:9">
      <c r="E14">
        <f>34.13*80</f>
        <v>2730.4</v>
      </c>
      <c r="F14">
        <v>5800</v>
      </c>
      <c r="G14">
        <f>F14*E14</f>
        <v>15836320</v>
      </c>
    </row>
    <row r="15" spans="5:9">
      <c r="E15">
        <f>40*11.81</f>
        <v>472.40000000000003</v>
      </c>
      <c r="F15">
        <v>4500</v>
      </c>
      <c r="G15">
        <f>F15*E15</f>
        <v>2125800</v>
      </c>
    </row>
    <row r="16" spans="5:9">
      <c r="E16">
        <f>SUM(E12:E15)</f>
        <v>4594</v>
      </c>
      <c r="G16" s="122">
        <f>SUM(G12:G15)</f>
        <v>24458720</v>
      </c>
      <c r="I16">
        <f>24000000+6279030+2000000</f>
        <v>32279030</v>
      </c>
    </row>
    <row r="17" spans="5:9">
      <c r="I17" s="123">
        <f>I16*0.07</f>
        <v>2259532.1</v>
      </c>
    </row>
    <row r="18" spans="5:9">
      <c r="E18">
        <f>E16-4200</f>
        <v>394</v>
      </c>
    </row>
    <row r="19" spans="5:9">
      <c r="E19" s="124">
        <f>E18*5800</f>
        <v>2285200</v>
      </c>
    </row>
  </sheetData>
  <pageMargins left="0.7" right="0.7" top="0.75" bottom="0.75" header="0.3" footer="0.3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BB1B-8CE2-45B2-96B5-0E1102FC6951}">
  <dimension ref="A1:Q16"/>
  <sheetViews>
    <sheetView topLeftCell="A2" workbookViewId="0">
      <selection activeCell="C5" sqref="C5"/>
    </sheetView>
  </sheetViews>
  <sheetFormatPr defaultColWidth="9.36328125" defaultRowHeight="34.5" customHeight="1"/>
  <cols>
    <col min="1" max="1" width="8.54296875" style="3" customWidth="1"/>
    <col min="2" max="2" width="57.453125" style="3" customWidth="1"/>
    <col min="3" max="3" width="20.36328125" style="14" customWidth="1"/>
    <col min="4" max="4" width="18.6328125" style="3" bestFit="1" customWidth="1"/>
    <col min="5" max="5" width="25.36328125" style="3" customWidth="1"/>
    <col min="6" max="6" width="24.6328125" style="3" customWidth="1"/>
    <col min="7" max="7" width="9.36328125" style="3"/>
    <col min="8" max="8" width="22" style="3" customWidth="1"/>
    <col min="9" max="12" width="9.36328125" style="3"/>
    <col min="13" max="13" width="12.6328125" style="3" bestFit="1" customWidth="1"/>
    <col min="14" max="16384" width="9.36328125" style="3"/>
  </cols>
  <sheetData>
    <row r="1" spans="1:17" s="2" customFormat="1" ht="40.5" hidden="1" customHeight="1">
      <c r="A1" s="1114" t="s">
        <v>125</v>
      </c>
      <c r="B1" s="1114"/>
      <c r="C1" s="1114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9"/>
      <c r="Q1" s="20"/>
    </row>
    <row r="2" spans="1:17" s="2" customFormat="1" ht="40.5" customHeight="1">
      <c r="A2" s="1112" t="e">
        <f>#REF!</f>
        <v>#REF!</v>
      </c>
      <c r="B2" s="1112"/>
      <c r="C2" s="1112"/>
      <c r="D2" s="99"/>
      <c r="E2" s="99"/>
      <c r="F2" s="99"/>
      <c r="G2" s="99"/>
      <c r="H2" s="99"/>
      <c r="I2" s="99"/>
      <c r="J2" s="99"/>
      <c r="K2" s="99"/>
      <c r="L2" s="18"/>
      <c r="M2" s="18"/>
      <c r="N2" s="18"/>
      <c r="O2" s="19"/>
      <c r="P2" s="19"/>
      <c r="Q2" s="20"/>
    </row>
    <row r="3" spans="1:17" s="2" customFormat="1" ht="33.75" customHeight="1">
      <c r="A3" s="1115" t="s">
        <v>29</v>
      </c>
      <c r="B3" s="1115"/>
      <c r="C3" s="1115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19"/>
      <c r="Q3" s="20"/>
    </row>
    <row r="4" spans="1:17" ht="34.5" customHeight="1">
      <c r="A4" s="7" t="s">
        <v>3</v>
      </c>
      <c r="B4" s="7" t="s">
        <v>31</v>
      </c>
      <c r="C4" s="8" t="s">
        <v>29</v>
      </c>
      <c r="F4" s="21" t="s">
        <v>80</v>
      </c>
    </row>
    <row r="5" spans="1:17" ht="34.5" customHeight="1">
      <c r="A5" s="9">
        <v>1</v>
      </c>
      <c r="B5" s="10" t="s">
        <v>62</v>
      </c>
      <c r="C5" s="11">
        <v>146085795</v>
      </c>
      <c r="D5" s="12"/>
      <c r="F5" s="4"/>
      <c r="H5" s="12"/>
    </row>
    <row r="6" spans="1:17" ht="34.5" customHeight="1">
      <c r="A6" s="9">
        <v>2</v>
      </c>
      <c r="B6" s="10" t="s">
        <v>104</v>
      </c>
      <c r="C6" s="11">
        <v>127121</v>
      </c>
      <c r="D6" s="12"/>
      <c r="F6" s="12"/>
      <c r="H6" s="12"/>
    </row>
    <row r="7" spans="1:17" s="15" customFormat="1" ht="35.15" customHeight="1">
      <c r="A7" s="9">
        <v>3</v>
      </c>
      <c r="B7" s="10" t="s">
        <v>105</v>
      </c>
      <c r="C7" s="11">
        <v>1634960</v>
      </c>
      <c r="D7" s="12"/>
      <c r="F7" s="12"/>
      <c r="H7" s="16"/>
    </row>
    <row r="8" spans="1:17" ht="34.5" customHeight="1">
      <c r="A8" s="9">
        <v>4</v>
      </c>
      <c r="B8" s="10" t="s">
        <v>146</v>
      </c>
      <c r="C8" s="11">
        <v>1058270</v>
      </c>
      <c r="D8" s="12"/>
      <c r="F8" s="12"/>
      <c r="H8" s="12"/>
    </row>
    <row r="9" spans="1:17" s="15" customFormat="1" ht="35.15" customHeight="1">
      <c r="A9" s="9">
        <v>5</v>
      </c>
      <c r="B9" s="10" t="s">
        <v>147</v>
      </c>
      <c r="C9" s="11">
        <v>743480</v>
      </c>
      <c r="D9" s="12"/>
      <c r="F9" s="12"/>
      <c r="H9" s="16"/>
    </row>
    <row r="10" spans="1:17" ht="34.5" customHeight="1">
      <c r="A10" s="17"/>
      <c r="B10" s="7" t="s">
        <v>98</v>
      </c>
      <c r="C10" s="13">
        <f>SUM(C5:C9)</f>
        <v>149649626</v>
      </c>
      <c r="D10" s="12"/>
      <c r="E10" s="104"/>
      <c r="F10" s="12"/>
      <c r="H10" s="12"/>
    </row>
    <row r="11" spans="1:17" ht="34.5" customHeight="1">
      <c r="B11" s="106"/>
      <c r="C11" s="105"/>
      <c r="D11" s="12"/>
      <c r="E11" s="16"/>
      <c r="F11" s="12"/>
      <c r="H11" s="29"/>
      <c r="J11" s="3">
        <f>10/1.5</f>
        <v>6.666666666666667</v>
      </c>
    </row>
    <row r="12" spans="1:17" ht="34.5" customHeight="1">
      <c r="D12" s="12"/>
      <c r="E12" s="16"/>
      <c r="F12" s="12"/>
      <c r="H12" s="22"/>
    </row>
    <row r="13" spans="1:17" ht="34.5" customHeight="1">
      <c r="D13" s="12"/>
      <c r="E13" s="15"/>
      <c r="F13" s="12"/>
      <c r="H13" s="12"/>
    </row>
    <row r="14" spans="1:17" ht="34.5" customHeight="1">
      <c r="B14" s="130" t="e">
        <f>#REF!+#REF!+C5</f>
        <v>#REF!</v>
      </c>
      <c r="C14" s="131"/>
      <c r="E14" s="104"/>
      <c r="F14" s="12"/>
    </row>
    <row r="15" spans="1:17" ht="34.5" customHeight="1">
      <c r="B15" s="130"/>
      <c r="C15" s="131" t="e">
        <f>B14/27625</f>
        <v>#REF!</v>
      </c>
      <c r="E15" s="12"/>
    </row>
    <row r="16" spans="1:17" ht="34.5" customHeight="1">
      <c r="E16" s="3">
        <f>31*14*2</f>
        <v>868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7FA6-1093-48F6-AA6A-55BC7E7855DC}">
  <dimension ref="A1:T82"/>
  <sheetViews>
    <sheetView workbookViewId="0">
      <selection activeCell="J11" sqref="J11"/>
    </sheetView>
  </sheetViews>
  <sheetFormatPr defaultRowHeight="14.5"/>
  <cols>
    <col min="10" max="10" width="14.36328125" bestFit="1" customWidth="1"/>
    <col min="12" max="12" width="9.54296875" bestFit="1" customWidth="1"/>
    <col min="14" max="14" width="13.36328125" bestFit="1" customWidth="1"/>
  </cols>
  <sheetData>
    <row r="1" spans="1:20" s="25" customFormat="1" ht="22.25" customHeight="1">
      <c r="A1" s="36">
        <v>12</v>
      </c>
      <c r="B1" s="46" t="s">
        <v>44</v>
      </c>
      <c r="C1" s="46"/>
      <c r="D1" s="101"/>
      <c r="E1" s="101"/>
      <c r="F1" s="100"/>
      <c r="G1" s="26"/>
      <c r="H1" s="26"/>
      <c r="I1" s="26"/>
      <c r="J1" s="27"/>
      <c r="K1" s="24"/>
      <c r="N1" s="33"/>
      <c r="O1" s="34"/>
      <c r="P1" s="24"/>
      <c r="S1" s="24"/>
      <c r="T1" s="24"/>
    </row>
    <row r="2" spans="1:20" s="25" customFormat="1" ht="22.25" customHeight="1">
      <c r="A2" s="36"/>
      <c r="B2" s="41" t="s">
        <v>113</v>
      </c>
      <c r="C2" s="24"/>
      <c r="D2" s="23"/>
      <c r="E2" s="23"/>
      <c r="F2" s="89"/>
      <c r="G2" s="26"/>
      <c r="H2" s="26"/>
      <c r="I2" s="26"/>
      <c r="J2" s="27"/>
      <c r="K2" s="24"/>
      <c r="N2" s="33"/>
      <c r="O2" s="34"/>
      <c r="P2" s="24"/>
      <c r="S2" s="24"/>
      <c r="T2" s="24"/>
    </row>
    <row r="3" spans="1:20" s="25" customFormat="1" ht="22.25" customHeight="1">
      <c r="A3" s="36"/>
      <c r="B3" s="40" t="s">
        <v>129</v>
      </c>
      <c r="C3" s="24"/>
      <c r="D3" s="23"/>
      <c r="E3" s="23">
        <v>11</v>
      </c>
      <c r="F3" s="26">
        <f>48-5*1</f>
        <v>43</v>
      </c>
      <c r="G3" s="26"/>
      <c r="H3" s="26">
        <f>11.25-1.17</f>
        <v>10.08</v>
      </c>
      <c r="I3" s="26"/>
      <c r="J3" s="27">
        <f>H3*F3*E3</f>
        <v>4767.84</v>
      </c>
      <c r="K3" s="24"/>
      <c r="N3" s="33"/>
      <c r="O3" s="34"/>
      <c r="P3" s="24"/>
      <c r="S3" s="24"/>
      <c r="T3" s="24"/>
    </row>
    <row r="4" spans="1:20" s="25" customFormat="1" ht="22.25" customHeight="1">
      <c r="A4" s="36"/>
      <c r="B4" s="40" t="s">
        <v>130</v>
      </c>
      <c r="C4" s="24"/>
      <c r="D4" s="23"/>
      <c r="E4" s="23">
        <v>2</v>
      </c>
      <c r="F4" s="26">
        <f>(12.25*8)-(8*1)</f>
        <v>90</v>
      </c>
      <c r="G4" s="26"/>
      <c r="H4" s="26">
        <f t="shared" ref="H4:H10" si="0">11.25-1.17</f>
        <v>10.08</v>
      </c>
      <c r="I4" s="26"/>
      <c r="J4" s="27">
        <f t="shared" ref="J4:J11" si="1">H4*F4*E4</f>
        <v>1814.4</v>
      </c>
      <c r="K4" s="24">
        <f>48-(5*1.17)</f>
        <v>42.15</v>
      </c>
      <c r="L4" s="25">
        <f>2*42.15*9</f>
        <v>758.69999999999993</v>
      </c>
      <c r="M4" s="25">
        <f>L4-292.68</f>
        <v>466.01999999999992</v>
      </c>
      <c r="N4" s="33"/>
      <c r="O4" s="34"/>
      <c r="P4" s="24"/>
      <c r="S4" s="24"/>
      <c r="T4" s="24"/>
    </row>
    <row r="5" spans="1:20" s="25" customFormat="1" ht="22.25" customHeight="1">
      <c r="A5" s="36"/>
      <c r="B5" s="40" t="s">
        <v>131</v>
      </c>
      <c r="C5" s="24"/>
      <c r="D5" s="23">
        <v>2</v>
      </c>
      <c r="E5" s="23">
        <v>4</v>
      </c>
      <c r="F5" s="26">
        <f>12.25-(4*1)</f>
        <v>8.25</v>
      </c>
      <c r="G5" s="26"/>
      <c r="H5" s="26">
        <f t="shared" si="0"/>
        <v>10.08</v>
      </c>
      <c r="I5" s="26"/>
      <c r="J5" s="27">
        <f>H5*F5*E5*D5</f>
        <v>665.28</v>
      </c>
      <c r="K5" s="24"/>
      <c r="L5" s="25">
        <f>4*42.15*9</f>
        <v>1517.3999999999999</v>
      </c>
      <c r="M5" s="25">
        <f>L5-355.04-104.93</f>
        <v>1057.4299999999998</v>
      </c>
      <c r="N5" s="33"/>
      <c r="O5" s="34"/>
      <c r="P5" s="24"/>
      <c r="S5" s="24"/>
      <c r="T5" s="24"/>
    </row>
    <row r="6" spans="1:20" s="25" customFormat="1" ht="22.25" customHeight="1">
      <c r="A6" s="36"/>
      <c r="B6" s="132" t="s">
        <v>132</v>
      </c>
      <c r="C6" s="24"/>
      <c r="D6" s="23"/>
      <c r="E6" s="23">
        <v>4</v>
      </c>
      <c r="F6" s="26">
        <f>12.25</f>
        <v>12.25</v>
      </c>
      <c r="G6" s="26"/>
      <c r="H6" s="26">
        <f t="shared" si="0"/>
        <v>10.08</v>
      </c>
      <c r="I6" s="26"/>
      <c r="J6" s="27">
        <f t="shared" si="1"/>
        <v>493.92</v>
      </c>
      <c r="K6" s="24">
        <f>48-(4*1.17)-7</f>
        <v>36.32</v>
      </c>
      <c r="L6" s="25">
        <f>K6*4*9</f>
        <v>1307.52</v>
      </c>
      <c r="M6" s="25">
        <f>L6-104.93</f>
        <v>1202.5899999999999</v>
      </c>
      <c r="N6" s="33"/>
      <c r="O6" s="34"/>
      <c r="P6" s="24"/>
      <c r="S6" s="24"/>
      <c r="T6" s="24"/>
    </row>
    <row r="7" spans="1:20" s="25" customFormat="1" ht="22.25" customHeight="1">
      <c r="A7" s="36"/>
      <c r="B7" s="132"/>
      <c r="C7" s="24"/>
      <c r="D7" s="23"/>
      <c r="E7" s="23">
        <v>4</v>
      </c>
      <c r="F7" s="26">
        <v>6</v>
      </c>
      <c r="G7" s="26"/>
      <c r="H7" s="26">
        <f t="shared" si="0"/>
        <v>10.08</v>
      </c>
      <c r="I7" s="26"/>
      <c r="J7" s="27">
        <f t="shared" si="1"/>
        <v>241.92000000000002</v>
      </c>
      <c r="K7" s="24">
        <f>48-(5*1.17)</f>
        <v>42.15</v>
      </c>
      <c r="L7" s="25">
        <f>K7*9</f>
        <v>379.34999999999997</v>
      </c>
      <c r="N7" s="33"/>
      <c r="O7" s="34"/>
      <c r="P7" s="24"/>
      <c r="S7" s="24"/>
      <c r="T7" s="24"/>
    </row>
    <row r="8" spans="1:20" s="25" customFormat="1" ht="22.25" customHeight="1">
      <c r="A8" s="36"/>
      <c r="B8" s="40" t="s">
        <v>135</v>
      </c>
      <c r="C8" s="24"/>
      <c r="D8" s="23"/>
      <c r="E8" s="23">
        <v>2</v>
      </c>
      <c r="F8" s="26">
        <v>8.5</v>
      </c>
      <c r="G8" s="26"/>
      <c r="H8" s="26">
        <f t="shared" si="0"/>
        <v>10.08</v>
      </c>
      <c r="I8" s="26"/>
      <c r="J8" s="27">
        <f t="shared" si="1"/>
        <v>171.36</v>
      </c>
      <c r="K8" s="24">
        <f>115-(8.5*2)-(8*1.17)</f>
        <v>88.64</v>
      </c>
      <c r="L8" s="25">
        <f>K8*2*9</f>
        <v>1595.52</v>
      </c>
      <c r="M8" s="25">
        <f>L8-292.68-198.59-157.68</f>
        <v>946.56999999999994</v>
      </c>
      <c r="N8" s="33"/>
      <c r="O8" s="34"/>
      <c r="P8" s="24"/>
      <c r="S8" s="24"/>
      <c r="T8" s="24"/>
    </row>
    <row r="9" spans="1:20" s="25" customFormat="1" ht="22.25" customHeight="1">
      <c r="A9" s="36"/>
      <c r="B9" s="40" t="s">
        <v>133</v>
      </c>
      <c r="C9" s="24"/>
      <c r="D9" s="23"/>
      <c r="E9" s="23">
        <v>4</v>
      </c>
      <c r="F9" s="26">
        <f>6+6.25+6.25</f>
        <v>18.5</v>
      </c>
      <c r="G9" s="26"/>
      <c r="H9" s="26">
        <f t="shared" si="0"/>
        <v>10.08</v>
      </c>
      <c r="I9" s="26"/>
      <c r="J9" s="27">
        <f t="shared" si="1"/>
        <v>745.92</v>
      </c>
      <c r="K9" s="24">
        <f>(12.25-1.17)*4</f>
        <v>44.32</v>
      </c>
      <c r="L9" s="25">
        <f>K9*2*9</f>
        <v>797.76</v>
      </c>
      <c r="N9" s="33"/>
      <c r="O9" s="34"/>
      <c r="P9" s="24"/>
      <c r="S9" s="24"/>
      <c r="T9" s="24"/>
    </row>
    <row r="10" spans="1:20" s="25" customFormat="1" ht="22.25" customHeight="1">
      <c r="A10" s="36"/>
      <c r="B10" s="40" t="s">
        <v>117</v>
      </c>
      <c r="C10" s="24"/>
      <c r="D10" s="23"/>
      <c r="E10" s="23">
        <v>8</v>
      </c>
      <c r="F10" s="26">
        <f>4+8+8</f>
        <v>20</v>
      </c>
      <c r="G10" s="26"/>
      <c r="H10" s="26">
        <f t="shared" si="0"/>
        <v>10.08</v>
      </c>
      <c r="I10" s="26"/>
      <c r="J10" s="27">
        <f t="shared" si="1"/>
        <v>1612.8</v>
      </c>
      <c r="K10" s="24">
        <f>(12.25*4+24)-(6*4.5/12)</f>
        <v>70.75</v>
      </c>
      <c r="L10" s="25">
        <f>K10*9</f>
        <v>636.75</v>
      </c>
      <c r="N10" s="33"/>
      <c r="O10" s="34"/>
      <c r="P10" s="24"/>
      <c r="S10" s="24"/>
      <c r="T10" s="24"/>
    </row>
    <row r="11" spans="1:20" s="25" customFormat="1" ht="22.25" customHeight="1">
      <c r="A11" s="36"/>
      <c r="B11" s="40" t="s">
        <v>119</v>
      </c>
      <c r="C11" s="24"/>
      <c r="D11" s="23"/>
      <c r="E11" s="23">
        <v>8</v>
      </c>
      <c r="F11" s="26">
        <f>3+3</f>
        <v>6</v>
      </c>
      <c r="G11" s="26"/>
      <c r="H11" s="26">
        <v>3</v>
      </c>
      <c r="I11" s="26"/>
      <c r="J11" s="27">
        <f t="shared" si="1"/>
        <v>144</v>
      </c>
      <c r="K11" s="24"/>
      <c r="N11" s="33"/>
      <c r="O11" s="34"/>
      <c r="P11" s="24"/>
      <c r="S11" s="24"/>
      <c r="T11" s="24"/>
    </row>
    <row r="12" spans="1:20" s="25" customFormat="1" ht="22.25" customHeight="1">
      <c r="A12" s="36"/>
      <c r="B12" s="41" t="s">
        <v>43</v>
      </c>
      <c r="C12" s="24"/>
      <c r="D12" s="23"/>
      <c r="E12" s="23"/>
      <c r="F12" s="89"/>
      <c r="G12" s="26"/>
      <c r="H12" s="26"/>
      <c r="I12" s="26"/>
      <c r="J12" s="27"/>
      <c r="K12" s="24"/>
      <c r="N12" s="33"/>
      <c r="O12" s="34"/>
      <c r="P12" s="24"/>
      <c r="S12" s="24"/>
      <c r="T12" s="24"/>
    </row>
    <row r="13" spans="1:20" s="25" customFormat="1" ht="22.25" customHeight="1">
      <c r="A13" s="36"/>
      <c r="B13" s="40" t="s">
        <v>127</v>
      </c>
      <c r="C13" s="24">
        <v>-1</v>
      </c>
      <c r="D13" s="23">
        <v>4</v>
      </c>
      <c r="E13" s="23">
        <v>8</v>
      </c>
      <c r="F13" s="26">
        <v>6.75</v>
      </c>
      <c r="G13" s="26"/>
      <c r="H13" s="26">
        <v>2.75</v>
      </c>
      <c r="I13" s="26"/>
      <c r="J13" s="27">
        <f>H13*F13*E13*D13*C13</f>
        <v>-594</v>
      </c>
      <c r="K13" s="24"/>
      <c r="N13" s="33"/>
      <c r="O13" s="34"/>
      <c r="P13" s="24"/>
      <c r="S13" s="24"/>
      <c r="T13" s="24"/>
    </row>
    <row r="14" spans="1:20" s="25" customFormat="1" ht="22.25" customHeight="1">
      <c r="A14" s="36"/>
      <c r="B14" s="40" t="s">
        <v>136</v>
      </c>
      <c r="C14" s="24">
        <v>-1</v>
      </c>
      <c r="D14" s="23">
        <v>1</v>
      </c>
      <c r="E14" s="23">
        <v>8</v>
      </c>
      <c r="F14" s="26">
        <v>6.5</v>
      </c>
      <c r="G14" s="26"/>
      <c r="H14" s="26">
        <v>2.5</v>
      </c>
      <c r="I14" s="26"/>
      <c r="J14" s="27">
        <f>H14*F14*E14*D14*C14</f>
        <v>-130</v>
      </c>
      <c r="K14" s="24"/>
      <c r="N14" s="33"/>
      <c r="O14" s="34"/>
      <c r="P14" s="24"/>
      <c r="S14" s="24"/>
      <c r="T14" s="24"/>
    </row>
    <row r="15" spans="1:20" s="25" customFormat="1" ht="22.25" customHeight="1">
      <c r="A15" s="36"/>
      <c r="B15" s="40" t="s">
        <v>137</v>
      </c>
      <c r="C15" s="24"/>
      <c r="D15" s="23">
        <v>-1</v>
      </c>
      <c r="E15" s="23">
        <v>8</v>
      </c>
      <c r="F15" s="26">
        <v>5</v>
      </c>
      <c r="G15" s="26"/>
      <c r="H15" s="26">
        <v>2</v>
      </c>
      <c r="I15" s="26"/>
      <c r="J15" s="27">
        <f>H15*F15*E15*D15</f>
        <v>-80</v>
      </c>
      <c r="K15" s="24"/>
      <c r="N15" s="33"/>
      <c r="O15" s="34"/>
      <c r="P15" s="24"/>
      <c r="S15" s="24"/>
      <c r="T15" s="24"/>
    </row>
    <row r="16" spans="1:20" s="25" customFormat="1" ht="22.25" customHeight="1">
      <c r="A16" s="36"/>
      <c r="B16" s="40" t="s">
        <v>138</v>
      </c>
      <c r="C16" s="24"/>
      <c r="D16" s="23">
        <v>-1</v>
      </c>
      <c r="E16" s="23">
        <v>8</v>
      </c>
      <c r="F16" s="26">
        <v>4</v>
      </c>
      <c r="G16" s="26"/>
      <c r="H16" s="26">
        <v>5</v>
      </c>
      <c r="I16" s="26"/>
      <c r="J16" s="27">
        <f>H16*F16*E16*D16</f>
        <v>-160</v>
      </c>
      <c r="K16" s="24"/>
      <c r="N16" s="33"/>
      <c r="O16" s="34"/>
      <c r="P16" s="24"/>
      <c r="S16" s="24"/>
      <c r="T16" s="24"/>
    </row>
    <row r="17" spans="1:20" s="25" customFormat="1" ht="22.25" customHeight="1">
      <c r="A17" s="36"/>
      <c r="B17" s="40" t="s">
        <v>139</v>
      </c>
      <c r="C17" s="24"/>
      <c r="D17" s="23">
        <v>-1</v>
      </c>
      <c r="E17" s="23">
        <v>16</v>
      </c>
      <c r="F17" s="26">
        <v>6</v>
      </c>
      <c r="G17" s="26"/>
      <c r="H17" s="26">
        <v>5</v>
      </c>
      <c r="I17" s="26"/>
      <c r="J17" s="27">
        <f>H17*F17*E17*D17</f>
        <v>-480</v>
      </c>
      <c r="K17" s="24"/>
      <c r="N17" s="33"/>
      <c r="O17" s="34"/>
      <c r="P17" s="24"/>
      <c r="S17" s="24"/>
      <c r="T17" s="24"/>
    </row>
    <row r="18" spans="1:20" s="25" customFormat="1" ht="22.25" customHeight="1">
      <c r="A18" s="36"/>
      <c r="B18" s="40" t="s">
        <v>140</v>
      </c>
      <c r="C18" s="24"/>
      <c r="D18" s="23">
        <v>-1</v>
      </c>
      <c r="E18" s="23">
        <v>8</v>
      </c>
      <c r="F18" s="26">
        <v>2</v>
      </c>
      <c r="G18" s="26"/>
      <c r="H18" s="26">
        <v>5</v>
      </c>
      <c r="I18" s="26"/>
      <c r="J18" s="27">
        <f>H18*F18*E18*D18</f>
        <v>-80</v>
      </c>
      <c r="K18" s="24"/>
      <c r="N18" s="33"/>
      <c r="O18" s="34"/>
      <c r="P18" s="24"/>
      <c r="S18" s="24"/>
      <c r="T18" s="24"/>
    </row>
    <row r="19" spans="1:20" s="25" customFormat="1" ht="22.25" customHeight="1">
      <c r="A19" s="36"/>
      <c r="B19" s="40"/>
      <c r="C19" s="24"/>
      <c r="D19" s="23"/>
      <c r="E19" s="23"/>
      <c r="F19" s="26"/>
      <c r="G19" s="26"/>
      <c r="H19" s="26"/>
      <c r="I19" s="26"/>
      <c r="J19" s="27">
        <f>SUM(J3:J18)</f>
        <v>9133.4399999999987</v>
      </c>
      <c r="K19" s="24"/>
      <c r="N19" s="33"/>
      <c r="O19" s="34"/>
      <c r="P19" s="24"/>
      <c r="S19" s="24"/>
      <c r="T19" s="24"/>
    </row>
    <row r="20" spans="1:20" s="25" customFormat="1" ht="22.25" customHeight="1">
      <c r="A20" s="36"/>
      <c r="B20" s="40"/>
      <c r="C20" s="24"/>
      <c r="D20" s="23"/>
      <c r="E20" s="23"/>
      <c r="F20" s="26"/>
      <c r="G20" s="26"/>
      <c r="H20" s="26"/>
      <c r="I20" s="26"/>
      <c r="J20" s="27"/>
      <c r="K20" s="24"/>
      <c r="N20" s="33"/>
      <c r="O20" s="34"/>
      <c r="P20" s="24"/>
      <c r="S20" s="24"/>
      <c r="T20" s="24"/>
    </row>
    <row r="21" spans="1:20" s="25" customFormat="1" ht="22.25" customHeight="1">
      <c r="A21" s="36"/>
      <c r="B21" s="41" t="s">
        <v>113</v>
      </c>
      <c r="C21" s="24"/>
      <c r="D21" s="23"/>
      <c r="E21" s="23"/>
      <c r="F21" s="89"/>
      <c r="G21" s="26"/>
      <c r="H21" s="26"/>
      <c r="I21" s="26"/>
      <c r="J21" s="27"/>
      <c r="K21" s="24"/>
      <c r="N21" s="33"/>
      <c r="O21" s="34"/>
      <c r="P21" s="24"/>
      <c r="S21" s="24"/>
      <c r="T21" s="24"/>
    </row>
    <row r="22" spans="1:20" s="25" customFormat="1" ht="22.25" customHeight="1">
      <c r="A22" s="36"/>
      <c r="B22" s="40" t="s">
        <v>129</v>
      </c>
      <c r="C22" s="24"/>
      <c r="D22" s="23">
        <v>4</v>
      </c>
      <c r="E22" s="23">
        <v>11</v>
      </c>
      <c r="F22" s="26">
        <f>48-5*1</f>
        <v>43</v>
      </c>
      <c r="G22" s="26"/>
      <c r="H22" s="26">
        <f>10-1</f>
        <v>9</v>
      </c>
      <c r="I22" s="26"/>
      <c r="J22" s="27">
        <f>H22*F22*E22*D22</f>
        <v>17028</v>
      </c>
      <c r="K22" s="24"/>
      <c r="L22" s="25">
        <f>91.33+320.28</f>
        <v>411.60999999999996</v>
      </c>
      <c r="N22" s="33"/>
      <c r="O22" s="34"/>
      <c r="P22" s="24"/>
      <c r="S22" s="24"/>
      <c r="T22" s="24"/>
    </row>
    <row r="23" spans="1:20" s="25" customFormat="1" ht="22.25" customHeight="1">
      <c r="A23" s="36"/>
      <c r="B23" s="40" t="s">
        <v>130</v>
      </c>
      <c r="C23" s="24"/>
      <c r="D23" s="23">
        <v>4</v>
      </c>
      <c r="E23" s="23">
        <v>2</v>
      </c>
      <c r="F23" s="26">
        <f>(12.25*8)-(8*1)</f>
        <v>90</v>
      </c>
      <c r="G23" s="26"/>
      <c r="H23" s="26">
        <f t="shared" ref="H23:H29" si="2">10-1</f>
        <v>9</v>
      </c>
      <c r="I23" s="26"/>
      <c r="J23" s="27">
        <f>H23*F23*E23*D23</f>
        <v>6480</v>
      </c>
      <c r="K23" s="24"/>
      <c r="N23" s="33"/>
      <c r="O23" s="34"/>
      <c r="P23" s="24"/>
      <c r="S23" s="24"/>
      <c r="T23" s="24"/>
    </row>
    <row r="24" spans="1:20" s="25" customFormat="1" ht="22.25" customHeight="1">
      <c r="A24" s="36"/>
      <c r="B24" s="40" t="s">
        <v>131</v>
      </c>
      <c r="C24" s="24">
        <v>4</v>
      </c>
      <c r="D24" s="23">
        <v>2</v>
      </c>
      <c r="E24" s="23">
        <v>4</v>
      </c>
      <c r="F24" s="26">
        <f>12.25-(4*1)</f>
        <v>8.25</v>
      </c>
      <c r="G24" s="26"/>
      <c r="H24" s="26">
        <f t="shared" si="2"/>
        <v>9</v>
      </c>
      <c r="I24" s="26"/>
      <c r="J24" s="27">
        <f>H24*F24*E24*D24*C24</f>
        <v>2376</v>
      </c>
      <c r="K24" s="24"/>
      <c r="N24" s="33"/>
      <c r="O24" s="34"/>
      <c r="P24" s="24"/>
      <c r="S24" s="24"/>
      <c r="T24" s="24"/>
    </row>
    <row r="25" spans="1:20" s="25" customFormat="1" ht="22.25" customHeight="1">
      <c r="A25" s="36"/>
      <c r="B25" s="132" t="s">
        <v>132</v>
      </c>
      <c r="C25" s="24"/>
      <c r="D25" s="23">
        <v>4</v>
      </c>
      <c r="E25" s="23">
        <v>4</v>
      </c>
      <c r="F25" s="26">
        <f>12.25</f>
        <v>12.25</v>
      </c>
      <c r="G25" s="26"/>
      <c r="H25" s="26">
        <f t="shared" si="2"/>
        <v>9</v>
      </c>
      <c r="I25" s="26"/>
      <c r="J25" s="27">
        <f t="shared" ref="J25:J30" si="3">H25*F25*E25*D25</f>
        <v>1764</v>
      </c>
      <c r="K25" s="24"/>
      <c r="N25" s="33"/>
      <c r="O25" s="34"/>
      <c r="P25" s="24"/>
      <c r="S25" s="24"/>
      <c r="T25" s="24"/>
    </row>
    <row r="26" spans="1:20" s="25" customFormat="1" ht="22.25" customHeight="1">
      <c r="A26" s="36"/>
      <c r="B26" s="132"/>
      <c r="C26" s="24"/>
      <c r="D26" s="23">
        <v>4</v>
      </c>
      <c r="E26" s="23">
        <v>4</v>
      </c>
      <c r="F26" s="26">
        <v>6</v>
      </c>
      <c r="G26" s="26"/>
      <c r="H26" s="26">
        <f t="shared" si="2"/>
        <v>9</v>
      </c>
      <c r="I26" s="26"/>
      <c r="J26" s="27">
        <f t="shared" si="3"/>
        <v>864</v>
      </c>
      <c r="K26" s="24"/>
      <c r="N26" s="33"/>
      <c r="O26" s="34"/>
      <c r="P26" s="24"/>
      <c r="S26" s="24"/>
      <c r="T26" s="24"/>
    </row>
    <row r="27" spans="1:20" s="25" customFormat="1" ht="22.25" customHeight="1">
      <c r="A27" s="36"/>
      <c r="B27" s="40" t="s">
        <v>135</v>
      </c>
      <c r="C27" s="24"/>
      <c r="D27" s="23">
        <v>4</v>
      </c>
      <c r="E27" s="23">
        <v>2</v>
      </c>
      <c r="F27" s="26">
        <v>8.5</v>
      </c>
      <c r="G27" s="26"/>
      <c r="H27" s="26">
        <f t="shared" si="2"/>
        <v>9</v>
      </c>
      <c r="I27" s="26"/>
      <c r="J27" s="27">
        <f t="shared" si="3"/>
        <v>612</v>
      </c>
      <c r="K27" s="24"/>
      <c r="N27" s="33"/>
      <c r="O27" s="34"/>
      <c r="P27" s="24"/>
      <c r="S27" s="24"/>
      <c r="T27" s="24"/>
    </row>
    <row r="28" spans="1:20" s="25" customFormat="1" ht="22.25" customHeight="1">
      <c r="A28" s="36"/>
      <c r="B28" s="40" t="s">
        <v>133</v>
      </c>
      <c r="C28" s="24"/>
      <c r="D28" s="23">
        <v>4</v>
      </c>
      <c r="E28" s="23">
        <v>4</v>
      </c>
      <c r="F28" s="26">
        <f>6+6.25+6.25</f>
        <v>18.5</v>
      </c>
      <c r="G28" s="26"/>
      <c r="H28" s="26">
        <f t="shared" si="2"/>
        <v>9</v>
      </c>
      <c r="I28" s="26"/>
      <c r="J28" s="27">
        <f t="shared" si="3"/>
        <v>2664</v>
      </c>
      <c r="K28" s="24"/>
      <c r="N28" s="33"/>
      <c r="O28" s="34"/>
      <c r="P28" s="24"/>
      <c r="S28" s="24"/>
      <c r="T28" s="24"/>
    </row>
    <row r="29" spans="1:20" s="25" customFormat="1" ht="22.25" customHeight="1">
      <c r="A29" s="36"/>
      <c r="B29" s="40" t="s">
        <v>117</v>
      </c>
      <c r="C29" s="24"/>
      <c r="D29" s="23">
        <v>4</v>
      </c>
      <c r="E29" s="23">
        <v>8</v>
      </c>
      <c r="F29" s="26">
        <f>4+8+8</f>
        <v>20</v>
      </c>
      <c r="G29" s="26"/>
      <c r="H29" s="26">
        <f t="shared" si="2"/>
        <v>9</v>
      </c>
      <c r="I29" s="26"/>
      <c r="J29" s="27">
        <f t="shared" si="3"/>
        <v>5760</v>
      </c>
      <c r="K29" s="24"/>
      <c r="N29" s="33"/>
      <c r="O29" s="34"/>
      <c r="P29" s="24"/>
      <c r="S29" s="24"/>
      <c r="T29" s="24"/>
    </row>
    <row r="30" spans="1:20" s="25" customFormat="1" ht="22.25" customHeight="1">
      <c r="A30" s="36"/>
      <c r="B30" s="40" t="s">
        <v>119</v>
      </c>
      <c r="C30" s="24"/>
      <c r="D30" s="23">
        <v>4</v>
      </c>
      <c r="E30" s="23">
        <v>8</v>
      </c>
      <c r="F30" s="26">
        <f>3+3</f>
        <v>6</v>
      </c>
      <c r="G30" s="26"/>
      <c r="H30" s="26">
        <v>3</v>
      </c>
      <c r="I30" s="26"/>
      <c r="J30" s="27">
        <f t="shared" si="3"/>
        <v>576</v>
      </c>
      <c r="K30" s="24"/>
      <c r="N30" s="33"/>
      <c r="O30" s="34"/>
      <c r="P30" s="24"/>
      <c r="S30" s="24"/>
      <c r="T30" s="24"/>
    </row>
    <row r="31" spans="1:20" s="25" customFormat="1" ht="22.25" customHeight="1">
      <c r="A31" s="36"/>
      <c r="B31" s="41" t="s">
        <v>43</v>
      </c>
      <c r="C31" s="24"/>
      <c r="D31" s="23"/>
      <c r="E31" s="23"/>
      <c r="F31" s="89"/>
      <c r="G31" s="26"/>
      <c r="H31" s="26"/>
      <c r="I31" s="26"/>
      <c r="J31" s="27"/>
      <c r="K31" s="24"/>
      <c r="N31" s="33"/>
      <c r="O31" s="34"/>
      <c r="P31" s="24"/>
      <c r="S31" s="24"/>
      <c r="T31" s="24"/>
    </row>
    <row r="32" spans="1:20" s="25" customFormat="1" ht="22.25" customHeight="1">
      <c r="A32" s="36"/>
      <c r="B32" s="40" t="s">
        <v>127</v>
      </c>
      <c r="C32" s="24">
        <v>-4</v>
      </c>
      <c r="D32" s="23">
        <v>4</v>
      </c>
      <c r="E32" s="23">
        <v>8</v>
      </c>
      <c r="F32" s="26">
        <v>6.75</v>
      </c>
      <c r="G32" s="26"/>
      <c r="H32" s="26">
        <v>2.75</v>
      </c>
      <c r="I32" s="26"/>
      <c r="J32" s="27">
        <f>H32*F32*E32*D32*C32</f>
        <v>-2376</v>
      </c>
      <c r="K32" s="24"/>
      <c r="N32" s="33"/>
      <c r="O32" s="34"/>
      <c r="P32" s="24"/>
      <c r="S32" s="24"/>
      <c r="T32" s="24"/>
    </row>
    <row r="33" spans="1:20" s="25" customFormat="1" ht="22.25" customHeight="1">
      <c r="A33" s="36"/>
      <c r="B33" s="40" t="s">
        <v>136</v>
      </c>
      <c r="C33" s="24">
        <v>-4</v>
      </c>
      <c r="D33" s="23">
        <v>1</v>
      </c>
      <c r="E33" s="23">
        <v>8</v>
      </c>
      <c r="F33" s="26">
        <v>6.5</v>
      </c>
      <c r="G33" s="26"/>
      <c r="H33" s="26">
        <v>2.5</v>
      </c>
      <c r="I33" s="26"/>
      <c r="J33" s="27">
        <f>H33*F33*E33*D33*C33</f>
        <v>-520</v>
      </c>
      <c r="K33" s="24"/>
      <c r="N33" s="33">
        <f>2417000/300</f>
        <v>8056.666666666667</v>
      </c>
      <c r="O33" s="34"/>
      <c r="P33" s="24"/>
      <c r="S33" s="24"/>
      <c r="T33" s="24"/>
    </row>
    <row r="34" spans="1:20" s="25" customFormat="1" ht="22.25" customHeight="1">
      <c r="A34" s="36"/>
      <c r="B34" s="40" t="s">
        <v>137</v>
      </c>
      <c r="C34" s="24"/>
      <c r="D34" s="23">
        <v>-4</v>
      </c>
      <c r="E34" s="23">
        <v>8</v>
      </c>
      <c r="F34" s="26">
        <v>5</v>
      </c>
      <c r="G34" s="26"/>
      <c r="H34" s="26">
        <v>2</v>
      </c>
      <c r="I34" s="26"/>
      <c r="J34" s="27">
        <f>H34*F34*E34*D34</f>
        <v>-320</v>
      </c>
      <c r="K34" s="24"/>
      <c r="N34" s="33"/>
      <c r="O34" s="34"/>
      <c r="P34" s="24"/>
      <c r="S34" s="24"/>
      <c r="T34" s="24"/>
    </row>
    <row r="35" spans="1:20" s="25" customFormat="1" ht="22.25" customHeight="1">
      <c r="A35" s="36"/>
      <c r="B35" s="40" t="s">
        <v>138</v>
      </c>
      <c r="C35" s="24"/>
      <c r="D35" s="23">
        <v>-4</v>
      </c>
      <c r="E35" s="23">
        <v>8</v>
      </c>
      <c r="F35" s="26">
        <v>4</v>
      </c>
      <c r="G35" s="26"/>
      <c r="H35" s="26">
        <v>5</v>
      </c>
      <c r="I35" s="26"/>
      <c r="J35" s="27">
        <f>H35*F35*E35*D35</f>
        <v>-640</v>
      </c>
      <c r="K35" s="24"/>
      <c r="N35" s="33"/>
      <c r="O35" s="34"/>
      <c r="P35" s="24"/>
      <c r="S35" s="24"/>
      <c r="T35" s="24"/>
    </row>
    <row r="36" spans="1:20" s="25" customFormat="1" ht="22.25" customHeight="1">
      <c r="A36" s="36"/>
      <c r="B36" s="40" t="s">
        <v>139</v>
      </c>
      <c r="C36" s="24"/>
      <c r="D36" s="23">
        <v>-4</v>
      </c>
      <c r="E36" s="23">
        <v>16</v>
      </c>
      <c r="F36" s="26">
        <v>6</v>
      </c>
      <c r="G36" s="26"/>
      <c r="H36" s="26">
        <v>5</v>
      </c>
      <c r="I36" s="26"/>
      <c r="J36" s="27">
        <f>H36*F36*E36*D36</f>
        <v>-1920</v>
      </c>
      <c r="K36" s="24"/>
      <c r="N36" s="33"/>
      <c r="O36" s="34"/>
      <c r="P36" s="24"/>
      <c r="S36" s="24"/>
      <c r="T36" s="24"/>
    </row>
    <row r="37" spans="1:20" s="25" customFormat="1" ht="22.25" customHeight="1">
      <c r="A37" s="36"/>
      <c r="B37" s="40" t="s">
        <v>140</v>
      </c>
      <c r="C37" s="24"/>
      <c r="D37" s="23">
        <v>-4</v>
      </c>
      <c r="E37" s="23">
        <v>8</v>
      </c>
      <c r="F37" s="26">
        <v>2</v>
      </c>
      <c r="G37" s="26"/>
      <c r="H37" s="26">
        <v>5</v>
      </c>
      <c r="I37" s="26"/>
      <c r="J37" s="27">
        <f>H37*F37*E37*D37</f>
        <v>-320</v>
      </c>
      <c r="K37" s="24"/>
      <c r="N37" s="33"/>
      <c r="O37" s="34"/>
      <c r="P37" s="24"/>
      <c r="S37" s="24"/>
      <c r="T37" s="24"/>
    </row>
    <row r="38" spans="1:20" s="25" customFormat="1" ht="22.25" customHeight="1">
      <c r="A38" s="36"/>
      <c r="B38" s="40"/>
      <c r="C38" s="24"/>
      <c r="D38" s="23"/>
      <c r="E38" s="23"/>
      <c r="F38" s="26"/>
      <c r="G38" s="26"/>
      <c r="H38" s="26"/>
      <c r="I38" s="26"/>
      <c r="J38" s="27">
        <f>SUM(J22:J37)</f>
        <v>32028</v>
      </c>
      <c r="K38" s="24"/>
      <c r="L38" s="30">
        <f>J38+J19</f>
        <v>41161.440000000002</v>
      </c>
      <c r="N38" s="33">
        <f>420*42000</f>
        <v>17640000</v>
      </c>
      <c r="O38" s="34"/>
      <c r="P38" s="24"/>
      <c r="S38" s="24"/>
      <c r="T38" s="24"/>
    </row>
    <row r="39" spans="1:20" s="25" customFormat="1" ht="22.25" customHeight="1">
      <c r="A39" s="36"/>
      <c r="B39" s="40"/>
      <c r="C39" s="24"/>
      <c r="D39" s="23"/>
      <c r="E39" s="23"/>
      <c r="F39" s="26"/>
      <c r="G39" s="26"/>
      <c r="H39" s="26"/>
      <c r="I39" s="26"/>
      <c r="J39" s="27">
        <f>J38/4</f>
        <v>8007</v>
      </c>
      <c r="K39" s="24"/>
      <c r="L39" s="25">
        <f>L38/100</f>
        <v>411.61440000000005</v>
      </c>
      <c r="N39" s="33"/>
      <c r="O39" s="34"/>
      <c r="P39" s="24"/>
      <c r="S39" s="24"/>
      <c r="T39" s="24"/>
    </row>
    <row r="40" spans="1:20" s="25" customFormat="1" ht="22.25" customHeight="1">
      <c r="A40" s="36"/>
      <c r="B40" s="40"/>
      <c r="C40" s="24"/>
      <c r="D40" s="23"/>
      <c r="E40" s="23"/>
      <c r="F40" s="26"/>
      <c r="G40" s="26"/>
      <c r="H40" s="26"/>
      <c r="I40" s="26"/>
      <c r="J40" s="27"/>
      <c r="K40" s="24"/>
      <c r="N40" s="33"/>
      <c r="O40" s="34"/>
      <c r="P40" s="24"/>
      <c r="S40" s="24"/>
      <c r="T40" s="24"/>
    </row>
    <row r="41" spans="1:20" s="25" customFormat="1" ht="22.25" customHeight="1">
      <c r="A41" s="36"/>
      <c r="B41" s="40"/>
      <c r="C41" s="24"/>
      <c r="D41" s="23"/>
      <c r="E41" s="23"/>
      <c r="F41" s="26"/>
      <c r="G41" s="26"/>
      <c r="H41" s="26"/>
      <c r="I41" s="26"/>
      <c r="J41" s="27"/>
      <c r="K41" s="24"/>
      <c r="N41" s="33"/>
      <c r="O41" s="34"/>
      <c r="P41" s="24"/>
      <c r="S41" s="24"/>
      <c r="T41" s="24"/>
    </row>
    <row r="42" spans="1:20" s="25" customFormat="1" ht="22.25" customHeight="1">
      <c r="A42" s="36"/>
      <c r="B42" s="40"/>
      <c r="C42" s="24"/>
      <c r="D42" s="23"/>
      <c r="E42" s="23"/>
      <c r="F42" s="26"/>
      <c r="G42" s="26"/>
      <c r="H42" s="26"/>
      <c r="I42" s="26"/>
      <c r="J42" s="27"/>
      <c r="K42" s="24"/>
      <c r="N42" s="33"/>
      <c r="O42" s="34"/>
      <c r="P42" s="24"/>
      <c r="S42" s="24"/>
      <c r="T42" s="24"/>
    </row>
    <row r="43" spans="1:20" s="25" customFormat="1" ht="22.25" customHeight="1">
      <c r="A43" s="36"/>
      <c r="B43" s="40"/>
      <c r="C43" s="24"/>
      <c r="D43" s="23"/>
      <c r="E43" s="23"/>
      <c r="F43" s="26"/>
      <c r="G43" s="26"/>
      <c r="H43" s="26"/>
      <c r="I43" s="26"/>
      <c r="J43" s="27"/>
      <c r="K43" s="24"/>
      <c r="N43" s="33"/>
      <c r="O43" s="34"/>
      <c r="P43" s="24"/>
      <c r="S43" s="24"/>
      <c r="T43" s="24"/>
    </row>
    <row r="44" spans="1:20" s="25" customFormat="1" ht="22.25" customHeight="1">
      <c r="A44" s="36"/>
      <c r="B44" s="40"/>
      <c r="C44" s="24"/>
      <c r="D44" s="23"/>
      <c r="E44" s="23"/>
      <c r="F44" s="26"/>
      <c r="G44" s="26"/>
      <c r="H44" s="26"/>
      <c r="I44" s="26"/>
      <c r="J44" s="27"/>
      <c r="K44" s="24"/>
      <c r="N44" s="33"/>
      <c r="O44" s="34"/>
      <c r="P44" s="24"/>
      <c r="S44" s="24"/>
      <c r="T44" s="24"/>
    </row>
    <row r="45" spans="1:20" s="25" customFormat="1" ht="22.25" customHeight="1">
      <c r="A45" s="36"/>
      <c r="B45" s="40"/>
      <c r="C45" s="24"/>
      <c r="D45" s="23"/>
      <c r="E45" s="23"/>
      <c r="F45" s="26"/>
      <c r="G45" s="26"/>
      <c r="H45" s="26"/>
      <c r="I45" s="26"/>
      <c r="J45" s="27"/>
      <c r="K45" s="24"/>
      <c r="N45" s="33"/>
      <c r="O45" s="34"/>
      <c r="P45" s="24"/>
      <c r="S45" s="24"/>
      <c r="T45" s="24"/>
    </row>
    <row r="46" spans="1:20" s="25" customFormat="1" ht="22.25" customHeight="1">
      <c r="A46" s="36"/>
      <c r="B46" s="40"/>
      <c r="C46" s="24"/>
      <c r="D46" s="23"/>
      <c r="E46" s="23"/>
      <c r="F46" s="26"/>
      <c r="G46" s="26"/>
      <c r="H46" s="26"/>
      <c r="I46" s="26"/>
      <c r="J46" s="27"/>
      <c r="K46" s="24"/>
      <c r="N46" s="33"/>
      <c r="O46" s="34"/>
      <c r="P46" s="24"/>
      <c r="S46" s="24"/>
      <c r="T46" s="24"/>
    </row>
    <row r="47" spans="1:20" s="25" customFormat="1" ht="22.25" customHeight="1">
      <c r="A47" s="36"/>
      <c r="B47" s="40"/>
      <c r="C47" s="24"/>
      <c r="D47" s="23"/>
      <c r="E47" s="23"/>
      <c r="F47" s="26"/>
      <c r="G47" s="26"/>
      <c r="H47" s="26"/>
      <c r="I47" s="26"/>
      <c r="J47" s="27"/>
      <c r="K47" s="24"/>
      <c r="N47" s="33"/>
      <c r="O47" s="34"/>
      <c r="P47" s="24"/>
      <c r="S47" s="24"/>
      <c r="T47" s="24"/>
    </row>
    <row r="48" spans="1:20" s="25" customFormat="1" ht="22.25" customHeight="1">
      <c r="A48" s="36"/>
      <c r="B48" s="41" t="s">
        <v>134</v>
      </c>
      <c r="C48" s="24"/>
      <c r="D48" s="23"/>
      <c r="E48" s="23"/>
      <c r="F48" s="89"/>
      <c r="G48" s="26"/>
      <c r="H48" s="26"/>
      <c r="I48" s="26"/>
      <c r="J48" s="27"/>
      <c r="K48" s="24"/>
      <c r="N48" s="33"/>
      <c r="O48" s="34"/>
      <c r="P48" s="24"/>
      <c r="S48" s="24"/>
      <c r="T48" s="24"/>
    </row>
    <row r="49" spans="1:20" s="25" customFormat="1" ht="22.25" customHeight="1">
      <c r="A49" s="36"/>
      <c r="B49" s="40" t="s">
        <v>129</v>
      </c>
      <c r="C49" s="24"/>
      <c r="D49" s="23">
        <v>4</v>
      </c>
      <c r="E49" s="23">
        <v>11</v>
      </c>
      <c r="F49" s="26">
        <f>48-5*1</f>
        <v>43</v>
      </c>
      <c r="G49" s="26"/>
      <c r="H49" s="26">
        <f>10-1.17</f>
        <v>8.83</v>
      </c>
      <c r="I49" s="26"/>
      <c r="J49" s="27">
        <f>H49*F49*E49*D49</f>
        <v>16706.36</v>
      </c>
      <c r="K49" s="24"/>
      <c r="N49" s="33"/>
      <c r="O49" s="34"/>
      <c r="P49" s="24"/>
      <c r="S49" s="24"/>
      <c r="T49" s="24"/>
    </row>
    <row r="50" spans="1:20" s="25" customFormat="1" ht="22.25" customHeight="1">
      <c r="A50" s="36"/>
      <c r="B50" s="40" t="s">
        <v>130</v>
      </c>
      <c r="C50" s="24"/>
      <c r="D50" s="23">
        <v>4</v>
      </c>
      <c r="E50" s="23">
        <v>2</v>
      </c>
      <c r="F50" s="26">
        <f>(12.25*8)-(8*1)</f>
        <v>90</v>
      </c>
      <c r="G50" s="26"/>
      <c r="H50" s="26">
        <f t="shared" ref="H50:H55" si="4">10-1.17</f>
        <v>8.83</v>
      </c>
      <c r="I50" s="26"/>
      <c r="J50" s="27">
        <f t="shared" ref="J50:J55" si="5">H50*F50*E50*D50</f>
        <v>6357.6</v>
      </c>
      <c r="K50" s="24"/>
      <c r="N50" s="33"/>
      <c r="O50" s="34"/>
      <c r="P50" s="24"/>
      <c r="S50" s="24"/>
      <c r="T50" s="24"/>
    </row>
    <row r="51" spans="1:20" s="25" customFormat="1" ht="22.25" customHeight="1">
      <c r="A51" s="36"/>
      <c r="B51" s="40" t="s">
        <v>131</v>
      </c>
      <c r="C51" s="24"/>
      <c r="D51" s="23">
        <v>4</v>
      </c>
      <c r="E51" s="23">
        <v>4</v>
      </c>
      <c r="F51" s="26">
        <f>12.25-(4*1)</f>
        <v>8.25</v>
      </c>
      <c r="G51" s="26"/>
      <c r="H51" s="26">
        <f t="shared" si="4"/>
        <v>8.83</v>
      </c>
      <c r="I51" s="26"/>
      <c r="J51" s="27">
        <f t="shared" si="5"/>
        <v>1165.56</v>
      </c>
      <c r="K51" s="24"/>
      <c r="N51" s="33"/>
      <c r="O51" s="34"/>
      <c r="P51" s="24"/>
      <c r="S51" s="24"/>
      <c r="T51" s="24"/>
    </row>
    <row r="52" spans="1:20" s="25" customFormat="1" ht="22.25" customHeight="1">
      <c r="A52" s="36"/>
      <c r="B52" s="40" t="s">
        <v>132</v>
      </c>
      <c r="C52" s="24"/>
      <c r="D52" s="23">
        <v>4</v>
      </c>
      <c r="E52" s="23">
        <v>4</v>
      </c>
      <c r="F52" s="26">
        <f>12.25-(1*4)</f>
        <v>8.25</v>
      </c>
      <c r="G52" s="26"/>
      <c r="H52" s="26">
        <f t="shared" si="4"/>
        <v>8.83</v>
      </c>
      <c r="I52" s="26"/>
      <c r="J52" s="27">
        <f t="shared" si="5"/>
        <v>1165.56</v>
      </c>
      <c r="K52" s="24"/>
      <c r="N52" s="33"/>
      <c r="O52" s="34"/>
      <c r="P52" s="24"/>
      <c r="S52" s="24"/>
      <c r="T52" s="24"/>
    </row>
    <row r="53" spans="1:20" s="25" customFormat="1" ht="22.25" customHeight="1">
      <c r="A53" s="36"/>
      <c r="B53" s="40" t="s">
        <v>135</v>
      </c>
      <c r="C53" s="24"/>
      <c r="D53" s="23">
        <v>4</v>
      </c>
      <c r="E53" s="23">
        <v>2</v>
      </c>
      <c r="F53" s="26">
        <v>8.5</v>
      </c>
      <c r="G53" s="26"/>
      <c r="H53" s="26">
        <f t="shared" si="4"/>
        <v>8.83</v>
      </c>
      <c r="I53" s="26"/>
      <c r="J53" s="27">
        <f>H53*F53*E53</f>
        <v>150.11000000000001</v>
      </c>
      <c r="K53" s="24"/>
      <c r="N53" s="33"/>
      <c r="O53" s="34"/>
      <c r="P53" s="24"/>
      <c r="S53" s="24"/>
      <c r="T53" s="24"/>
    </row>
    <row r="54" spans="1:20" s="25" customFormat="1" ht="22.25" customHeight="1">
      <c r="A54" s="36"/>
      <c r="B54" s="40" t="s">
        <v>133</v>
      </c>
      <c r="C54" s="24"/>
      <c r="D54" s="23">
        <v>4</v>
      </c>
      <c r="E54" s="23">
        <v>4</v>
      </c>
      <c r="F54" s="26">
        <f>6+6.25+6.25</f>
        <v>18.5</v>
      </c>
      <c r="G54" s="26"/>
      <c r="H54" s="26">
        <f t="shared" si="4"/>
        <v>8.83</v>
      </c>
      <c r="I54" s="26"/>
      <c r="J54" s="27">
        <f t="shared" si="5"/>
        <v>2613.6799999999998</v>
      </c>
      <c r="K54" s="24"/>
      <c r="N54" s="33"/>
      <c r="O54" s="34"/>
      <c r="P54" s="24"/>
      <c r="S54" s="24"/>
      <c r="T54" s="24"/>
    </row>
    <row r="55" spans="1:20" s="25" customFormat="1" ht="22.25" customHeight="1">
      <c r="A55" s="36"/>
      <c r="B55" s="40" t="s">
        <v>117</v>
      </c>
      <c r="C55" s="24"/>
      <c r="D55" s="23">
        <v>4</v>
      </c>
      <c r="E55" s="23">
        <v>8</v>
      </c>
      <c r="F55" s="26">
        <f>4+8+8</f>
        <v>20</v>
      </c>
      <c r="G55" s="26"/>
      <c r="H55" s="26">
        <f t="shared" si="4"/>
        <v>8.83</v>
      </c>
      <c r="I55" s="26"/>
      <c r="J55" s="27">
        <f t="shared" si="5"/>
        <v>5651.2</v>
      </c>
      <c r="K55" s="24"/>
      <c r="N55" s="33"/>
      <c r="O55" s="34"/>
      <c r="P55" s="24"/>
      <c r="S55" s="24"/>
      <c r="T55" s="24"/>
    </row>
    <row r="56" spans="1:20" s="25" customFormat="1" ht="22.25" customHeight="1">
      <c r="A56" s="36"/>
      <c r="B56" s="40" t="s">
        <v>119</v>
      </c>
      <c r="C56" s="24">
        <v>2</v>
      </c>
      <c r="D56" s="23">
        <v>4</v>
      </c>
      <c r="E56" s="23">
        <v>8</v>
      </c>
      <c r="F56" s="26">
        <f>3+2+3</f>
        <v>8</v>
      </c>
      <c r="G56" s="26"/>
      <c r="H56" s="26">
        <v>3</v>
      </c>
      <c r="I56" s="26"/>
      <c r="J56" s="27">
        <f>H56*F56*E56*D56*C56</f>
        <v>1536</v>
      </c>
      <c r="K56" s="24"/>
      <c r="N56" s="33"/>
      <c r="O56" s="34"/>
      <c r="P56" s="24"/>
      <c r="S56" s="24"/>
      <c r="T56" s="24"/>
    </row>
    <row r="57" spans="1:20" s="25" customFormat="1" ht="22.25" customHeight="1">
      <c r="A57" s="36"/>
      <c r="B57" s="103" t="s">
        <v>145</v>
      </c>
      <c r="C57" s="24">
        <v>2</v>
      </c>
      <c r="D57" s="23">
        <v>5</v>
      </c>
      <c r="E57" s="23">
        <v>8</v>
      </c>
      <c r="F57" s="26">
        <v>3</v>
      </c>
      <c r="G57" s="26"/>
      <c r="H57" s="26">
        <v>2.5</v>
      </c>
      <c r="I57" s="26"/>
      <c r="J57" s="27">
        <f>H57*F57*E57*D57*C57</f>
        <v>600</v>
      </c>
      <c r="K57" s="24"/>
      <c r="N57" s="33"/>
      <c r="O57" s="34"/>
      <c r="P57" s="24"/>
      <c r="S57" s="24"/>
      <c r="T57" s="24"/>
    </row>
    <row r="58" spans="1:20" s="25" customFormat="1" ht="22.25" customHeight="1">
      <c r="A58" s="36"/>
      <c r="B58" s="41" t="s">
        <v>43</v>
      </c>
      <c r="C58" s="24"/>
      <c r="D58" s="23"/>
      <c r="E58" s="23"/>
      <c r="F58" s="89"/>
      <c r="G58" s="26"/>
      <c r="H58" s="26"/>
      <c r="I58" s="26"/>
      <c r="J58" s="27"/>
      <c r="K58" s="24"/>
      <c r="N58" s="33"/>
      <c r="O58" s="34"/>
      <c r="P58" s="24"/>
      <c r="S58" s="24"/>
      <c r="T58" s="24"/>
    </row>
    <row r="59" spans="1:20" s="25" customFormat="1" ht="22.25" customHeight="1">
      <c r="A59" s="36"/>
      <c r="B59" s="40" t="s">
        <v>127</v>
      </c>
      <c r="C59" s="24">
        <v>-5</v>
      </c>
      <c r="D59" s="23">
        <v>4</v>
      </c>
      <c r="E59" s="23">
        <v>8</v>
      </c>
      <c r="F59" s="26">
        <v>6.75</v>
      </c>
      <c r="G59" s="26"/>
      <c r="H59" s="26">
        <v>2.75</v>
      </c>
      <c r="I59" s="26"/>
      <c r="J59" s="27">
        <f>H59*F59*E59*D59*C59</f>
        <v>-2970</v>
      </c>
      <c r="K59" s="24"/>
      <c r="N59" s="33"/>
      <c r="O59" s="34"/>
      <c r="P59" s="24"/>
      <c r="S59" s="24"/>
      <c r="T59" s="24"/>
    </row>
    <row r="60" spans="1:20" s="25" customFormat="1" ht="22.25" customHeight="1">
      <c r="A60" s="36"/>
      <c r="B60" s="40" t="s">
        <v>136</v>
      </c>
      <c r="C60" s="24">
        <v>-5</v>
      </c>
      <c r="D60" s="23">
        <v>1</v>
      </c>
      <c r="E60" s="23">
        <v>8</v>
      </c>
      <c r="F60" s="26">
        <v>6.5</v>
      </c>
      <c r="G60" s="26"/>
      <c r="H60" s="26">
        <v>2.5</v>
      </c>
      <c r="I60" s="26"/>
      <c r="J60" s="27">
        <f>H60*F60*E60*D60*C60</f>
        <v>-650</v>
      </c>
      <c r="K60" s="24"/>
      <c r="N60" s="33"/>
      <c r="O60" s="34"/>
      <c r="P60" s="24"/>
      <c r="S60" s="24"/>
      <c r="T60" s="24"/>
    </row>
    <row r="61" spans="1:20" s="25" customFormat="1" ht="22.25" customHeight="1">
      <c r="A61" s="36"/>
      <c r="B61" s="40" t="s">
        <v>137</v>
      </c>
      <c r="C61" s="24"/>
      <c r="D61" s="23">
        <v>-5</v>
      </c>
      <c r="E61" s="23">
        <v>8</v>
      </c>
      <c r="F61" s="26">
        <v>5</v>
      </c>
      <c r="G61" s="26"/>
      <c r="H61" s="26">
        <v>2</v>
      </c>
      <c r="I61" s="26"/>
      <c r="J61" s="27">
        <f>H61*F61*E61*D61</f>
        <v>-400</v>
      </c>
      <c r="K61" s="24"/>
      <c r="N61" s="33"/>
      <c r="O61" s="34"/>
      <c r="P61" s="24"/>
      <c r="S61" s="24"/>
      <c r="T61" s="24"/>
    </row>
    <row r="62" spans="1:20" s="25" customFormat="1" ht="22.25" customHeight="1">
      <c r="A62" s="36"/>
      <c r="B62" s="40" t="s">
        <v>138</v>
      </c>
      <c r="C62" s="24"/>
      <c r="D62" s="23">
        <v>-5</v>
      </c>
      <c r="E62" s="23">
        <v>8</v>
      </c>
      <c r="F62" s="26">
        <v>4</v>
      </c>
      <c r="G62" s="26"/>
      <c r="H62" s="26">
        <v>5</v>
      </c>
      <c r="I62" s="26"/>
      <c r="J62" s="27">
        <f>H62*F62*E62*D62</f>
        <v>-800</v>
      </c>
      <c r="K62" s="24"/>
      <c r="N62" s="33"/>
      <c r="O62" s="34"/>
      <c r="P62" s="24"/>
      <c r="S62" s="24"/>
      <c r="T62" s="24"/>
    </row>
    <row r="63" spans="1:20" s="25" customFormat="1" ht="22.25" customHeight="1">
      <c r="A63" s="36"/>
      <c r="B63" s="40" t="s">
        <v>139</v>
      </c>
      <c r="C63" s="24"/>
      <c r="D63" s="23">
        <v>-5</v>
      </c>
      <c r="E63" s="23">
        <v>16</v>
      </c>
      <c r="F63" s="26">
        <v>6</v>
      </c>
      <c r="G63" s="26"/>
      <c r="H63" s="26">
        <v>5</v>
      </c>
      <c r="I63" s="26"/>
      <c r="J63" s="27">
        <f>H63*F63*E63*D63</f>
        <v>-2400</v>
      </c>
      <c r="K63" s="24"/>
      <c r="N63" s="33"/>
      <c r="O63" s="34"/>
      <c r="P63" s="24"/>
      <c r="S63" s="24"/>
      <c r="T63" s="24"/>
    </row>
    <row r="64" spans="1:20" s="25" customFormat="1" ht="22.25" customHeight="1">
      <c r="A64" s="36"/>
      <c r="B64" s="40" t="s">
        <v>140</v>
      </c>
      <c r="C64" s="24"/>
      <c r="D64" s="23">
        <v>-5</v>
      </c>
      <c r="E64" s="23">
        <v>8</v>
      </c>
      <c r="F64" s="26">
        <v>2</v>
      </c>
      <c r="G64" s="26"/>
      <c r="H64" s="26">
        <v>5</v>
      </c>
      <c r="I64" s="26"/>
      <c r="J64" s="27">
        <f>H64*F64*E64*D64</f>
        <v>-400</v>
      </c>
      <c r="K64" s="24"/>
      <c r="N64" s="33"/>
      <c r="O64" s="34"/>
      <c r="P64" s="24"/>
      <c r="S64" s="24"/>
      <c r="T64" s="24"/>
    </row>
    <row r="65" spans="1:20" s="25" customFormat="1" ht="22.25" customHeight="1">
      <c r="A65" s="35"/>
      <c r="B65" s="88"/>
      <c r="C65" s="23"/>
      <c r="D65" s="23"/>
      <c r="E65" s="23"/>
      <c r="F65" s="26"/>
      <c r="G65" s="26"/>
      <c r="H65" s="26"/>
      <c r="I65" s="26"/>
      <c r="J65" s="42">
        <f>SUM(J2:J64)</f>
        <v>118655.95</v>
      </c>
      <c r="K65" s="35" t="s">
        <v>10</v>
      </c>
      <c r="L65" s="24"/>
      <c r="M65" s="24"/>
      <c r="N65" s="33"/>
      <c r="O65" s="34"/>
      <c r="P65" s="24"/>
      <c r="S65" s="24"/>
      <c r="T65" s="24"/>
    </row>
    <row r="66" spans="1:20" s="25" customFormat="1" ht="22.25" customHeight="1">
      <c r="A66" s="35"/>
      <c r="C66" s="23"/>
      <c r="D66" s="23"/>
      <c r="E66" s="23"/>
      <c r="F66" s="26"/>
      <c r="G66" s="26"/>
      <c r="H66" s="26"/>
      <c r="I66" s="26"/>
      <c r="J66" s="42">
        <f>J65/100</f>
        <v>1186.5595000000001</v>
      </c>
      <c r="K66" s="35" t="s">
        <v>11</v>
      </c>
      <c r="L66" s="24"/>
      <c r="M66" s="24"/>
      <c r="N66" s="33"/>
      <c r="O66" s="34"/>
      <c r="P66" s="24"/>
      <c r="S66" s="24"/>
      <c r="T66" s="24"/>
    </row>
    <row r="71" spans="1:20" s="30" customFormat="1" ht="22.25" customHeight="1">
      <c r="A71" s="35">
        <v>19</v>
      </c>
      <c r="B71" s="38" t="s">
        <v>116</v>
      </c>
      <c r="C71" s="37"/>
      <c r="D71" s="37"/>
      <c r="E71" s="37"/>
      <c r="F71" s="39"/>
      <c r="G71" s="26"/>
      <c r="H71" s="26"/>
      <c r="I71" s="26"/>
      <c r="J71" s="27"/>
      <c r="K71" s="24"/>
      <c r="L71" s="24"/>
      <c r="M71" s="24"/>
      <c r="P71" s="26"/>
      <c r="S71" s="26"/>
      <c r="T71" s="26"/>
    </row>
    <row r="72" spans="1:20" s="30" customFormat="1" ht="22.25" customHeight="1">
      <c r="A72" s="36"/>
      <c r="B72" s="25" t="s">
        <v>141</v>
      </c>
      <c r="C72" s="23"/>
      <c r="D72" s="23">
        <v>5</v>
      </c>
      <c r="E72" s="23">
        <v>8</v>
      </c>
      <c r="F72" s="26">
        <v>12.25</v>
      </c>
      <c r="G72" s="26">
        <v>10.5</v>
      </c>
      <c r="H72" s="26"/>
      <c r="I72" s="26"/>
      <c r="J72" s="27">
        <f>G72*F72*E72*D72</f>
        <v>5145</v>
      </c>
      <c r="K72" s="24"/>
      <c r="L72" s="24"/>
      <c r="M72" s="24"/>
      <c r="P72" s="26"/>
      <c r="S72" s="26"/>
      <c r="T72" s="26"/>
    </row>
    <row r="73" spans="1:20" s="30" customFormat="1" ht="22.25" customHeight="1">
      <c r="A73" s="36"/>
      <c r="B73" s="25"/>
      <c r="C73" s="23"/>
      <c r="D73" s="23">
        <v>5</v>
      </c>
      <c r="E73" s="23">
        <v>8</v>
      </c>
      <c r="F73" s="26">
        <v>12.25</v>
      </c>
      <c r="G73" s="26">
        <v>3</v>
      </c>
      <c r="H73" s="26"/>
      <c r="I73" s="26"/>
      <c r="J73" s="27">
        <f>G73*F73*E73*D73</f>
        <v>1470</v>
      </c>
      <c r="K73" s="24"/>
      <c r="L73" s="24"/>
      <c r="M73" s="24"/>
      <c r="P73" s="26"/>
      <c r="S73" s="26"/>
      <c r="T73" s="26"/>
    </row>
    <row r="74" spans="1:20" s="30" customFormat="1" ht="22.25" customHeight="1">
      <c r="A74" s="36"/>
      <c r="B74" s="25"/>
      <c r="C74" s="23"/>
      <c r="D74" s="23"/>
      <c r="E74" s="23"/>
      <c r="F74" s="26"/>
      <c r="G74" s="26"/>
      <c r="H74" s="26"/>
      <c r="I74" s="26"/>
      <c r="J74" s="42">
        <f>SUM(J72:J73)</f>
        <v>6615</v>
      </c>
      <c r="K74" s="35" t="s">
        <v>45</v>
      </c>
      <c r="L74" s="24"/>
      <c r="M74" s="24"/>
      <c r="P74" s="26"/>
      <c r="S74" s="26"/>
      <c r="T74" s="26"/>
    </row>
    <row r="75" spans="1:20" s="30" customFormat="1" ht="22.25" customHeight="1">
      <c r="A75" s="36"/>
      <c r="B75" s="25"/>
      <c r="C75" s="23"/>
      <c r="D75" s="23"/>
      <c r="E75" s="23"/>
      <c r="F75" s="26"/>
      <c r="G75" s="26"/>
      <c r="H75" s="26"/>
      <c r="I75" s="26"/>
      <c r="J75" s="42">
        <f>J74/100</f>
        <v>66.150000000000006</v>
      </c>
      <c r="K75" s="35" t="s">
        <v>11</v>
      </c>
      <c r="L75" s="24"/>
      <c r="M75" s="24"/>
      <c r="P75" s="26"/>
      <c r="S75" s="26"/>
      <c r="T75" s="26"/>
    </row>
    <row r="76" spans="1:20" s="30" customFormat="1" ht="22.25" customHeight="1">
      <c r="A76" s="36"/>
      <c r="B76" s="25"/>
      <c r="C76" s="23"/>
      <c r="D76" s="23"/>
      <c r="E76" s="23"/>
      <c r="F76" s="26"/>
      <c r="G76" s="26"/>
      <c r="H76" s="26"/>
      <c r="I76" s="26"/>
      <c r="J76" s="27"/>
      <c r="K76" s="24"/>
      <c r="L76" s="24"/>
      <c r="M76" s="24"/>
      <c r="P76" s="26"/>
      <c r="S76" s="26"/>
      <c r="T76" s="26"/>
    </row>
    <row r="77" spans="1:20" s="25" customFormat="1" ht="22.25" customHeight="1">
      <c r="A77" s="35">
        <v>20</v>
      </c>
      <c r="B77" s="38" t="s">
        <v>103</v>
      </c>
      <c r="C77" s="37"/>
      <c r="D77" s="37"/>
      <c r="E77" s="37"/>
      <c r="F77" s="39"/>
      <c r="G77" s="26"/>
      <c r="H77" s="26"/>
      <c r="I77" s="26"/>
      <c r="J77" s="27"/>
      <c r="K77" s="24"/>
      <c r="L77" s="24"/>
      <c r="M77" s="24"/>
      <c r="N77" s="24"/>
      <c r="O77" s="24"/>
      <c r="P77" s="24"/>
      <c r="S77" s="24"/>
      <c r="T77" s="24"/>
    </row>
    <row r="78" spans="1:20" s="30" customFormat="1" ht="22.25" customHeight="1">
      <c r="A78" s="36"/>
      <c r="B78" s="25" t="s">
        <v>118</v>
      </c>
      <c r="C78" s="23"/>
      <c r="D78" s="23">
        <v>5</v>
      </c>
      <c r="E78" s="23">
        <v>8</v>
      </c>
      <c r="F78" s="26">
        <f>8+8+4</f>
        <v>20</v>
      </c>
      <c r="G78" s="26">
        <v>7</v>
      </c>
      <c r="H78" s="26"/>
      <c r="I78" s="26"/>
      <c r="J78" s="27">
        <f>G78*F78*E78*D78</f>
        <v>5600</v>
      </c>
      <c r="K78" s="24"/>
      <c r="L78" s="24"/>
      <c r="M78" s="24"/>
      <c r="P78" s="26"/>
      <c r="S78" s="26"/>
      <c r="T78" s="26"/>
    </row>
    <row r="79" spans="1:20" s="30" customFormat="1" ht="22.25" customHeight="1">
      <c r="A79" s="36"/>
      <c r="B79" s="28" t="s">
        <v>43</v>
      </c>
      <c r="C79" s="23"/>
      <c r="D79" s="23"/>
      <c r="E79" s="23"/>
      <c r="F79" s="26"/>
      <c r="G79" s="26"/>
      <c r="H79" s="26"/>
      <c r="I79" s="26"/>
      <c r="J79" s="27"/>
      <c r="K79" s="24"/>
      <c r="L79" s="24"/>
      <c r="M79" s="24"/>
      <c r="P79" s="26"/>
      <c r="S79" s="26"/>
      <c r="T79" s="26"/>
    </row>
    <row r="80" spans="1:20" s="25" customFormat="1" ht="22.25" customHeight="1">
      <c r="A80" s="36"/>
      <c r="B80" s="40" t="s">
        <v>136</v>
      </c>
      <c r="C80" s="24">
        <v>-5</v>
      </c>
      <c r="D80" s="23">
        <v>1</v>
      </c>
      <c r="E80" s="23">
        <v>8</v>
      </c>
      <c r="F80" s="26">
        <v>6.5</v>
      </c>
      <c r="G80" s="26"/>
      <c r="H80" s="26">
        <v>2.5</v>
      </c>
      <c r="I80" s="26"/>
      <c r="J80" s="27">
        <f>H80*F80*E80*D80*C80</f>
        <v>-650</v>
      </c>
      <c r="K80" s="24"/>
      <c r="N80" s="33"/>
      <c r="O80" s="34"/>
      <c r="P80" s="24"/>
      <c r="S80" s="24"/>
      <c r="T80" s="24"/>
    </row>
    <row r="81" spans="1:20" s="25" customFormat="1" ht="22.25" customHeight="1">
      <c r="A81" s="35"/>
      <c r="C81" s="23"/>
      <c r="D81" s="23"/>
      <c r="E81" s="23"/>
      <c r="F81" s="26"/>
      <c r="G81" s="26"/>
      <c r="H81" s="26"/>
      <c r="I81" s="26"/>
      <c r="J81" s="42">
        <f>SUM(J78:J80)</f>
        <v>4950</v>
      </c>
      <c r="K81" s="35" t="s">
        <v>45</v>
      </c>
      <c r="L81" s="24"/>
      <c r="M81" s="24"/>
      <c r="N81" s="24"/>
      <c r="O81" s="24"/>
      <c r="P81" s="24"/>
      <c r="S81" s="24"/>
      <c r="T81" s="24"/>
    </row>
    <row r="82" spans="1:20" s="25" customFormat="1" ht="22.25" customHeight="1">
      <c r="A82" s="35"/>
      <c r="C82" s="23"/>
      <c r="D82" s="23"/>
      <c r="E82" s="23"/>
      <c r="F82" s="26"/>
      <c r="G82" s="26"/>
      <c r="H82" s="26"/>
      <c r="I82" s="26"/>
      <c r="J82" s="42">
        <f>J81/100</f>
        <v>49.5</v>
      </c>
      <c r="K82" s="35" t="s">
        <v>11</v>
      </c>
      <c r="L82" s="24"/>
      <c r="M82" s="24"/>
      <c r="N82" s="24"/>
      <c r="O82" s="24"/>
      <c r="P82" s="24"/>
      <c r="S82" s="24"/>
      <c r="T82" s="24"/>
    </row>
  </sheetData>
  <pageMargins left="0.7" right="0.7" top="0.75" bottom="0.75" header="0.3" footer="0.3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44F4-088E-4257-9B0E-6D4D9CCB3AC5}">
  <dimension ref="A1:S110"/>
  <sheetViews>
    <sheetView topLeftCell="A2" workbookViewId="0">
      <selection activeCell="J12" sqref="J12"/>
    </sheetView>
  </sheetViews>
  <sheetFormatPr defaultColWidth="9.36328125" defaultRowHeight="20.149999999999999" customHeight="1"/>
  <cols>
    <col min="1" max="1" width="4.6328125" style="59" bestFit="1" customWidth="1"/>
    <col min="2" max="2" width="36.453125" style="51" customWidth="1"/>
    <col min="3" max="3" width="6.36328125" style="59" bestFit="1" customWidth="1"/>
    <col min="4" max="4" width="10.6328125" style="59" bestFit="1" customWidth="1"/>
    <col min="5" max="5" width="14.54296875" style="60" bestFit="1" customWidth="1"/>
    <col min="6" max="6" width="6.36328125" style="59" bestFit="1" customWidth="1"/>
    <col min="7" max="7" width="16.6328125" style="57" bestFit="1" customWidth="1"/>
    <col min="8" max="8" width="16.54296875" style="74" customWidth="1"/>
    <col min="9" max="9" width="16.54296875" style="68" customWidth="1"/>
    <col min="10" max="11" width="18.6328125" style="68" customWidth="1"/>
    <col min="12" max="13" width="16.36328125" style="68" customWidth="1"/>
    <col min="14" max="14" width="14.6328125" style="68" bestFit="1" customWidth="1"/>
    <col min="15" max="15" width="14.54296875" style="68" bestFit="1" customWidth="1"/>
    <col min="16" max="17" width="16.6328125" style="68" bestFit="1" customWidth="1"/>
    <col min="18" max="18" width="12" style="66" bestFit="1" customWidth="1"/>
    <col min="19" max="19" width="16.6328125" style="51" bestFit="1" customWidth="1"/>
    <col min="20" max="16384" width="9.36328125" style="51"/>
  </cols>
  <sheetData>
    <row r="1" spans="1:18" s="49" customFormat="1" ht="20" hidden="1">
      <c r="A1" s="1114" t="s">
        <v>125</v>
      </c>
      <c r="B1" s="1114"/>
      <c r="C1" s="1114"/>
      <c r="D1" s="1114"/>
      <c r="E1" s="1114"/>
      <c r="F1" s="1114"/>
      <c r="G1" s="1114"/>
      <c r="H1" s="18"/>
      <c r="I1" s="18"/>
      <c r="J1" s="18"/>
      <c r="K1" s="18"/>
      <c r="L1" s="18"/>
      <c r="M1" s="18"/>
      <c r="N1" s="19"/>
      <c r="O1" s="19"/>
      <c r="P1" s="20"/>
      <c r="Q1" s="2"/>
      <c r="R1" s="65"/>
    </row>
    <row r="2" spans="1:18" s="49" customFormat="1" ht="31.5" customHeight="1">
      <c r="A2" s="1112" t="str">
        <f>BE!A2:H2</f>
        <v>35'-0"x45'-0"x13'-0" Ht;</v>
      </c>
      <c r="B2" s="1112"/>
      <c r="C2" s="1112"/>
      <c r="D2" s="1112"/>
      <c r="E2" s="1112"/>
      <c r="F2" s="1112"/>
      <c r="G2" s="1112"/>
      <c r="H2" s="99"/>
      <c r="I2" s="99"/>
      <c r="J2" s="99"/>
      <c r="K2" s="99"/>
      <c r="L2" s="99"/>
      <c r="M2" s="99"/>
      <c r="N2" s="19"/>
      <c r="O2" s="19"/>
      <c r="P2" s="20"/>
      <c r="Q2" s="2"/>
      <c r="R2" s="65"/>
    </row>
    <row r="3" spans="1:18" ht="30" customHeight="1">
      <c r="A3" s="1115" t="s">
        <v>95</v>
      </c>
      <c r="B3" s="1115"/>
      <c r="C3" s="1115"/>
      <c r="D3" s="1115"/>
      <c r="E3" s="1115"/>
      <c r="F3" s="1115"/>
      <c r="G3" s="1115"/>
      <c r="H3" s="67"/>
      <c r="I3" s="67"/>
      <c r="J3" s="90"/>
    </row>
    <row r="4" spans="1:18" ht="33" customHeight="1">
      <c r="A4" s="92" t="s">
        <v>3</v>
      </c>
      <c r="B4" s="93" t="s">
        <v>31</v>
      </c>
      <c r="C4" s="94" t="s">
        <v>0</v>
      </c>
      <c r="D4" s="47" t="s">
        <v>32</v>
      </c>
      <c r="E4" s="121" t="s">
        <v>33</v>
      </c>
      <c r="F4" s="94" t="s">
        <v>34</v>
      </c>
      <c r="G4" s="121" t="s">
        <v>35</v>
      </c>
      <c r="I4" s="74"/>
      <c r="J4" s="69"/>
    </row>
    <row r="5" spans="1:18" ht="21.65" customHeight="1">
      <c r="A5" s="53">
        <v>1</v>
      </c>
      <c r="B5" s="54" t="s">
        <v>14</v>
      </c>
      <c r="C5" s="55" t="s">
        <v>15</v>
      </c>
      <c r="D5" s="56" t="e">
        <f>BE!#REF!</f>
        <v>#REF!</v>
      </c>
      <c r="E5" s="107" t="e">
        <f>BE!#REF!</f>
        <v>#REF!</v>
      </c>
      <c r="F5" s="55" t="s">
        <v>15</v>
      </c>
      <c r="G5" s="108" t="e">
        <f t="shared" ref="G5:G21" si="0">D5*E5</f>
        <v>#REF!</v>
      </c>
      <c r="I5" s="74"/>
      <c r="J5" s="70"/>
      <c r="K5" s="71"/>
      <c r="L5" s="71"/>
      <c r="M5" s="71"/>
    </row>
    <row r="6" spans="1:18" ht="21.65" customHeight="1">
      <c r="A6" s="58">
        <v>2</v>
      </c>
      <c r="B6" s="25" t="s">
        <v>41</v>
      </c>
      <c r="C6" s="45" t="s">
        <v>11</v>
      </c>
      <c r="D6" s="44" t="e">
        <f>BE!#REF!</f>
        <v>#REF!</v>
      </c>
      <c r="E6" s="109" t="e">
        <f>BE!#REF!</f>
        <v>#REF!</v>
      </c>
      <c r="F6" s="45" t="s">
        <v>11</v>
      </c>
      <c r="G6" s="110" t="e">
        <f t="shared" si="0"/>
        <v>#REF!</v>
      </c>
      <c r="I6" s="74"/>
      <c r="J6" s="70"/>
      <c r="K6" s="71"/>
      <c r="L6" s="75"/>
      <c r="M6" s="75"/>
    </row>
    <row r="7" spans="1:18" ht="21.65" customHeight="1">
      <c r="A7" s="53">
        <v>3</v>
      </c>
      <c r="B7" s="25" t="s">
        <v>36</v>
      </c>
      <c r="C7" s="45" t="s">
        <v>11</v>
      </c>
      <c r="D7" s="44" t="e">
        <f>BE!#REF!</f>
        <v>#REF!</v>
      </c>
      <c r="E7" s="109" t="e">
        <f>BE!#REF!</f>
        <v>#REF!</v>
      </c>
      <c r="F7" s="45" t="s">
        <v>11</v>
      </c>
      <c r="G7" s="110" t="e">
        <f t="shared" si="0"/>
        <v>#REF!</v>
      </c>
      <c r="I7" s="74"/>
      <c r="J7" s="70"/>
      <c r="K7" s="71"/>
    </row>
    <row r="8" spans="1:18" ht="21.65" customHeight="1">
      <c r="A8" s="53">
        <v>4</v>
      </c>
      <c r="B8" s="25" t="s">
        <v>17</v>
      </c>
      <c r="C8" s="45" t="s">
        <v>9</v>
      </c>
      <c r="D8" s="44" t="e">
        <f>BE!#REF!</f>
        <v>#REF!</v>
      </c>
      <c r="E8" s="109" t="e">
        <f>BE!#REF!</f>
        <v>#REF!</v>
      </c>
      <c r="F8" s="45" t="s">
        <v>9</v>
      </c>
      <c r="G8" s="110" t="e">
        <f t="shared" si="0"/>
        <v>#REF!</v>
      </c>
      <c r="I8" s="74"/>
      <c r="J8" s="73"/>
      <c r="K8" s="71"/>
    </row>
    <row r="9" spans="1:18" ht="21.65" customHeight="1">
      <c r="A9" s="58">
        <v>5</v>
      </c>
      <c r="B9" s="25" t="s">
        <v>18</v>
      </c>
      <c r="C9" s="45" t="s">
        <v>30</v>
      </c>
      <c r="D9" s="44" t="e">
        <f>BE!#REF!</f>
        <v>#REF!</v>
      </c>
      <c r="E9" s="109">
        <f>BE!F30</f>
        <v>69000</v>
      </c>
      <c r="F9" s="45" t="s">
        <v>30</v>
      </c>
      <c r="G9" s="110" t="e">
        <f t="shared" si="0"/>
        <v>#REF!</v>
      </c>
      <c r="I9" s="74"/>
      <c r="J9" s="73"/>
      <c r="K9" s="71"/>
    </row>
    <row r="10" spans="1:18" ht="21.65" customHeight="1">
      <c r="A10" s="53">
        <v>6</v>
      </c>
      <c r="B10" s="25" t="s">
        <v>21</v>
      </c>
      <c r="C10" s="45" t="s">
        <v>25</v>
      </c>
      <c r="D10" s="44" t="e">
        <f>BE!#REF!</f>
        <v>#REF!</v>
      </c>
      <c r="E10" s="109">
        <f>BE!F31</f>
        <v>11600</v>
      </c>
      <c r="F10" s="45" t="s">
        <v>25</v>
      </c>
      <c r="G10" s="110" t="e">
        <f t="shared" si="0"/>
        <v>#REF!</v>
      </c>
      <c r="I10" s="74"/>
      <c r="J10" s="69"/>
      <c r="K10" s="71"/>
    </row>
    <row r="11" spans="1:18" ht="21.65" customHeight="1">
      <c r="A11" s="53">
        <v>7</v>
      </c>
      <c r="B11" s="25" t="s">
        <v>22</v>
      </c>
      <c r="C11" s="45" t="s">
        <v>23</v>
      </c>
      <c r="D11" s="44" t="e">
        <f>BE!#REF!</f>
        <v>#REF!</v>
      </c>
      <c r="E11" s="109" t="e">
        <f>BE!#REF!</f>
        <v>#REF!</v>
      </c>
      <c r="F11" s="45" t="s">
        <v>23</v>
      </c>
      <c r="G11" s="110" t="e">
        <f t="shared" si="0"/>
        <v>#REF!</v>
      </c>
      <c r="I11" s="74"/>
      <c r="J11" s="73"/>
      <c r="K11" s="71"/>
    </row>
    <row r="12" spans="1:18" ht="21.65" customHeight="1">
      <c r="A12" s="58">
        <v>8</v>
      </c>
      <c r="B12" s="25" t="s">
        <v>24</v>
      </c>
      <c r="C12" s="45" t="s">
        <v>3</v>
      </c>
      <c r="D12" s="44" t="e">
        <f>BE!#REF!</f>
        <v>#REF!</v>
      </c>
      <c r="E12" s="109" t="e">
        <f>BE!#REF!</f>
        <v>#REF!</v>
      </c>
      <c r="F12" s="45" t="s">
        <v>3</v>
      </c>
      <c r="G12" s="110" t="e">
        <f t="shared" si="0"/>
        <v>#REF!</v>
      </c>
      <c r="I12" s="74"/>
      <c r="J12" s="73"/>
      <c r="K12" s="71"/>
    </row>
    <row r="13" spans="1:18" ht="21.65" customHeight="1">
      <c r="A13" s="53">
        <v>9</v>
      </c>
      <c r="B13" s="50" t="s">
        <v>59</v>
      </c>
      <c r="C13" s="45" t="s">
        <v>11</v>
      </c>
      <c r="D13" s="44" t="e">
        <f>BE!#REF!</f>
        <v>#REF!</v>
      </c>
      <c r="E13" s="109" t="e">
        <f>BE!#REF!</f>
        <v>#REF!</v>
      </c>
      <c r="F13" s="45" t="s">
        <v>11</v>
      </c>
      <c r="G13" s="110" t="e">
        <f t="shared" si="0"/>
        <v>#REF!</v>
      </c>
      <c r="I13" s="74"/>
      <c r="J13" s="73"/>
      <c r="K13" s="71"/>
    </row>
    <row r="14" spans="1:18" ht="21.65" customHeight="1">
      <c r="A14" s="53">
        <v>10</v>
      </c>
      <c r="B14" s="48" t="s">
        <v>144</v>
      </c>
      <c r="C14" s="45" t="s">
        <v>9</v>
      </c>
      <c r="D14" s="44" t="e">
        <f>BE!#REF!</f>
        <v>#REF!</v>
      </c>
      <c r="E14" s="109" t="e">
        <f>BE!#REF!</f>
        <v>#REF!</v>
      </c>
      <c r="F14" s="45" t="s">
        <v>9</v>
      </c>
      <c r="G14" s="110" t="e">
        <f t="shared" si="0"/>
        <v>#REF!</v>
      </c>
      <c r="H14" s="125"/>
      <c r="I14" s="125"/>
      <c r="J14" s="73"/>
      <c r="K14" s="71"/>
      <c r="L14" s="75"/>
      <c r="M14" s="75"/>
    </row>
    <row r="15" spans="1:18" ht="21.65" customHeight="1">
      <c r="A15" s="53">
        <v>11</v>
      </c>
      <c r="B15" s="48" t="s">
        <v>120</v>
      </c>
      <c r="C15" s="45" t="s">
        <v>9</v>
      </c>
      <c r="D15" s="44" t="e">
        <f>BE!#REF!</f>
        <v>#REF!</v>
      </c>
      <c r="E15" s="109" t="e">
        <f>BE!#REF!</f>
        <v>#REF!</v>
      </c>
      <c r="F15" s="45" t="s">
        <v>9</v>
      </c>
      <c r="G15" s="110" t="e">
        <f>D15*E15</f>
        <v>#REF!</v>
      </c>
      <c r="I15" s="74"/>
      <c r="J15" s="73"/>
      <c r="K15" s="71"/>
      <c r="L15" s="75"/>
      <c r="M15" s="75"/>
    </row>
    <row r="16" spans="1:18" ht="21.65" hidden="1" customHeight="1">
      <c r="A16" s="58">
        <v>11</v>
      </c>
      <c r="B16" s="48" t="s">
        <v>39</v>
      </c>
      <c r="C16" s="45" t="s">
        <v>9</v>
      </c>
      <c r="D16" s="44" t="e">
        <f>BE!#REF!</f>
        <v>#REF!</v>
      </c>
      <c r="E16" s="109" t="e">
        <f>BE!#REF!</f>
        <v>#REF!</v>
      </c>
      <c r="F16" s="45" t="s">
        <v>9</v>
      </c>
      <c r="G16" s="110" t="e">
        <f t="shared" si="0"/>
        <v>#REF!</v>
      </c>
      <c r="I16" s="74"/>
      <c r="J16" s="73"/>
      <c r="K16" s="71"/>
      <c r="L16" s="75"/>
      <c r="M16" s="75"/>
    </row>
    <row r="17" spans="1:13" ht="21.65" customHeight="1">
      <c r="A17" s="53">
        <v>12</v>
      </c>
      <c r="B17" s="48" t="s">
        <v>123</v>
      </c>
      <c r="C17" s="45" t="s">
        <v>9</v>
      </c>
      <c r="D17" s="44" t="e">
        <f>BE!#REF!</f>
        <v>#REF!</v>
      </c>
      <c r="E17" s="109" t="e">
        <f>BE!#REF!</f>
        <v>#REF!</v>
      </c>
      <c r="F17" s="45" t="s">
        <v>9</v>
      </c>
      <c r="G17" s="110" t="e">
        <f>D17*E17</f>
        <v>#REF!</v>
      </c>
      <c r="I17" s="74"/>
      <c r="J17" s="73"/>
      <c r="K17" s="71"/>
      <c r="L17" s="75"/>
      <c r="M17" s="75"/>
    </row>
    <row r="18" spans="1:13" ht="21.65" customHeight="1">
      <c r="A18" s="53">
        <v>13</v>
      </c>
      <c r="B18" s="48" t="s">
        <v>53</v>
      </c>
      <c r="C18" s="45" t="s">
        <v>9</v>
      </c>
      <c r="D18" s="44" t="e">
        <f>BE!#REF!</f>
        <v>#REF!</v>
      </c>
      <c r="E18" s="109" t="e">
        <f>BE!#REF!</f>
        <v>#REF!</v>
      </c>
      <c r="F18" s="45" t="s">
        <v>9</v>
      </c>
      <c r="G18" s="110" t="e">
        <f t="shared" si="0"/>
        <v>#REF!</v>
      </c>
      <c r="I18" s="74"/>
      <c r="J18" s="73"/>
      <c r="K18" s="71"/>
      <c r="L18" s="75"/>
      <c r="M18" s="75"/>
    </row>
    <row r="19" spans="1:13" ht="21.65" customHeight="1">
      <c r="A19" s="58">
        <v>14</v>
      </c>
      <c r="B19" s="48" t="s">
        <v>121</v>
      </c>
      <c r="C19" s="45" t="s">
        <v>9</v>
      </c>
      <c r="D19" s="44" t="e">
        <f>BE!#REF!</f>
        <v>#REF!</v>
      </c>
      <c r="E19" s="109" t="e">
        <f>BE!#REF!</f>
        <v>#REF!</v>
      </c>
      <c r="F19" s="45" t="s">
        <v>9</v>
      </c>
      <c r="G19" s="110" t="e">
        <f>D19*E19</f>
        <v>#REF!</v>
      </c>
      <c r="I19" s="74"/>
      <c r="J19" s="73"/>
      <c r="K19" s="71"/>
      <c r="L19" s="75"/>
      <c r="M19" s="75"/>
    </row>
    <row r="20" spans="1:13" ht="21.65" customHeight="1">
      <c r="A20" s="53">
        <v>15</v>
      </c>
      <c r="B20" s="48" t="s">
        <v>54</v>
      </c>
      <c r="C20" s="45" t="s">
        <v>9</v>
      </c>
      <c r="D20" s="44" t="e">
        <f>BE!#REF!</f>
        <v>#REF!</v>
      </c>
      <c r="E20" s="109" t="e">
        <f>BE!#REF!</f>
        <v>#REF!</v>
      </c>
      <c r="F20" s="45" t="s">
        <v>9</v>
      </c>
      <c r="G20" s="110" t="e">
        <f>D20*E20</f>
        <v>#REF!</v>
      </c>
      <c r="I20" s="74"/>
      <c r="J20" s="73"/>
      <c r="K20" s="71"/>
      <c r="L20" s="75"/>
      <c r="M20" s="75"/>
    </row>
    <row r="21" spans="1:13" ht="21.65" customHeight="1">
      <c r="A21" s="53">
        <v>16</v>
      </c>
      <c r="B21" s="48" t="s">
        <v>20</v>
      </c>
      <c r="C21" s="45" t="s">
        <v>28</v>
      </c>
      <c r="D21" s="44" t="e">
        <f>BE!#REF!</f>
        <v>#REF!</v>
      </c>
      <c r="E21" s="109" t="e">
        <f>BE!#REF!</f>
        <v>#REF!</v>
      </c>
      <c r="F21" s="45" t="s">
        <v>28</v>
      </c>
      <c r="G21" s="110" t="e">
        <f t="shared" si="0"/>
        <v>#REF!</v>
      </c>
      <c r="I21" s="74"/>
      <c r="J21" s="73"/>
      <c r="K21" s="71"/>
    </row>
    <row r="22" spans="1:13" ht="21.65" customHeight="1">
      <c r="A22" s="58">
        <v>17</v>
      </c>
      <c r="B22" s="50" t="s">
        <v>61</v>
      </c>
      <c r="C22" s="44" t="s">
        <v>13</v>
      </c>
      <c r="D22" s="43" t="e">
        <f>BE!#REF!</f>
        <v>#REF!</v>
      </c>
      <c r="E22" s="109" t="e">
        <f>BE!#REF!</f>
        <v>#REF!</v>
      </c>
      <c r="F22" s="44" t="s">
        <v>13</v>
      </c>
      <c r="G22" s="110" t="e">
        <f>D22*E22</f>
        <v>#REF!</v>
      </c>
      <c r="I22" s="74"/>
      <c r="J22" s="73"/>
      <c r="K22" s="71"/>
    </row>
    <row r="23" spans="1:13" ht="21.65" customHeight="1">
      <c r="A23" s="53">
        <v>18</v>
      </c>
      <c r="B23" s="50" t="s">
        <v>152</v>
      </c>
      <c r="C23" s="44" t="s">
        <v>23</v>
      </c>
      <c r="D23" s="43" t="e">
        <f>BE!#REF!</f>
        <v>#REF!</v>
      </c>
      <c r="E23" s="109" t="e">
        <f>BE!#REF!</f>
        <v>#REF!</v>
      </c>
      <c r="F23" s="44" t="s">
        <v>23</v>
      </c>
      <c r="G23" s="110" t="e">
        <f t="shared" ref="G23:G34" si="1">D23*E23</f>
        <v>#REF!</v>
      </c>
      <c r="I23" s="74"/>
      <c r="J23" s="73"/>
      <c r="K23" s="71"/>
    </row>
    <row r="24" spans="1:13" ht="21.65" customHeight="1">
      <c r="A24" s="53">
        <v>19</v>
      </c>
      <c r="B24" s="50" t="s">
        <v>74</v>
      </c>
      <c r="C24" s="44" t="s">
        <v>23</v>
      </c>
      <c r="D24" s="43" t="e">
        <f>BE!#REF!</f>
        <v>#REF!</v>
      </c>
      <c r="E24" s="109" t="e">
        <f>BE!#REF!</f>
        <v>#REF!</v>
      </c>
      <c r="F24" s="44" t="s">
        <v>15</v>
      </c>
      <c r="G24" s="110" t="e">
        <f t="shared" si="1"/>
        <v>#REF!</v>
      </c>
      <c r="I24" s="74"/>
      <c r="J24" s="73"/>
      <c r="K24" s="71"/>
    </row>
    <row r="25" spans="1:13" ht="21.65" customHeight="1">
      <c r="A25" s="58">
        <v>20</v>
      </c>
      <c r="B25" s="25" t="s">
        <v>73</v>
      </c>
      <c r="C25" s="44" t="s">
        <v>154</v>
      </c>
      <c r="D25" s="43" t="e">
        <f>BE!#REF!</f>
        <v>#REF!</v>
      </c>
      <c r="E25" s="109" t="e">
        <f>BE!#REF!</f>
        <v>#REF!</v>
      </c>
      <c r="F25" s="44" t="s">
        <v>3</v>
      </c>
      <c r="G25" s="110" t="e">
        <f t="shared" si="1"/>
        <v>#REF!</v>
      </c>
      <c r="I25" s="128"/>
      <c r="J25" s="129"/>
      <c r="K25" s="71"/>
    </row>
    <row r="26" spans="1:13" ht="21.65" customHeight="1">
      <c r="A26" s="53">
        <v>21</v>
      </c>
      <c r="B26" s="50" t="s">
        <v>72</v>
      </c>
      <c r="C26" s="44" t="s">
        <v>3</v>
      </c>
      <c r="D26" s="43" t="e">
        <f>BE!#REF!</f>
        <v>#REF!</v>
      </c>
      <c r="E26" s="109" t="e">
        <f>BE!#REF!</f>
        <v>#REF!</v>
      </c>
      <c r="F26" s="44" t="s">
        <v>3</v>
      </c>
      <c r="G26" s="110" t="e">
        <f t="shared" si="1"/>
        <v>#REF!</v>
      </c>
      <c r="I26" s="127"/>
      <c r="J26" s="73"/>
      <c r="K26" s="71"/>
    </row>
    <row r="27" spans="1:13" ht="21.65" customHeight="1">
      <c r="A27" s="53">
        <v>22</v>
      </c>
      <c r="B27" s="50" t="s">
        <v>155</v>
      </c>
      <c r="C27" s="44" t="s">
        <v>3</v>
      </c>
      <c r="D27" s="43" t="e">
        <f>BE!#REF!</f>
        <v>#REF!</v>
      </c>
      <c r="E27" s="109" t="e">
        <f>BE!#REF!</f>
        <v>#REF!</v>
      </c>
      <c r="F27" s="44" t="s">
        <v>3</v>
      </c>
      <c r="G27" s="110" t="e">
        <f t="shared" si="1"/>
        <v>#REF!</v>
      </c>
      <c r="I27" s="127"/>
      <c r="J27" s="73"/>
      <c r="K27" s="71"/>
    </row>
    <row r="28" spans="1:13" ht="21.65" customHeight="1">
      <c r="A28" s="53">
        <v>24</v>
      </c>
      <c r="B28" s="50" t="s">
        <v>50</v>
      </c>
      <c r="C28" s="44" t="s">
        <v>3</v>
      </c>
      <c r="D28" s="43" t="e">
        <f>BE!#REF!</f>
        <v>#REF!</v>
      </c>
      <c r="E28" s="109" t="e">
        <f>BE!#REF!</f>
        <v>#REF!</v>
      </c>
      <c r="F28" s="44" t="s">
        <v>3</v>
      </c>
      <c r="G28" s="110" t="e">
        <f t="shared" si="1"/>
        <v>#REF!</v>
      </c>
      <c r="I28" s="127"/>
      <c r="J28" s="73"/>
      <c r="K28" s="71"/>
    </row>
    <row r="29" spans="1:13" ht="21.65" customHeight="1">
      <c r="A29" s="53">
        <v>25</v>
      </c>
      <c r="B29" s="97" t="s">
        <v>51</v>
      </c>
      <c r="C29" s="44" t="s">
        <v>52</v>
      </c>
      <c r="D29" s="43" t="e">
        <f>BE!#REF!</f>
        <v>#REF!</v>
      </c>
      <c r="E29" s="109" t="e">
        <f>BE!#REF!</f>
        <v>#REF!</v>
      </c>
      <c r="F29" s="44" t="s">
        <v>52</v>
      </c>
      <c r="G29" s="110" t="e">
        <f t="shared" si="1"/>
        <v>#REF!</v>
      </c>
      <c r="I29" s="127"/>
      <c r="J29" s="73"/>
      <c r="K29" s="71"/>
    </row>
    <row r="30" spans="1:13" ht="21.65" customHeight="1">
      <c r="A30" s="58">
        <v>26</v>
      </c>
      <c r="B30" s="25" t="s">
        <v>122</v>
      </c>
      <c r="C30" s="24" t="s">
        <v>30</v>
      </c>
      <c r="D30" s="43" t="e">
        <f>BE!#REF!</f>
        <v>#REF!</v>
      </c>
      <c r="E30" s="109" t="e">
        <f>BE!#REF!</f>
        <v>#REF!</v>
      </c>
      <c r="F30" s="24" t="s">
        <v>30</v>
      </c>
      <c r="G30" s="110" t="e">
        <f t="shared" si="1"/>
        <v>#REF!</v>
      </c>
      <c r="I30" s="127"/>
      <c r="J30" s="73"/>
      <c r="K30" s="71"/>
    </row>
    <row r="31" spans="1:13" ht="21.65" customHeight="1">
      <c r="A31" s="53">
        <v>27</v>
      </c>
      <c r="B31" s="54" t="s">
        <v>110</v>
      </c>
      <c r="C31" s="24" t="s">
        <v>30</v>
      </c>
      <c r="D31" s="43" t="e">
        <f>BE!#REF!</f>
        <v>#REF!</v>
      </c>
      <c r="E31" s="109" t="e">
        <f>BE!#REF!</f>
        <v>#REF!</v>
      </c>
      <c r="F31" s="24" t="s">
        <v>30</v>
      </c>
      <c r="G31" s="110" t="e">
        <f t="shared" si="1"/>
        <v>#REF!</v>
      </c>
      <c r="I31" s="127"/>
      <c r="J31" s="73"/>
      <c r="K31" s="71"/>
    </row>
    <row r="32" spans="1:13" ht="21.65" customHeight="1">
      <c r="A32" s="53">
        <v>28</v>
      </c>
      <c r="B32" s="25" t="s">
        <v>83</v>
      </c>
      <c r="C32" s="24" t="s">
        <v>28</v>
      </c>
      <c r="D32" s="43" t="e">
        <f>BE!#REF!+BE!#REF!</f>
        <v>#REF!</v>
      </c>
      <c r="E32" s="109" t="e">
        <f>BE!#REF!</f>
        <v>#REF!</v>
      </c>
      <c r="F32" s="24" t="s">
        <v>28</v>
      </c>
      <c r="G32" s="110" t="e">
        <f t="shared" si="1"/>
        <v>#REF!</v>
      </c>
      <c r="I32" s="127"/>
      <c r="J32" s="73"/>
      <c r="K32" s="71"/>
    </row>
    <row r="33" spans="1:11" ht="21.65" customHeight="1">
      <c r="A33" s="58">
        <v>29</v>
      </c>
      <c r="B33" s="25" t="s">
        <v>84</v>
      </c>
      <c r="C33" s="24" t="s">
        <v>85</v>
      </c>
      <c r="D33" s="43" t="e">
        <f>BE!#REF!+BE!#REF!</f>
        <v>#REF!</v>
      </c>
      <c r="E33" s="109" t="e">
        <f>BE!#REF!</f>
        <v>#REF!</v>
      </c>
      <c r="F33" s="24" t="s">
        <v>85</v>
      </c>
      <c r="G33" s="110" t="e">
        <f t="shared" si="1"/>
        <v>#REF!</v>
      </c>
      <c r="I33" s="127"/>
      <c r="J33" s="73"/>
      <c r="K33" s="71"/>
    </row>
    <row r="34" spans="1:11" ht="21.65" customHeight="1">
      <c r="A34" s="53">
        <v>30</v>
      </c>
      <c r="B34" s="25" t="s">
        <v>86</v>
      </c>
      <c r="C34" s="24" t="s">
        <v>13</v>
      </c>
      <c r="D34" s="43" t="e">
        <f>BE!#REF!+BE!#REF!</f>
        <v>#REF!</v>
      </c>
      <c r="E34" s="109" t="e">
        <f>BE!#REF!</f>
        <v>#REF!</v>
      </c>
      <c r="F34" s="24" t="s">
        <v>13</v>
      </c>
      <c r="G34" s="110" t="e">
        <f t="shared" si="1"/>
        <v>#REF!</v>
      </c>
      <c r="I34" s="127"/>
      <c r="J34" s="73"/>
      <c r="K34" s="71"/>
    </row>
    <row r="35" spans="1:11" ht="21.65" hidden="1" customHeight="1">
      <c r="A35" s="53">
        <v>31</v>
      </c>
      <c r="B35" s="102" t="s">
        <v>109</v>
      </c>
      <c r="C35" s="45" t="s">
        <v>9</v>
      </c>
      <c r="D35" s="44" t="e">
        <f>BE!#REF!</f>
        <v>#REF!</v>
      </c>
      <c r="E35" s="111" t="e">
        <f>BE!#REF!</f>
        <v>#REF!</v>
      </c>
      <c r="F35" s="45" t="s">
        <v>9</v>
      </c>
      <c r="G35" s="110" t="e">
        <f>D35*E35</f>
        <v>#REF!</v>
      </c>
      <c r="I35" s="127"/>
      <c r="J35" s="69"/>
      <c r="K35" s="71"/>
    </row>
    <row r="36" spans="1:11" ht="21.65" customHeight="1">
      <c r="A36" s="53">
        <v>31</v>
      </c>
      <c r="B36" s="102" t="e">
        <f>BE!#REF!</f>
        <v>#REF!</v>
      </c>
      <c r="C36" s="112" t="s">
        <v>46</v>
      </c>
      <c r="D36" s="98" t="e">
        <f>BE!#REF!</f>
        <v>#REF!</v>
      </c>
      <c r="E36" s="113" t="e">
        <f>BE!#REF!</f>
        <v>#REF!</v>
      </c>
      <c r="F36" s="112" t="s">
        <v>46</v>
      </c>
      <c r="G36" s="114" t="e">
        <f>D36*E36</f>
        <v>#REF!</v>
      </c>
      <c r="I36" s="127"/>
      <c r="J36" s="73"/>
      <c r="K36" s="71"/>
    </row>
    <row r="37" spans="1:11" ht="21.65" customHeight="1">
      <c r="A37" s="53">
        <v>32</v>
      </c>
      <c r="B37" s="31" t="s">
        <v>55</v>
      </c>
      <c r="C37" s="45" t="s">
        <v>3</v>
      </c>
      <c r="D37" s="44" t="e">
        <f>BE!#REF!</f>
        <v>#REF!</v>
      </c>
      <c r="E37" s="111" t="e">
        <f>BE!#REF!</f>
        <v>#REF!</v>
      </c>
      <c r="F37" s="45" t="s">
        <v>3</v>
      </c>
      <c r="G37" s="110" t="e">
        <f t="shared" ref="G37:G57" si="2">D37*E37</f>
        <v>#REF!</v>
      </c>
      <c r="I37" s="127"/>
      <c r="J37" s="73"/>
      <c r="K37" s="71"/>
    </row>
    <row r="38" spans="1:11" ht="21.65" customHeight="1">
      <c r="A38" s="53">
        <v>33</v>
      </c>
      <c r="B38" s="96" t="s">
        <v>124</v>
      </c>
      <c r="C38" s="45" t="s">
        <v>23</v>
      </c>
      <c r="D38" s="44" t="e">
        <f>BE!#REF!</f>
        <v>#REF!</v>
      </c>
      <c r="E38" s="111" t="e">
        <f>BE!#REF!</f>
        <v>#REF!</v>
      </c>
      <c r="F38" s="45" t="s">
        <v>23</v>
      </c>
      <c r="G38" s="110" t="e">
        <f t="shared" si="2"/>
        <v>#REF!</v>
      </c>
      <c r="I38" s="70"/>
      <c r="J38" s="73"/>
      <c r="K38" s="71"/>
    </row>
    <row r="39" spans="1:11" ht="21.65" customHeight="1">
      <c r="A39" s="53">
        <v>34</v>
      </c>
      <c r="B39" s="25" t="s">
        <v>126</v>
      </c>
      <c r="C39" s="45" t="s">
        <v>12</v>
      </c>
      <c r="D39" s="43" t="e">
        <f>BE!#REF!</f>
        <v>#REF!</v>
      </c>
      <c r="E39" s="111" t="e">
        <f>BE!#REF!</f>
        <v>#REF!</v>
      </c>
      <c r="F39" s="45" t="s">
        <v>12</v>
      </c>
      <c r="G39" s="110" t="e">
        <f t="shared" si="2"/>
        <v>#REF!</v>
      </c>
      <c r="I39" s="74"/>
      <c r="J39" s="73"/>
      <c r="K39" s="71"/>
    </row>
    <row r="40" spans="1:11" ht="21.65" customHeight="1">
      <c r="A40" s="53">
        <v>35</v>
      </c>
      <c r="B40" s="25" t="s">
        <v>107</v>
      </c>
      <c r="C40" s="45" t="s">
        <v>13</v>
      </c>
      <c r="D40" s="43" t="e">
        <f>BE!#REF!</f>
        <v>#REF!</v>
      </c>
      <c r="E40" s="115" t="e">
        <f>BE!#REF!</f>
        <v>#REF!</v>
      </c>
      <c r="F40" s="45" t="s">
        <v>13</v>
      </c>
      <c r="G40" s="110" t="e">
        <f t="shared" si="2"/>
        <v>#REF!</v>
      </c>
      <c r="I40" s="74"/>
      <c r="J40" s="73"/>
      <c r="K40" s="71"/>
    </row>
    <row r="41" spans="1:11" ht="21.65" customHeight="1">
      <c r="A41" s="53">
        <v>36</v>
      </c>
      <c r="B41" s="48" t="s">
        <v>47</v>
      </c>
      <c r="C41" s="45" t="s">
        <v>3</v>
      </c>
      <c r="D41" s="43" t="e">
        <f>BE!#REF!</f>
        <v>#REF!</v>
      </c>
      <c r="E41" s="111" t="e">
        <f>BE!#REF!</f>
        <v>#REF!</v>
      </c>
      <c r="F41" s="45" t="s">
        <v>3</v>
      </c>
      <c r="G41" s="110" t="e">
        <f t="shared" si="2"/>
        <v>#REF!</v>
      </c>
      <c r="I41" s="70"/>
      <c r="J41" s="73"/>
      <c r="K41" s="71"/>
    </row>
    <row r="42" spans="1:11" ht="21.65" customHeight="1">
      <c r="A42" s="53">
        <v>37</v>
      </c>
      <c r="B42" s="50" t="s">
        <v>48</v>
      </c>
      <c r="C42" s="45" t="s">
        <v>13</v>
      </c>
      <c r="D42" s="43" t="e">
        <f>BE!#REF!</f>
        <v>#REF!</v>
      </c>
      <c r="E42" s="111" t="e">
        <f>BE!#REF!</f>
        <v>#REF!</v>
      </c>
      <c r="F42" s="45" t="s">
        <v>13</v>
      </c>
      <c r="G42" s="110" t="e">
        <f t="shared" si="2"/>
        <v>#REF!</v>
      </c>
      <c r="I42" s="70"/>
      <c r="J42" s="73"/>
      <c r="K42" s="71"/>
    </row>
    <row r="43" spans="1:11" ht="21.65" hidden="1" customHeight="1">
      <c r="A43" s="53">
        <v>38</v>
      </c>
      <c r="B43" s="48" t="s">
        <v>88</v>
      </c>
      <c r="C43" s="45" t="s">
        <v>13</v>
      </c>
      <c r="D43" s="43" t="e">
        <f>BE!#REF!</f>
        <v>#REF!</v>
      </c>
      <c r="E43" s="111" t="e">
        <f>BE!#REF!</f>
        <v>#REF!</v>
      </c>
      <c r="F43" s="45" t="s">
        <v>13</v>
      </c>
      <c r="G43" s="110" t="e">
        <f t="shared" si="2"/>
        <v>#REF!</v>
      </c>
      <c r="I43" s="74"/>
      <c r="J43" s="73"/>
      <c r="K43" s="71"/>
    </row>
    <row r="44" spans="1:11" ht="21.65" hidden="1" customHeight="1">
      <c r="A44" s="53">
        <v>39</v>
      </c>
      <c r="B44" s="48" t="s">
        <v>89</v>
      </c>
      <c r="C44" s="24" t="s">
        <v>3</v>
      </c>
      <c r="D44" s="43" t="e">
        <f>BE!#REF!</f>
        <v>#REF!</v>
      </c>
      <c r="E44" s="111" t="e">
        <f>BE!#REF!</f>
        <v>#REF!</v>
      </c>
      <c r="F44" s="24" t="s">
        <v>3</v>
      </c>
      <c r="G44" s="110" t="e">
        <f t="shared" si="2"/>
        <v>#REF!</v>
      </c>
      <c r="I44" s="74"/>
      <c r="J44" s="73"/>
      <c r="K44" s="71"/>
    </row>
    <row r="45" spans="1:11" ht="21" customHeight="1">
      <c r="A45" s="53">
        <v>38</v>
      </c>
      <c r="B45" s="50" t="s">
        <v>49</v>
      </c>
      <c r="C45" s="45" t="s">
        <v>3</v>
      </c>
      <c r="D45" s="43" t="e">
        <f>BE!#REF!</f>
        <v>#REF!</v>
      </c>
      <c r="E45" s="111" t="e">
        <f>BE!#REF!</f>
        <v>#REF!</v>
      </c>
      <c r="F45" s="45" t="s">
        <v>3</v>
      </c>
      <c r="G45" s="110" t="e">
        <f t="shared" si="2"/>
        <v>#REF!</v>
      </c>
      <c r="I45" s="74"/>
      <c r="J45" s="73"/>
      <c r="K45" s="71"/>
    </row>
    <row r="46" spans="1:11" ht="21.65" customHeight="1">
      <c r="A46" s="53">
        <v>39</v>
      </c>
      <c r="B46" s="30" t="s">
        <v>90</v>
      </c>
      <c r="C46" s="24" t="s">
        <v>13</v>
      </c>
      <c r="D46" s="43" t="e">
        <f>BE!#REF!</f>
        <v>#REF!</v>
      </c>
      <c r="E46" s="111" t="e">
        <f>BE!#REF!</f>
        <v>#REF!</v>
      </c>
      <c r="F46" s="24" t="s">
        <v>13</v>
      </c>
      <c r="G46" s="110" t="e">
        <f t="shared" si="2"/>
        <v>#REF!</v>
      </c>
      <c r="I46" s="74"/>
      <c r="J46" s="73"/>
      <c r="K46" s="71"/>
    </row>
    <row r="47" spans="1:11" ht="21.65" customHeight="1">
      <c r="A47" s="53">
        <v>40</v>
      </c>
      <c r="B47" s="30" t="s">
        <v>91</v>
      </c>
      <c r="C47" s="24" t="s">
        <v>3</v>
      </c>
      <c r="D47" s="43" t="e">
        <f>BE!#REF!</f>
        <v>#REF!</v>
      </c>
      <c r="E47" s="111" t="e">
        <f>BE!#REF!</f>
        <v>#REF!</v>
      </c>
      <c r="F47" s="24" t="s">
        <v>3</v>
      </c>
      <c r="G47" s="110" t="e">
        <f t="shared" si="2"/>
        <v>#REF!</v>
      </c>
      <c r="I47" s="74"/>
      <c r="J47" s="73"/>
      <c r="K47" s="71"/>
    </row>
    <row r="48" spans="1:11" ht="21.65" customHeight="1">
      <c r="A48" s="53">
        <v>41</v>
      </c>
      <c r="B48" s="30" t="s">
        <v>92</v>
      </c>
      <c r="C48" s="24" t="s">
        <v>3</v>
      </c>
      <c r="D48" s="43" t="e">
        <f>BE!#REF!</f>
        <v>#REF!</v>
      </c>
      <c r="E48" s="111" t="e">
        <f>BE!#REF!</f>
        <v>#REF!</v>
      </c>
      <c r="F48" s="24" t="s">
        <v>3</v>
      </c>
      <c r="G48" s="110" t="e">
        <f t="shared" si="2"/>
        <v>#REF!</v>
      </c>
      <c r="I48" s="74"/>
      <c r="J48" s="73"/>
      <c r="K48" s="71"/>
    </row>
    <row r="49" spans="1:19" ht="21.65" customHeight="1">
      <c r="A49" s="53">
        <v>42</v>
      </c>
      <c r="B49" s="30" t="s">
        <v>93</v>
      </c>
      <c r="C49" s="24" t="s">
        <v>3</v>
      </c>
      <c r="D49" s="43" t="e">
        <f>BE!#REF!</f>
        <v>#REF!</v>
      </c>
      <c r="E49" s="111" t="e">
        <f>BE!#REF!</f>
        <v>#REF!</v>
      </c>
      <c r="F49" s="24" t="s">
        <v>3</v>
      </c>
      <c r="G49" s="110" t="e">
        <f t="shared" si="2"/>
        <v>#REF!</v>
      </c>
      <c r="I49" s="74"/>
      <c r="J49" s="73"/>
      <c r="K49" s="71"/>
    </row>
    <row r="50" spans="1:19" ht="21.65" customHeight="1">
      <c r="A50" s="53">
        <v>43</v>
      </c>
      <c r="B50" s="52" t="s">
        <v>94</v>
      </c>
      <c r="C50" s="32" t="s">
        <v>3</v>
      </c>
      <c r="D50" s="43" t="e">
        <f>BE!#REF!</f>
        <v>#REF!</v>
      </c>
      <c r="E50" s="111" t="e">
        <f>BE!#REF!</f>
        <v>#REF!</v>
      </c>
      <c r="F50" s="32" t="s">
        <v>3</v>
      </c>
      <c r="G50" s="110" t="e">
        <f t="shared" si="2"/>
        <v>#REF!</v>
      </c>
      <c r="I50" s="74"/>
      <c r="J50" s="73"/>
      <c r="K50" s="71"/>
    </row>
    <row r="51" spans="1:19" ht="21.65" customHeight="1">
      <c r="A51" s="53">
        <v>44</v>
      </c>
      <c r="B51" s="25" t="s">
        <v>148</v>
      </c>
      <c r="C51" s="45" t="s">
        <v>13</v>
      </c>
      <c r="D51" s="43" t="e">
        <f>BE!#REF!</f>
        <v>#REF!</v>
      </c>
      <c r="E51" s="111" t="e">
        <f>BE!#REF!</f>
        <v>#REF!</v>
      </c>
      <c r="F51" s="45" t="s">
        <v>13</v>
      </c>
      <c r="G51" s="110" t="e">
        <f t="shared" si="2"/>
        <v>#REF!</v>
      </c>
      <c r="I51" s="74"/>
      <c r="J51" s="73"/>
      <c r="K51" s="71"/>
    </row>
    <row r="52" spans="1:19" ht="21.65" customHeight="1">
      <c r="A52" s="53">
        <v>45</v>
      </c>
      <c r="B52" s="25" t="s">
        <v>101</v>
      </c>
      <c r="C52" s="44" t="s">
        <v>45</v>
      </c>
      <c r="D52" s="43" t="e">
        <f>BE!#REF!</f>
        <v>#REF!</v>
      </c>
      <c r="E52" s="111" t="e">
        <f>BE!#REF!</f>
        <v>#REF!</v>
      </c>
      <c r="F52" s="44" t="s">
        <v>45</v>
      </c>
      <c r="G52" s="110" t="e">
        <f t="shared" si="2"/>
        <v>#REF!</v>
      </c>
      <c r="I52" s="127"/>
      <c r="J52" s="73"/>
      <c r="K52" s="71"/>
    </row>
    <row r="53" spans="1:19" ht="21.65" customHeight="1">
      <c r="A53" s="53">
        <v>46</v>
      </c>
      <c r="B53" s="25" t="s">
        <v>142</v>
      </c>
      <c r="C53" s="44" t="s">
        <v>45</v>
      </c>
      <c r="D53" s="43" t="e">
        <f>BE!#REF!</f>
        <v>#REF!</v>
      </c>
      <c r="E53" s="111" t="e">
        <f>BE!#REF!</f>
        <v>#REF!</v>
      </c>
      <c r="F53" s="44" t="s">
        <v>45</v>
      </c>
      <c r="G53" s="110" t="e">
        <f>D53*E53</f>
        <v>#REF!</v>
      </c>
      <c r="I53" s="74"/>
      <c r="J53" s="73"/>
      <c r="K53" s="71"/>
    </row>
    <row r="54" spans="1:19" ht="21.65" customHeight="1">
      <c r="A54" s="53">
        <v>47</v>
      </c>
      <c r="B54" s="25" t="s">
        <v>102</v>
      </c>
      <c r="C54" s="44" t="s">
        <v>45</v>
      </c>
      <c r="D54" s="43" t="e">
        <f>BE!#REF!</f>
        <v>#REF!</v>
      </c>
      <c r="E54" s="111" t="e">
        <f>BE!#REF!</f>
        <v>#REF!</v>
      </c>
      <c r="F54" s="44" t="s">
        <v>45</v>
      </c>
      <c r="G54" s="110" t="e">
        <f t="shared" si="2"/>
        <v>#REF!</v>
      </c>
      <c r="I54" s="74"/>
      <c r="J54" s="73"/>
      <c r="K54" s="71"/>
    </row>
    <row r="55" spans="1:19" ht="21.65" customHeight="1">
      <c r="A55" s="53">
        <v>48</v>
      </c>
      <c r="B55" s="25" t="s">
        <v>153</v>
      </c>
      <c r="C55" s="44" t="s">
        <v>45</v>
      </c>
      <c r="D55" s="43" t="e">
        <f>BE!#REF!</f>
        <v>#REF!</v>
      </c>
      <c r="E55" s="111" t="e">
        <f>BE!#REF!</f>
        <v>#REF!</v>
      </c>
      <c r="F55" s="44" t="s">
        <v>45</v>
      </c>
      <c r="G55" s="110" t="e">
        <f t="shared" si="2"/>
        <v>#REF!</v>
      </c>
      <c r="I55" s="74"/>
      <c r="J55" s="73"/>
      <c r="K55" s="71"/>
    </row>
    <row r="56" spans="1:19" ht="21.65" customHeight="1">
      <c r="A56" s="53">
        <v>49</v>
      </c>
      <c r="B56" s="25" t="s">
        <v>149</v>
      </c>
      <c r="C56" s="44" t="s">
        <v>45</v>
      </c>
      <c r="D56" s="43" t="e">
        <f>BE!#REF!</f>
        <v>#REF!</v>
      </c>
      <c r="E56" s="111" t="e">
        <f>BE!#REF!</f>
        <v>#REF!</v>
      </c>
      <c r="F56" s="44" t="s">
        <v>45</v>
      </c>
      <c r="G56" s="110" t="e">
        <f t="shared" si="2"/>
        <v>#REF!</v>
      </c>
      <c r="I56" s="74"/>
      <c r="J56" s="73"/>
      <c r="K56" s="71"/>
    </row>
    <row r="57" spans="1:19" ht="21.65" customHeight="1">
      <c r="A57" s="53">
        <v>50</v>
      </c>
      <c r="B57" s="25" t="s">
        <v>106</v>
      </c>
      <c r="C57" s="44" t="s">
        <v>45</v>
      </c>
      <c r="D57" s="43" t="e">
        <f>BE!#REF!</f>
        <v>#REF!</v>
      </c>
      <c r="E57" s="111" t="e">
        <f>BE!#REF!</f>
        <v>#REF!</v>
      </c>
      <c r="F57" s="44" t="s">
        <v>45</v>
      </c>
      <c r="G57" s="110" t="e">
        <f t="shared" si="2"/>
        <v>#REF!</v>
      </c>
      <c r="I57" s="74" t="s">
        <v>156</v>
      </c>
      <c r="J57" s="73"/>
      <c r="K57" s="71" t="s">
        <v>157</v>
      </c>
      <c r="L57" s="68" t="s">
        <v>158</v>
      </c>
      <c r="Q57" s="66" t="s">
        <v>159</v>
      </c>
      <c r="R57" s="51" t="s">
        <v>160</v>
      </c>
    </row>
    <row r="58" spans="1:19" ht="21.65" customHeight="1">
      <c r="A58" s="77"/>
      <c r="B58" s="116" t="s">
        <v>56</v>
      </c>
      <c r="C58" s="116"/>
      <c r="D58" s="116"/>
      <c r="E58" s="116"/>
      <c r="F58" s="117"/>
      <c r="G58" s="118" t="e">
        <f>SUM(G5:G57)</f>
        <v>#REF!</v>
      </c>
      <c r="H58" s="70" t="e">
        <v>#REF!</v>
      </c>
      <c r="I58" s="71">
        <v>9560080</v>
      </c>
      <c r="J58" s="71">
        <v>867000</v>
      </c>
      <c r="K58" s="127">
        <v>455000</v>
      </c>
      <c r="L58" s="71">
        <v>10570355</v>
      </c>
      <c r="M58" s="71">
        <v>2120689</v>
      </c>
      <c r="N58" s="71">
        <v>2642650</v>
      </c>
      <c r="O58" s="71">
        <v>998688</v>
      </c>
      <c r="P58" s="71">
        <v>10124332</v>
      </c>
      <c r="Q58" s="66">
        <v>21762347.936507933</v>
      </c>
      <c r="R58" s="133">
        <v>15764812</v>
      </c>
      <c r="S58" s="134" t="e">
        <f>SUM(H58:R58)</f>
        <v>#REF!</v>
      </c>
    </row>
    <row r="59" spans="1:19" ht="30.75" customHeight="1">
      <c r="A59" s="1116"/>
      <c r="B59" s="1116"/>
      <c r="C59" s="1116"/>
      <c r="D59" s="1116"/>
      <c r="E59" s="1116"/>
      <c r="F59" s="1116"/>
      <c r="G59" s="1116"/>
      <c r="H59" s="67"/>
      <c r="I59" s="67"/>
      <c r="J59" s="67"/>
    </row>
    <row r="60" spans="1:19" ht="30.75" customHeight="1">
      <c r="A60" s="1115" t="s">
        <v>96</v>
      </c>
      <c r="B60" s="1115"/>
      <c r="C60" s="1115"/>
      <c r="D60" s="1115"/>
      <c r="E60" s="1115"/>
      <c r="F60" s="1115"/>
      <c r="G60" s="1115"/>
      <c r="H60" s="67"/>
      <c r="I60" s="67"/>
      <c r="J60" s="67"/>
    </row>
    <row r="61" spans="1:19" ht="23.25" customHeight="1">
      <c r="A61" s="92" t="s">
        <v>3</v>
      </c>
      <c r="B61" s="95" t="s">
        <v>31</v>
      </c>
      <c r="C61" s="94" t="s">
        <v>0</v>
      </c>
      <c r="D61" s="47" t="s">
        <v>32</v>
      </c>
      <c r="E61" s="121" t="s">
        <v>33</v>
      </c>
      <c r="F61" s="94" t="s">
        <v>34</v>
      </c>
      <c r="G61" s="121" t="s">
        <v>35</v>
      </c>
      <c r="H61" s="69"/>
      <c r="I61" s="72"/>
    </row>
    <row r="62" spans="1:19" ht="20.75" customHeight="1">
      <c r="A62" s="61">
        <v>1</v>
      </c>
      <c r="B62" s="62" t="s">
        <v>69</v>
      </c>
      <c r="C62" s="63" t="s">
        <v>3</v>
      </c>
      <c r="D62" s="64" t="e">
        <f>BE!#REF!</f>
        <v>#REF!</v>
      </c>
      <c r="E62" s="107" t="e">
        <f>BE!#REF!</f>
        <v>#REF!</v>
      </c>
      <c r="F62" s="63" t="s">
        <v>3</v>
      </c>
      <c r="G62" s="108" t="e">
        <f t="shared" ref="G62:G78" si="3">D62*E62</f>
        <v>#REF!</v>
      </c>
      <c r="H62" s="69"/>
      <c r="I62" s="72"/>
    </row>
    <row r="63" spans="1:19" ht="20.75" customHeight="1">
      <c r="A63" s="61">
        <v>2</v>
      </c>
      <c r="B63" s="62" t="s">
        <v>143</v>
      </c>
      <c r="C63" s="63" t="s">
        <v>3</v>
      </c>
      <c r="D63" s="64" t="e">
        <f>BE!#REF!</f>
        <v>#REF!</v>
      </c>
      <c r="E63" s="107" t="e">
        <f>BE!#REF!</f>
        <v>#REF!</v>
      </c>
      <c r="F63" s="63" t="s">
        <v>3</v>
      </c>
      <c r="G63" s="108" t="e">
        <f t="shared" si="3"/>
        <v>#REF!</v>
      </c>
      <c r="H63" s="69"/>
      <c r="I63" s="72"/>
    </row>
    <row r="64" spans="1:19" ht="20.75" customHeight="1">
      <c r="A64" s="61">
        <v>3</v>
      </c>
      <c r="B64" s="48" t="s">
        <v>68</v>
      </c>
      <c r="C64" s="24" t="s">
        <v>3</v>
      </c>
      <c r="D64" s="26" t="e">
        <f>BE!#REF!+BE!C24</f>
        <v>#REF!</v>
      </c>
      <c r="E64" s="109">
        <f>BE!F24</f>
        <v>21780</v>
      </c>
      <c r="F64" s="24" t="s">
        <v>3</v>
      </c>
      <c r="G64" s="110" t="e">
        <f t="shared" si="3"/>
        <v>#REF!</v>
      </c>
      <c r="H64" s="69"/>
      <c r="I64" s="72"/>
    </row>
    <row r="65" spans="1:17" ht="20.75" customHeight="1">
      <c r="A65" s="61">
        <v>4</v>
      </c>
      <c r="B65" s="48" t="s">
        <v>75</v>
      </c>
      <c r="C65" s="24" t="s">
        <v>3</v>
      </c>
      <c r="D65" s="26" t="e">
        <f>BE!#REF!+BE!#REF!</f>
        <v>#REF!</v>
      </c>
      <c r="E65" s="109">
        <f>E64</f>
        <v>21780</v>
      </c>
      <c r="F65" s="24" t="s">
        <v>3</v>
      </c>
      <c r="G65" s="110" t="e">
        <f t="shared" si="3"/>
        <v>#REF!</v>
      </c>
      <c r="H65" s="69"/>
      <c r="I65" s="72"/>
    </row>
    <row r="66" spans="1:17" ht="20.75" customHeight="1">
      <c r="A66" s="61">
        <v>5</v>
      </c>
      <c r="B66" s="48" t="s">
        <v>77</v>
      </c>
      <c r="C66" s="24" t="s">
        <v>3</v>
      </c>
      <c r="D66" s="26" t="e">
        <f>BE!#REF!</f>
        <v>#REF!</v>
      </c>
      <c r="E66" s="109" t="e">
        <f>BE!#REF!</f>
        <v>#REF!</v>
      </c>
      <c r="F66" s="24" t="s">
        <v>3</v>
      </c>
      <c r="G66" s="110" t="e">
        <f t="shared" si="3"/>
        <v>#REF!</v>
      </c>
      <c r="H66" s="69"/>
      <c r="I66" s="72"/>
    </row>
    <row r="67" spans="1:17" ht="20.75" customHeight="1">
      <c r="A67" s="61">
        <v>6</v>
      </c>
      <c r="B67" s="48" t="s">
        <v>67</v>
      </c>
      <c r="C67" s="24" t="s">
        <v>3</v>
      </c>
      <c r="D67" s="26" t="e">
        <f>BE!#REF!+BE!#REF!</f>
        <v>#REF!</v>
      </c>
      <c r="E67" s="109" t="e">
        <f>BE!#REF!</f>
        <v>#REF!</v>
      </c>
      <c r="F67" s="24" t="s">
        <v>3</v>
      </c>
      <c r="G67" s="110" t="e">
        <f t="shared" si="3"/>
        <v>#REF!</v>
      </c>
      <c r="H67" s="69"/>
      <c r="I67" s="72"/>
    </row>
    <row r="68" spans="1:17" ht="20.75" customHeight="1">
      <c r="A68" s="61">
        <v>7</v>
      </c>
      <c r="B68" s="50" t="s">
        <v>60</v>
      </c>
      <c r="C68" s="45" t="s">
        <v>9</v>
      </c>
      <c r="D68" s="23" t="e">
        <f>BE!#REF!</f>
        <v>#REF!</v>
      </c>
      <c r="E68" s="111" t="e">
        <f>BE!#REF!</f>
        <v>#REF!</v>
      </c>
      <c r="F68" s="45" t="s">
        <v>9</v>
      </c>
      <c r="G68" s="109" t="e">
        <f t="shared" si="3"/>
        <v>#REF!</v>
      </c>
      <c r="H68" s="69"/>
      <c r="I68" s="72"/>
    </row>
    <row r="69" spans="1:17" ht="20.75" customHeight="1">
      <c r="A69" s="61">
        <v>8</v>
      </c>
      <c r="B69" s="50" t="s">
        <v>100</v>
      </c>
      <c r="C69" s="24" t="s">
        <v>3</v>
      </c>
      <c r="D69" s="23" t="e">
        <f>BE!#REF!</f>
        <v>#REF!</v>
      </c>
      <c r="E69" s="111" t="e">
        <f>BE!#REF!</f>
        <v>#REF!</v>
      </c>
      <c r="F69" s="24" t="s">
        <v>3</v>
      </c>
      <c r="G69" s="109" t="e">
        <f t="shared" si="3"/>
        <v>#REF!</v>
      </c>
      <c r="H69" s="69"/>
      <c r="I69" s="72"/>
    </row>
    <row r="70" spans="1:17" ht="20.75" customHeight="1">
      <c r="A70" s="61">
        <v>9</v>
      </c>
      <c r="B70" s="50" t="s">
        <v>97</v>
      </c>
      <c r="C70" s="24" t="s">
        <v>3</v>
      </c>
      <c r="D70" s="23" t="e">
        <f>BE!#REF!</f>
        <v>#REF!</v>
      </c>
      <c r="E70" s="111" t="e">
        <f>BE!#REF!</f>
        <v>#REF!</v>
      </c>
      <c r="F70" s="24" t="s">
        <v>3</v>
      </c>
      <c r="G70" s="109" t="e">
        <f t="shared" si="3"/>
        <v>#REF!</v>
      </c>
      <c r="H70" s="69"/>
      <c r="I70" s="72"/>
    </row>
    <row r="71" spans="1:17" ht="20.75" customHeight="1">
      <c r="A71" s="61">
        <v>10</v>
      </c>
      <c r="B71" s="25" t="s">
        <v>76</v>
      </c>
      <c r="C71" s="24" t="s">
        <v>11</v>
      </c>
      <c r="D71" s="23" t="e">
        <f>BE!#REF!</f>
        <v>#REF!</v>
      </c>
      <c r="E71" s="111" t="e">
        <f>BE!#REF!</f>
        <v>#REF!</v>
      </c>
      <c r="F71" s="24" t="s">
        <v>11</v>
      </c>
      <c r="G71" s="109" t="e">
        <f t="shared" si="3"/>
        <v>#REF!</v>
      </c>
      <c r="H71" s="69"/>
      <c r="I71" s="72"/>
    </row>
    <row r="72" spans="1:17" ht="20.75" customHeight="1">
      <c r="A72" s="61">
        <v>11</v>
      </c>
      <c r="B72" s="25" t="s">
        <v>87</v>
      </c>
      <c r="C72" s="45" t="s">
        <v>13</v>
      </c>
      <c r="D72" s="43" t="e">
        <f>BE!#REF!</f>
        <v>#REF!</v>
      </c>
      <c r="E72" s="111" t="e">
        <f>BE!#REF!</f>
        <v>#REF!</v>
      </c>
      <c r="F72" s="45" t="s">
        <v>13</v>
      </c>
      <c r="G72" s="109" t="e">
        <f t="shared" si="3"/>
        <v>#REF!</v>
      </c>
      <c r="H72" s="70"/>
      <c r="I72" s="75"/>
      <c r="J72" s="72"/>
    </row>
    <row r="73" spans="1:17" ht="20.75" customHeight="1">
      <c r="A73" s="61">
        <v>12</v>
      </c>
      <c r="B73" s="25" t="s">
        <v>81</v>
      </c>
      <c r="C73" s="24" t="s">
        <v>45</v>
      </c>
      <c r="D73" s="23" t="e">
        <f>BE!#REF!</f>
        <v>#REF!</v>
      </c>
      <c r="E73" s="111" t="e">
        <f>BE!#REF!</f>
        <v>#REF!</v>
      </c>
      <c r="F73" s="24" t="s">
        <v>45</v>
      </c>
      <c r="G73" s="109" t="e">
        <f t="shared" si="3"/>
        <v>#REF!</v>
      </c>
      <c r="H73" s="69"/>
      <c r="I73" s="72"/>
    </row>
    <row r="74" spans="1:17" ht="20.75" customHeight="1">
      <c r="A74" s="61">
        <v>13</v>
      </c>
      <c r="B74" s="25" t="s">
        <v>142</v>
      </c>
      <c r="C74" s="24" t="s">
        <v>45</v>
      </c>
      <c r="D74" s="23" t="e">
        <f>BE!#REF!</f>
        <v>#REF!</v>
      </c>
      <c r="E74" s="111" t="e">
        <f>BE!#REF!</f>
        <v>#REF!</v>
      </c>
      <c r="F74" s="24" t="s">
        <v>45</v>
      </c>
      <c r="G74" s="109" t="e">
        <f>D74*E74</f>
        <v>#REF!</v>
      </c>
      <c r="H74" s="69"/>
      <c r="I74" s="72"/>
    </row>
    <row r="75" spans="1:17" ht="20.75" customHeight="1">
      <c r="A75" s="61">
        <v>14</v>
      </c>
      <c r="B75" s="25" t="s">
        <v>82</v>
      </c>
      <c r="C75" s="24" t="s">
        <v>45</v>
      </c>
      <c r="D75" s="23" t="e">
        <f>BE!#REF!</f>
        <v>#REF!</v>
      </c>
      <c r="E75" s="111" t="e">
        <f>BE!#REF!</f>
        <v>#REF!</v>
      </c>
      <c r="F75" s="24" t="s">
        <v>45</v>
      </c>
      <c r="G75" s="109" t="e">
        <f t="shared" si="3"/>
        <v>#REF!</v>
      </c>
      <c r="H75" s="69"/>
      <c r="I75" s="72"/>
    </row>
    <row r="76" spans="1:17" ht="20.75" customHeight="1">
      <c r="A76" s="61">
        <v>15</v>
      </c>
      <c r="B76" s="25" t="s">
        <v>153</v>
      </c>
      <c r="C76" s="24" t="s">
        <v>45</v>
      </c>
      <c r="D76" s="23" t="e">
        <f>BE!#REF!</f>
        <v>#REF!</v>
      </c>
      <c r="E76" s="111" t="e">
        <f>BE!#REF!</f>
        <v>#REF!</v>
      </c>
      <c r="F76" s="24" t="s">
        <v>45</v>
      </c>
      <c r="G76" s="109" t="e">
        <f t="shared" si="3"/>
        <v>#REF!</v>
      </c>
      <c r="H76" s="69"/>
      <c r="I76" s="72"/>
    </row>
    <row r="77" spans="1:17" ht="20.75" customHeight="1">
      <c r="A77" s="61">
        <v>16</v>
      </c>
      <c r="B77" s="25" t="s">
        <v>150</v>
      </c>
      <c r="C77" s="44" t="s">
        <v>45</v>
      </c>
      <c r="D77" s="43" t="e">
        <f>BE!#REF!</f>
        <v>#REF!</v>
      </c>
      <c r="E77" s="111" t="e">
        <f>BE!#REF!</f>
        <v>#REF!</v>
      </c>
      <c r="F77" s="44" t="s">
        <v>45</v>
      </c>
      <c r="G77" s="109" t="e">
        <f t="shared" si="3"/>
        <v>#REF!</v>
      </c>
      <c r="H77" s="70"/>
      <c r="I77" s="75"/>
      <c r="J77" s="72"/>
      <c r="K77" s="75"/>
    </row>
    <row r="78" spans="1:17" ht="20.75" customHeight="1">
      <c r="A78" s="61">
        <v>17</v>
      </c>
      <c r="B78" s="25" t="s">
        <v>106</v>
      </c>
      <c r="C78" s="44" t="s">
        <v>45</v>
      </c>
      <c r="D78" s="43" t="e">
        <f>BE!#REF!</f>
        <v>#REF!</v>
      </c>
      <c r="E78" s="111" t="e">
        <f>BE!#REF!</f>
        <v>#REF!</v>
      </c>
      <c r="F78" s="44" t="s">
        <v>45</v>
      </c>
      <c r="G78" s="109" t="e">
        <f t="shared" si="3"/>
        <v>#REF!</v>
      </c>
      <c r="H78" s="70"/>
      <c r="I78" s="126" t="s">
        <v>156</v>
      </c>
      <c r="J78" s="71"/>
    </row>
    <row r="79" spans="1:17" ht="17.25" customHeight="1">
      <c r="A79" s="45"/>
      <c r="B79" s="35" t="s">
        <v>57</v>
      </c>
      <c r="C79" s="35"/>
      <c r="D79" s="35"/>
      <c r="E79" s="35"/>
      <c r="F79" s="45"/>
      <c r="G79" s="119" t="e">
        <f>SUM(G62:G78)</f>
        <v>#REF!</v>
      </c>
      <c r="H79" s="76" t="e">
        <v>#REF!</v>
      </c>
      <c r="I79" s="126">
        <v>7935000</v>
      </c>
      <c r="J79" s="87">
        <v>3899500</v>
      </c>
      <c r="K79" s="71">
        <v>5109500</v>
      </c>
      <c r="L79" s="75">
        <v>3120889</v>
      </c>
      <c r="M79" s="75">
        <v>2417000</v>
      </c>
      <c r="N79" s="71">
        <v>1088750</v>
      </c>
      <c r="O79" s="71">
        <v>9205000</v>
      </c>
      <c r="P79" s="71" t="e">
        <f>SUM(H79:O79)</f>
        <v>#REF!</v>
      </c>
      <c r="Q79" s="75" t="e">
        <f>P79+S58</f>
        <v>#REF!</v>
      </c>
    </row>
    <row r="80" spans="1:17" ht="19.5" customHeight="1">
      <c r="A80" s="78"/>
      <c r="B80" s="79" t="s">
        <v>58</v>
      </c>
      <c r="C80" s="79"/>
      <c r="D80" s="79"/>
      <c r="E80" s="79"/>
      <c r="F80" s="80"/>
      <c r="G80" s="120" t="e">
        <f>G79+G58</f>
        <v>#REF!</v>
      </c>
      <c r="H80" s="73"/>
      <c r="I80" s="87"/>
      <c r="J80" s="87"/>
      <c r="K80" s="75"/>
      <c r="L80" s="87"/>
      <c r="M80" s="87"/>
      <c r="Q80" s="75" t="e">
        <f>Q79+#REF!+#REF!+#REF!+2534100+918100</f>
        <v>#REF!</v>
      </c>
    </row>
    <row r="81" spans="1:17" ht="21.65" customHeight="1">
      <c r="A81" s="81"/>
      <c r="B81" s="82"/>
      <c r="C81" s="81"/>
      <c r="D81" s="81"/>
      <c r="E81" s="83"/>
      <c r="F81" s="81"/>
      <c r="G81" s="84"/>
      <c r="H81" s="68"/>
    </row>
    <row r="82" spans="1:17" ht="20.149999999999999" customHeight="1">
      <c r="A82" s="85"/>
      <c r="B82" s="68"/>
      <c r="C82" s="85"/>
      <c r="D82" s="85"/>
      <c r="E82" s="86"/>
      <c r="F82" s="85"/>
      <c r="G82" s="71"/>
      <c r="H82" s="68"/>
      <c r="J82" s="75"/>
      <c r="P82" s="68">
        <v>707490000</v>
      </c>
      <c r="Q82" s="75" t="e">
        <f>P82-Q80</f>
        <v>#REF!</v>
      </c>
    </row>
    <row r="83" spans="1:17" ht="20.149999999999999" customHeight="1">
      <c r="A83" s="85"/>
      <c r="B83" s="68"/>
      <c r="C83" s="85"/>
      <c r="D83" s="85"/>
      <c r="E83" s="86"/>
      <c r="F83" s="85"/>
      <c r="G83" s="71"/>
      <c r="H83" s="68"/>
    </row>
    <row r="84" spans="1:17" ht="20.149999999999999" customHeight="1">
      <c r="A84" s="85"/>
      <c r="B84" s="68"/>
      <c r="C84" s="85"/>
      <c r="D84" s="85"/>
      <c r="E84" s="86"/>
      <c r="F84" s="85"/>
      <c r="G84" s="71"/>
      <c r="H84" s="68"/>
    </row>
    <row r="85" spans="1:17" ht="20.149999999999999" customHeight="1">
      <c r="A85" s="85"/>
      <c r="B85" s="68"/>
      <c r="C85" s="85"/>
      <c r="D85" s="85"/>
      <c r="E85" s="86"/>
      <c r="F85" s="85"/>
      <c r="G85" s="71"/>
      <c r="H85" s="68"/>
    </row>
    <row r="86" spans="1:17" ht="20.149999999999999" customHeight="1">
      <c r="A86" s="85"/>
      <c r="B86" s="68"/>
      <c r="C86" s="85"/>
      <c r="D86" s="85"/>
      <c r="E86" s="86"/>
      <c r="F86" s="85"/>
      <c r="G86" s="71"/>
      <c r="H86" s="68"/>
    </row>
    <row r="87" spans="1:17" ht="20.149999999999999" customHeight="1">
      <c r="A87" s="85"/>
      <c r="B87" s="68"/>
      <c r="C87" s="85"/>
      <c r="D87" s="85"/>
      <c r="E87" s="86"/>
      <c r="F87" s="85"/>
      <c r="G87" s="71"/>
      <c r="H87" s="68"/>
    </row>
    <row r="88" spans="1:17" ht="20.149999999999999" customHeight="1">
      <c r="A88" s="85"/>
      <c r="B88" s="68"/>
      <c r="C88" s="85"/>
      <c r="D88" s="85"/>
      <c r="E88" s="86"/>
      <c r="F88" s="85"/>
      <c r="G88" s="71"/>
      <c r="H88" s="68"/>
    </row>
    <row r="89" spans="1:17" ht="20.149999999999999" customHeight="1">
      <c r="A89" s="85"/>
      <c r="B89" s="68"/>
      <c r="C89" s="85"/>
      <c r="D89" s="85"/>
      <c r="E89" s="86"/>
      <c r="F89" s="85"/>
      <c r="G89" s="71"/>
      <c r="H89" s="68"/>
    </row>
    <row r="90" spans="1:17" ht="20.149999999999999" customHeight="1">
      <c r="A90" s="85"/>
      <c r="B90" s="68"/>
      <c r="C90" s="85"/>
      <c r="D90" s="85"/>
      <c r="E90" s="86"/>
      <c r="F90" s="85"/>
      <c r="G90" s="71"/>
      <c r="H90" s="68"/>
    </row>
    <row r="91" spans="1:17" ht="20.149999999999999" customHeight="1">
      <c r="A91" s="85"/>
      <c r="B91" s="68"/>
      <c r="C91" s="85"/>
      <c r="D91" s="85"/>
      <c r="E91" s="86"/>
      <c r="F91" s="85"/>
      <c r="G91" s="71"/>
      <c r="H91" s="68"/>
    </row>
    <row r="92" spans="1:17" ht="20.149999999999999" customHeight="1">
      <c r="A92" s="85"/>
      <c r="B92" s="68"/>
      <c r="C92" s="85"/>
      <c r="D92" s="85"/>
      <c r="E92" s="86"/>
      <c r="F92" s="85"/>
      <c r="G92" s="71"/>
      <c r="H92" s="68"/>
    </row>
    <row r="93" spans="1:17" ht="20.149999999999999" customHeight="1">
      <c r="A93" s="85"/>
      <c r="B93" s="68"/>
      <c r="C93" s="85"/>
      <c r="D93" s="85"/>
      <c r="E93" s="86"/>
      <c r="F93" s="85"/>
      <c r="G93" s="71"/>
      <c r="H93" s="68"/>
    </row>
    <row r="94" spans="1:17" ht="20.149999999999999" customHeight="1">
      <c r="A94" s="85"/>
      <c r="B94" s="68"/>
      <c r="C94" s="85"/>
      <c r="D94" s="85"/>
      <c r="E94" s="86"/>
      <c r="F94" s="85"/>
      <c r="G94" s="71"/>
      <c r="H94" s="68"/>
    </row>
    <row r="95" spans="1:17" ht="20.149999999999999" customHeight="1">
      <c r="A95" s="85"/>
      <c r="B95" s="68"/>
      <c r="C95" s="85"/>
      <c r="D95" s="85"/>
      <c r="E95" s="86"/>
      <c r="F95" s="85"/>
      <c r="G95" s="71"/>
      <c r="H95" s="68"/>
    </row>
    <row r="96" spans="1:17" ht="20.149999999999999" customHeight="1">
      <c r="A96" s="85"/>
      <c r="B96" s="68"/>
      <c r="C96" s="85"/>
      <c r="D96" s="85"/>
      <c r="E96" s="86"/>
      <c r="F96" s="85"/>
      <c r="G96" s="71"/>
      <c r="H96" s="68"/>
    </row>
    <row r="97" spans="1:8" ht="20.149999999999999" customHeight="1">
      <c r="A97" s="85"/>
      <c r="B97" s="68"/>
      <c r="C97" s="85"/>
      <c r="D97" s="85"/>
      <c r="E97" s="86"/>
      <c r="F97" s="85"/>
      <c r="G97" s="71"/>
      <c r="H97" s="68"/>
    </row>
    <row r="98" spans="1:8" ht="20.149999999999999" customHeight="1">
      <c r="A98" s="85"/>
      <c r="B98" s="68"/>
      <c r="C98" s="85"/>
      <c r="D98" s="85"/>
      <c r="E98" s="86"/>
      <c r="F98" s="85"/>
      <c r="G98" s="71"/>
      <c r="H98" s="68"/>
    </row>
    <row r="99" spans="1:8" ht="20.149999999999999" customHeight="1">
      <c r="A99" s="85"/>
      <c r="B99" s="68"/>
      <c r="C99" s="85"/>
      <c r="D99" s="85"/>
      <c r="E99" s="86"/>
      <c r="F99" s="85"/>
      <c r="G99" s="71"/>
      <c r="H99" s="68"/>
    </row>
    <row r="100" spans="1:8" ht="20.149999999999999" customHeight="1">
      <c r="A100" s="85"/>
      <c r="B100" s="68"/>
      <c r="C100" s="85"/>
      <c r="D100" s="85"/>
      <c r="E100" s="86"/>
      <c r="F100" s="85"/>
      <c r="G100" s="71"/>
      <c r="H100" s="68"/>
    </row>
    <row r="101" spans="1:8" ht="20.149999999999999" customHeight="1">
      <c r="A101" s="85"/>
      <c r="B101" s="68"/>
      <c r="C101" s="85"/>
      <c r="D101" s="85"/>
      <c r="E101" s="86"/>
      <c r="F101" s="85"/>
      <c r="G101" s="71"/>
      <c r="H101" s="68"/>
    </row>
    <row r="102" spans="1:8" ht="20.149999999999999" customHeight="1">
      <c r="A102" s="85"/>
      <c r="B102" s="68"/>
      <c r="C102" s="85"/>
      <c r="D102" s="85"/>
      <c r="E102" s="86"/>
      <c r="F102" s="85"/>
      <c r="G102" s="71"/>
      <c r="H102" s="68"/>
    </row>
    <row r="103" spans="1:8" ht="20.149999999999999" customHeight="1">
      <c r="A103" s="85"/>
      <c r="B103" s="68"/>
      <c r="C103" s="85"/>
      <c r="D103" s="85"/>
      <c r="E103" s="86"/>
      <c r="F103" s="85"/>
      <c r="G103" s="71"/>
      <c r="H103" s="68"/>
    </row>
    <row r="104" spans="1:8" ht="20.149999999999999" customHeight="1">
      <c r="A104" s="85"/>
      <c r="B104" s="68"/>
      <c r="C104" s="85"/>
      <c r="D104" s="85"/>
      <c r="E104" s="86"/>
      <c r="F104" s="85"/>
      <c r="G104" s="71"/>
      <c r="H104" s="68"/>
    </row>
    <row r="105" spans="1:8" ht="20.149999999999999" customHeight="1">
      <c r="A105" s="85"/>
      <c r="B105" s="68"/>
      <c r="C105" s="85"/>
      <c r="D105" s="85"/>
      <c r="E105" s="86"/>
      <c r="F105" s="85"/>
      <c r="G105" s="71"/>
      <c r="H105" s="68"/>
    </row>
    <row r="106" spans="1:8" ht="20.149999999999999" customHeight="1">
      <c r="A106" s="85"/>
      <c r="B106" s="68"/>
      <c r="C106" s="85"/>
      <c r="D106" s="85"/>
      <c r="E106" s="86"/>
      <c r="F106" s="85"/>
      <c r="G106" s="71"/>
      <c r="H106" s="68"/>
    </row>
    <row r="107" spans="1:8" ht="20.149999999999999" customHeight="1">
      <c r="A107" s="85"/>
      <c r="B107" s="68"/>
      <c r="C107" s="85"/>
      <c r="D107" s="85"/>
      <c r="E107" s="86"/>
      <c r="F107" s="85"/>
      <c r="G107" s="71"/>
      <c r="H107" s="68"/>
    </row>
    <row r="108" spans="1:8" ht="20.149999999999999" customHeight="1">
      <c r="A108" s="85"/>
      <c r="B108" s="68"/>
      <c r="C108" s="85"/>
      <c r="D108" s="85"/>
      <c r="E108" s="86"/>
      <c r="F108" s="85"/>
      <c r="G108" s="71"/>
      <c r="H108" s="68"/>
    </row>
    <row r="109" spans="1:8" ht="20.149999999999999" customHeight="1">
      <c r="A109" s="85"/>
      <c r="B109" s="68"/>
      <c r="C109" s="85"/>
      <c r="D109" s="85"/>
      <c r="E109" s="86"/>
      <c r="F109" s="85"/>
      <c r="G109" s="71"/>
      <c r="H109" s="68"/>
    </row>
    <row r="110" spans="1:8" ht="20.149999999999999" customHeight="1">
      <c r="A110" s="85"/>
      <c r="B110" s="68"/>
      <c r="C110" s="85"/>
      <c r="D110" s="85"/>
      <c r="E110" s="86"/>
      <c r="F110" s="85"/>
      <c r="G110" s="71"/>
      <c r="H110" s="68"/>
    </row>
  </sheetData>
  <mergeCells count="5">
    <mergeCell ref="A1:G1"/>
    <mergeCell ref="A2:G2"/>
    <mergeCell ref="A3:G3"/>
    <mergeCell ref="A59:G59"/>
    <mergeCell ref="A60:G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8D62-39B2-425A-8618-A028EEB48AFA}">
  <dimension ref="A1:V19"/>
  <sheetViews>
    <sheetView workbookViewId="0">
      <selection activeCell="G16" sqref="G16"/>
    </sheetView>
  </sheetViews>
  <sheetFormatPr defaultRowHeight="14.5"/>
  <cols>
    <col min="2" max="2" width="27.36328125" customWidth="1"/>
    <col min="3" max="3" width="7.6328125" customWidth="1"/>
    <col min="4" max="4" width="7.54296875" customWidth="1"/>
    <col min="5" max="5" width="6.54296875" customWidth="1"/>
    <col min="10" max="10" width="9.54296875" bestFit="1" customWidth="1"/>
    <col min="11" max="11" width="10.6328125" bestFit="1" customWidth="1"/>
    <col min="13" max="13" width="10.6328125" bestFit="1" customWidth="1"/>
  </cols>
  <sheetData>
    <row r="1" spans="1:22" s="1" customFormat="1" ht="22.5" customHeight="1">
      <c r="A1" s="58"/>
      <c r="B1" s="139" t="s">
        <v>108</v>
      </c>
      <c r="C1" s="23"/>
      <c r="D1" s="23"/>
      <c r="E1" s="23"/>
      <c r="F1" s="26"/>
      <c r="G1" s="26"/>
      <c r="H1" s="26"/>
      <c r="I1" s="26"/>
      <c r="J1" s="27"/>
      <c r="K1" s="27"/>
      <c r="L1" s="29"/>
      <c r="M1" s="135"/>
      <c r="N1" s="135"/>
      <c r="O1" s="135"/>
      <c r="R1" s="91"/>
      <c r="U1" s="91"/>
      <c r="V1" s="91"/>
    </row>
    <row r="2" spans="1:22" s="1" customFormat="1" ht="22.5" customHeight="1">
      <c r="A2" s="58"/>
      <c r="B2" s="138" t="s">
        <v>162</v>
      </c>
      <c r="C2" s="23"/>
      <c r="D2" s="23"/>
      <c r="E2" s="23"/>
      <c r="F2" s="26"/>
      <c r="G2" s="26"/>
      <c r="H2" s="26"/>
      <c r="I2" s="26"/>
      <c r="J2" s="27"/>
      <c r="K2" s="27"/>
      <c r="L2" s="29"/>
      <c r="M2" s="135"/>
      <c r="N2" s="135"/>
      <c r="O2" s="135"/>
      <c r="R2" s="91"/>
      <c r="U2" s="91"/>
      <c r="V2" s="91"/>
    </row>
    <row r="3" spans="1:22" s="1" customFormat="1" ht="22.5" customHeight="1">
      <c r="A3" s="58"/>
      <c r="B3" s="137" t="s">
        <v>163</v>
      </c>
      <c r="C3" s="23"/>
      <c r="D3" s="23"/>
      <c r="E3" s="23"/>
      <c r="F3" s="26"/>
      <c r="G3" s="26"/>
      <c r="H3" s="26"/>
      <c r="I3" s="26"/>
      <c r="J3" s="27"/>
      <c r="K3" s="27"/>
      <c r="L3" s="29"/>
      <c r="M3" s="135"/>
      <c r="N3" s="135"/>
      <c r="O3" s="135"/>
      <c r="R3" s="91"/>
      <c r="U3" s="91"/>
      <c r="V3" s="91"/>
    </row>
    <row r="4" spans="1:22" s="1" customFormat="1" ht="22.5" customHeight="1">
      <c r="A4" s="58"/>
      <c r="B4" s="141" t="s">
        <v>204</v>
      </c>
      <c r="C4" s="23">
        <v>5</v>
      </c>
      <c r="D4" s="23">
        <v>2</v>
      </c>
      <c r="E4" s="23">
        <f>32/0.5+1</f>
        <v>65</v>
      </c>
      <c r="F4" s="26">
        <v>38</v>
      </c>
      <c r="G4" s="26"/>
      <c r="H4" s="26"/>
      <c r="I4" s="26"/>
      <c r="J4" s="27"/>
      <c r="K4" s="27">
        <f>F4*E4*D4*C4</f>
        <v>24700</v>
      </c>
      <c r="L4" s="29"/>
      <c r="M4" s="135"/>
      <c r="N4" s="135"/>
      <c r="O4" s="135"/>
      <c r="R4" s="91"/>
      <c r="U4" s="91"/>
      <c r="V4" s="91"/>
    </row>
    <row r="5" spans="1:22" s="1" customFormat="1" ht="22.5" customHeight="1">
      <c r="A5" s="58"/>
      <c r="B5" s="30"/>
      <c r="C5" s="23">
        <v>5</v>
      </c>
      <c r="D5" s="23">
        <v>2</v>
      </c>
      <c r="E5" s="23">
        <f>36/0.5+1</f>
        <v>73</v>
      </c>
      <c r="F5" s="26">
        <v>34</v>
      </c>
      <c r="G5" s="26"/>
      <c r="H5" s="26"/>
      <c r="I5" s="26"/>
      <c r="J5" s="27"/>
      <c r="K5" s="27">
        <f t="shared" ref="K5:K17" si="0">F5*E5*D5*C5</f>
        <v>24820</v>
      </c>
      <c r="L5" s="29"/>
      <c r="M5" s="135"/>
      <c r="N5" s="135"/>
      <c r="O5" s="135"/>
      <c r="R5" s="91"/>
      <c r="U5" s="91"/>
      <c r="V5" s="91"/>
    </row>
    <row r="6" spans="1:22" s="1" customFormat="1" ht="22.5" customHeight="1">
      <c r="A6" s="58"/>
      <c r="B6" s="141" t="s">
        <v>205</v>
      </c>
      <c r="C6" s="23">
        <v>5</v>
      </c>
      <c r="D6" s="23">
        <v>2</v>
      </c>
      <c r="E6" s="23">
        <f>36/0.5+1</f>
        <v>73</v>
      </c>
      <c r="F6" s="26">
        <v>3</v>
      </c>
      <c r="G6" s="26"/>
      <c r="H6" s="26"/>
      <c r="I6" s="26"/>
      <c r="J6" s="27"/>
      <c r="K6" s="27">
        <f t="shared" si="0"/>
        <v>2190</v>
      </c>
      <c r="L6" s="29"/>
      <c r="M6" s="135"/>
      <c r="N6" s="135"/>
      <c r="O6" s="135">
        <f>10/4</f>
        <v>2.5</v>
      </c>
      <c r="R6" s="91"/>
      <c r="U6" s="91"/>
      <c r="V6" s="91"/>
    </row>
    <row r="7" spans="1:22" s="1" customFormat="1" ht="22.5" customHeight="1">
      <c r="A7" s="58"/>
      <c r="B7" s="30"/>
      <c r="C7" s="23">
        <v>5</v>
      </c>
      <c r="D7" s="23">
        <v>2</v>
      </c>
      <c r="E7" s="23">
        <f>2.5/0.5+1</f>
        <v>6</v>
      </c>
      <c r="F7" s="26">
        <v>38</v>
      </c>
      <c r="G7" s="26"/>
      <c r="H7" s="26"/>
      <c r="I7" s="26"/>
      <c r="J7" s="27"/>
      <c r="K7" s="27">
        <f t="shared" si="0"/>
        <v>2280</v>
      </c>
      <c r="L7" s="29"/>
      <c r="M7" s="135"/>
      <c r="N7" s="135"/>
      <c r="O7" s="135">
        <f>11.75/3</f>
        <v>3.9166666666666665</v>
      </c>
      <c r="R7" s="91"/>
      <c r="U7" s="91"/>
      <c r="V7" s="91"/>
    </row>
    <row r="8" spans="1:22" s="1" customFormat="1" ht="22.5" customHeight="1">
      <c r="A8" s="58"/>
      <c r="B8" s="137"/>
      <c r="C8" s="23">
        <v>5</v>
      </c>
      <c r="D8" s="23">
        <v>2</v>
      </c>
      <c r="E8" s="23">
        <f>36/0.5+1</f>
        <v>73</v>
      </c>
      <c r="F8" s="26">
        <f>3.33+3.917+1</f>
        <v>8.2469999999999999</v>
      </c>
      <c r="G8" s="26"/>
      <c r="H8" s="26"/>
      <c r="I8" s="26"/>
      <c r="J8" s="27"/>
      <c r="K8" s="27">
        <f t="shared" si="0"/>
        <v>6020.3099999999995</v>
      </c>
      <c r="L8" s="29"/>
      <c r="M8" s="135"/>
      <c r="O8" s="135">
        <f>10.25/4</f>
        <v>2.5625</v>
      </c>
      <c r="R8" s="91"/>
      <c r="U8" s="91"/>
      <c r="V8" s="91"/>
    </row>
    <row r="9" spans="1:22" s="1" customFormat="1" ht="22.5" customHeight="1">
      <c r="A9" s="58"/>
      <c r="B9" s="30"/>
      <c r="C9" s="23">
        <v>5</v>
      </c>
      <c r="D9" s="23">
        <v>2</v>
      </c>
      <c r="E9" s="23">
        <f>(3.33+3.917)/0.5+1</f>
        <v>15.494</v>
      </c>
      <c r="F9" s="26">
        <v>38</v>
      </c>
      <c r="G9" s="26"/>
      <c r="H9" s="26"/>
      <c r="I9" s="26"/>
      <c r="J9" s="27"/>
      <c r="K9" s="27">
        <f t="shared" si="0"/>
        <v>5887.7199999999993</v>
      </c>
      <c r="L9" s="29"/>
      <c r="M9" s="135"/>
      <c r="N9" s="135"/>
      <c r="O9" s="135">
        <f>10.25/3</f>
        <v>3.4166666666666665</v>
      </c>
      <c r="R9" s="91"/>
      <c r="U9" s="91"/>
      <c r="V9" s="91"/>
    </row>
    <row r="10" spans="1:22" s="1" customFormat="1" ht="22.5" customHeight="1">
      <c r="A10" s="58"/>
      <c r="B10" s="30"/>
      <c r="C10" s="23">
        <v>5</v>
      </c>
      <c r="D10" s="23">
        <v>2</v>
      </c>
      <c r="E10" s="23">
        <f>36/0.5+1</f>
        <v>73</v>
      </c>
      <c r="F10" s="26">
        <f>3.917+3.417+1</f>
        <v>8.3339999999999996</v>
      </c>
      <c r="G10" s="26"/>
      <c r="H10" s="26"/>
      <c r="I10" s="26"/>
      <c r="J10" s="27"/>
      <c r="K10" s="27">
        <f t="shared" si="0"/>
        <v>6083.82</v>
      </c>
      <c r="L10" s="29"/>
      <c r="M10" s="135"/>
      <c r="N10" s="135"/>
      <c r="O10" s="135"/>
      <c r="R10" s="91"/>
      <c r="U10" s="91"/>
      <c r="V10" s="91"/>
    </row>
    <row r="11" spans="1:22" s="1" customFormat="1" ht="22.5" customHeight="1">
      <c r="A11" s="58"/>
      <c r="B11" s="30"/>
      <c r="C11" s="23">
        <v>5</v>
      </c>
      <c r="D11" s="23">
        <v>2</v>
      </c>
      <c r="E11" s="23">
        <f>(3.917+3.417)/0.5+1</f>
        <v>15.667999999999999</v>
      </c>
      <c r="F11" s="26">
        <v>38</v>
      </c>
      <c r="G11" s="26"/>
      <c r="H11" s="26"/>
      <c r="I11" s="26"/>
      <c r="J11" s="27"/>
      <c r="K11" s="27">
        <f t="shared" si="0"/>
        <v>5953.84</v>
      </c>
      <c r="L11" s="29"/>
      <c r="M11" s="135"/>
      <c r="N11" s="135"/>
      <c r="O11" s="135"/>
      <c r="R11" s="91"/>
      <c r="U11" s="91"/>
      <c r="V11" s="91"/>
    </row>
    <row r="12" spans="1:22" s="1" customFormat="1" ht="22.5" customHeight="1">
      <c r="A12" s="58"/>
      <c r="B12" s="30"/>
      <c r="C12" s="23">
        <v>5</v>
      </c>
      <c r="D12" s="23">
        <f>2*2</f>
        <v>4</v>
      </c>
      <c r="E12" s="23">
        <f>32/0.5+1</f>
        <v>65</v>
      </c>
      <c r="F12" s="26">
        <v>4.5</v>
      </c>
      <c r="G12" s="26"/>
      <c r="H12" s="26"/>
      <c r="I12" s="26"/>
      <c r="J12" s="27"/>
      <c r="K12" s="27">
        <f t="shared" si="0"/>
        <v>5850</v>
      </c>
      <c r="L12" s="29"/>
      <c r="M12" s="135"/>
      <c r="N12" s="135"/>
      <c r="O12" s="135">
        <f>18/4</f>
        <v>4.5</v>
      </c>
      <c r="R12" s="91"/>
      <c r="U12" s="91"/>
      <c r="V12" s="91"/>
    </row>
    <row r="13" spans="1:22" s="1" customFormat="1" ht="22.5" customHeight="1">
      <c r="A13" s="58"/>
      <c r="B13" s="30"/>
      <c r="C13" s="23">
        <v>5</v>
      </c>
      <c r="D13" s="23">
        <f>2*2</f>
        <v>4</v>
      </c>
      <c r="E13" s="23">
        <f>4.5/0.5+1</f>
        <v>10</v>
      </c>
      <c r="F13" s="26">
        <f>32+2</f>
        <v>34</v>
      </c>
      <c r="G13" s="26"/>
      <c r="H13" s="26"/>
      <c r="I13" s="26"/>
      <c r="J13" s="27"/>
      <c r="K13" s="27">
        <f t="shared" si="0"/>
        <v>6800</v>
      </c>
      <c r="L13" s="29"/>
      <c r="M13" s="135"/>
      <c r="N13" s="135"/>
      <c r="O13" s="135">
        <f>18/3</f>
        <v>6</v>
      </c>
      <c r="R13" s="91"/>
      <c r="U13" s="91"/>
      <c r="V13" s="91"/>
    </row>
    <row r="14" spans="1:22" s="1" customFormat="1" ht="22.5" customHeight="1">
      <c r="A14" s="58"/>
      <c r="B14" s="30"/>
      <c r="C14" s="23">
        <v>5</v>
      </c>
      <c r="D14" s="23">
        <v>2</v>
      </c>
      <c r="E14" s="23">
        <f>32/0.5+1</f>
        <v>65</v>
      </c>
      <c r="F14" s="26">
        <v>13</v>
      </c>
      <c r="G14" s="26"/>
      <c r="H14" s="26"/>
      <c r="I14" s="26"/>
      <c r="J14" s="27"/>
      <c r="K14" s="27">
        <f t="shared" si="0"/>
        <v>8450</v>
      </c>
      <c r="L14" s="29"/>
      <c r="M14" s="135"/>
      <c r="N14" s="135"/>
      <c r="O14" s="135"/>
      <c r="R14" s="91"/>
      <c r="U14" s="91"/>
      <c r="V14" s="91"/>
    </row>
    <row r="15" spans="1:22" s="1" customFormat="1" ht="22.5" customHeight="1">
      <c r="A15" s="58"/>
      <c r="B15" s="30"/>
      <c r="C15" s="23">
        <v>5</v>
      </c>
      <c r="D15" s="23">
        <v>2</v>
      </c>
      <c r="E15" s="23">
        <f>12/0.5+1</f>
        <v>25</v>
      </c>
      <c r="F15" s="26">
        <v>34</v>
      </c>
      <c r="G15" s="26"/>
      <c r="H15" s="26"/>
      <c r="I15" s="26"/>
      <c r="J15" s="27"/>
      <c r="K15" s="27">
        <f t="shared" si="0"/>
        <v>8500</v>
      </c>
      <c r="L15" s="29"/>
      <c r="M15" s="135"/>
      <c r="N15" s="135"/>
      <c r="O15" s="135"/>
      <c r="R15" s="91"/>
      <c r="U15" s="91"/>
      <c r="V15" s="91"/>
    </row>
    <row r="16" spans="1:22" s="1" customFormat="1" ht="22.5" customHeight="1">
      <c r="A16" s="58"/>
      <c r="B16" s="30"/>
      <c r="C16" s="23">
        <v>5</v>
      </c>
      <c r="D16" s="23">
        <f>2*2</f>
        <v>4</v>
      </c>
      <c r="E16" s="23">
        <f>10.25/0.5+1</f>
        <v>21.5</v>
      </c>
      <c r="F16" s="26">
        <v>6</v>
      </c>
      <c r="G16" s="26"/>
      <c r="H16" s="26"/>
      <c r="I16" s="26"/>
      <c r="J16" s="27"/>
      <c r="K16" s="27">
        <f t="shared" si="0"/>
        <v>2580</v>
      </c>
      <c r="L16" s="29"/>
      <c r="M16" s="135"/>
      <c r="N16" s="135"/>
      <c r="O16" s="135"/>
      <c r="R16" s="91"/>
      <c r="U16" s="91"/>
      <c r="V16" s="91"/>
    </row>
    <row r="17" spans="1:22" s="1" customFormat="1" ht="22.5" customHeight="1">
      <c r="A17" s="58"/>
      <c r="B17" s="30"/>
      <c r="C17" s="23">
        <v>6</v>
      </c>
      <c r="D17" s="23">
        <f>2*2</f>
        <v>4</v>
      </c>
      <c r="E17" s="23">
        <f>6/0.5+1</f>
        <v>13</v>
      </c>
      <c r="F17" s="26">
        <v>10.5</v>
      </c>
      <c r="G17" s="26"/>
      <c r="H17" s="26"/>
      <c r="I17" s="26"/>
      <c r="J17" s="27"/>
      <c r="K17" s="27">
        <f t="shared" si="0"/>
        <v>3276</v>
      </c>
      <c r="L17" s="29"/>
      <c r="M17" s="135"/>
      <c r="N17" s="135"/>
      <c r="O17" s="135"/>
      <c r="R17" s="91"/>
      <c r="U17" s="91"/>
      <c r="V17" s="91"/>
    </row>
    <row r="18" spans="1:22" s="1" customFormat="1" ht="22.5" customHeight="1">
      <c r="A18" s="58"/>
      <c r="B18" s="30"/>
      <c r="C18" s="23"/>
      <c r="D18" s="23"/>
      <c r="E18" s="23"/>
      <c r="F18" s="26"/>
      <c r="G18" s="26"/>
      <c r="H18" s="26"/>
      <c r="I18" s="26"/>
      <c r="J18" s="27"/>
      <c r="K18" s="150">
        <f>SUM(K4:K17)</f>
        <v>113391.69</v>
      </c>
      <c r="L18" s="29"/>
      <c r="M18" s="135"/>
      <c r="N18" s="135"/>
      <c r="O18" s="135"/>
      <c r="R18" s="91"/>
      <c r="U18" s="91"/>
      <c r="V18" s="91"/>
    </row>
    <row r="19" spans="1:22" s="1" customFormat="1" ht="22.5" customHeight="1">
      <c r="A19" s="58"/>
      <c r="B19" s="30"/>
      <c r="C19" s="23"/>
      <c r="D19" s="23"/>
      <c r="E19" s="23"/>
      <c r="F19" s="26"/>
      <c r="G19" s="26"/>
      <c r="H19" s="26"/>
      <c r="I19" s="26"/>
      <c r="J19" s="27"/>
      <c r="K19" s="27"/>
      <c r="L19" s="29"/>
      <c r="M19" s="135"/>
      <c r="N19" s="135"/>
      <c r="O19" s="135"/>
      <c r="R19" s="91"/>
      <c r="U19" s="91"/>
      <c r="V19" s="91"/>
    </row>
  </sheetData>
  <pageMargins left="0.7" right="0.7" top="0.75" bottom="0.75" header="0.3" footer="0.3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F23E-A997-4B06-85C3-65DBA85614FD}">
  <dimension ref="A1:L4"/>
  <sheetViews>
    <sheetView workbookViewId="0">
      <selection activeCell="M11" sqref="M11"/>
    </sheetView>
  </sheetViews>
  <sheetFormatPr defaultColWidth="9.36328125" defaultRowHeight="22.25" customHeight="1"/>
  <cols>
    <col min="1" max="1" width="5" style="144" customWidth="1"/>
    <col min="2" max="2" width="25.453125" style="144" customWidth="1"/>
    <col min="3" max="4" width="3.54296875" style="144" customWidth="1"/>
    <col min="5" max="5" width="4" style="144" customWidth="1"/>
    <col min="6" max="6" width="8.36328125" style="144" customWidth="1"/>
    <col min="7" max="7" width="7.6328125" style="144" customWidth="1"/>
    <col min="8" max="8" width="6.6328125" style="144" customWidth="1"/>
    <col min="9" max="9" width="7.36328125" style="144" customWidth="1"/>
    <col min="10" max="10" width="10.6328125" style="144" customWidth="1"/>
    <col min="11" max="11" width="11.6328125" style="144" customWidth="1"/>
    <col min="12" max="12" width="4.54296875" style="144" customWidth="1"/>
    <col min="13" max="16384" width="9.36328125" style="161"/>
  </cols>
  <sheetData>
    <row r="1" spans="1:12" ht="22.25" customHeigh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ht="22.25" customHeight="1">
      <c r="A2" s="1124" t="s">
        <v>213</v>
      </c>
      <c r="B2" s="1124"/>
      <c r="C2" s="1124"/>
      <c r="D2" s="1124"/>
      <c r="E2" s="1124"/>
      <c r="F2" s="1124"/>
      <c r="G2" s="1124"/>
      <c r="H2" s="1124"/>
      <c r="I2" s="1124"/>
      <c r="J2" s="1124"/>
      <c r="K2" s="1124"/>
      <c r="L2" s="1124"/>
    </row>
    <row r="3" spans="1:12" ht="22.25" customHeight="1">
      <c r="A3" s="1119" t="s">
        <v>183</v>
      </c>
      <c r="B3" s="1119" t="s">
        <v>2</v>
      </c>
      <c r="C3" s="1120" t="s">
        <v>183</v>
      </c>
      <c r="D3" s="1121"/>
      <c r="E3" s="1122"/>
      <c r="F3" s="1126" t="s">
        <v>210</v>
      </c>
      <c r="G3" s="1127"/>
      <c r="H3" s="1128"/>
      <c r="I3" s="1117" t="s">
        <v>208</v>
      </c>
      <c r="J3" s="1119" t="s">
        <v>211</v>
      </c>
      <c r="K3" s="1117" t="s">
        <v>212</v>
      </c>
      <c r="L3" s="1119" t="s">
        <v>0</v>
      </c>
    </row>
    <row r="4" spans="1:12" ht="22.25" customHeight="1">
      <c r="A4" s="1118"/>
      <c r="B4" s="1118"/>
      <c r="C4" s="1123"/>
      <c r="D4" s="1124"/>
      <c r="E4" s="1125"/>
      <c r="F4" s="5" t="s">
        <v>6</v>
      </c>
      <c r="G4" s="5" t="s">
        <v>7</v>
      </c>
      <c r="H4" s="5" t="s">
        <v>8</v>
      </c>
      <c r="I4" s="1118"/>
      <c r="J4" s="1118"/>
      <c r="K4" s="1118"/>
      <c r="L4" s="1118"/>
    </row>
  </sheetData>
  <mergeCells count="9">
    <mergeCell ref="I3:I4"/>
    <mergeCell ref="J3:J4"/>
    <mergeCell ref="K3:K4"/>
    <mergeCell ref="L3:L4"/>
    <mergeCell ref="C3:E4"/>
    <mergeCell ref="A2:L2"/>
    <mergeCell ref="A3:A4"/>
    <mergeCell ref="B3:B4"/>
    <mergeCell ref="F3:H3"/>
  </mergeCells>
  <pageMargins left="0.25" right="0.25" top="0.25" bottom="0.25" header="0.3" footer="0.3"/>
  <pageSetup paperSize="9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128E-26A1-45A2-B198-7921951886A4}">
  <dimension ref="A1:H5"/>
  <sheetViews>
    <sheetView workbookViewId="0">
      <selection activeCell="D18" sqref="D18"/>
    </sheetView>
  </sheetViews>
  <sheetFormatPr defaultColWidth="9.36328125" defaultRowHeight="22.25" customHeight="1"/>
  <cols>
    <col min="1" max="1" width="4" style="144" customWidth="1"/>
    <col min="2" max="2" width="31.54296875" style="144" customWidth="1"/>
    <col min="3" max="3" width="5" style="144" customWidth="1"/>
    <col min="4" max="4" width="12.36328125" style="144" customWidth="1"/>
    <col min="5" max="5" width="8" style="164" hidden="1" customWidth="1"/>
    <col min="6" max="6" width="18.6328125" style="144" customWidth="1"/>
    <col min="7" max="7" width="4.6328125" style="144" customWidth="1"/>
    <col min="8" max="8" width="22.453125" style="144" customWidth="1"/>
    <col min="9" max="16384" width="9.36328125" style="161"/>
  </cols>
  <sheetData>
    <row r="1" spans="1:8" s="6" customFormat="1" ht="22.25" customHeight="1">
      <c r="A1" s="162"/>
      <c r="B1" s="162"/>
      <c r="C1" s="162"/>
      <c r="D1" s="162"/>
      <c r="E1" s="163"/>
      <c r="F1" s="162"/>
      <c r="G1" s="162"/>
      <c r="H1" s="162"/>
    </row>
    <row r="2" spans="1:8" s="6" customFormat="1" ht="22.25" customHeight="1">
      <c r="A2" s="1124" t="s">
        <v>214</v>
      </c>
      <c r="B2" s="1124"/>
      <c r="C2" s="1124"/>
      <c r="D2" s="1124"/>
      <c r="E2" s="1124"/>
      <c r="F2" s="1124"/>
      <c r="G2" s="1124"/>
      <c r="H2" s="1124"/>
    </row>
    <row r="3" spans="1:8" s="6" customFormat="1" ht="22.25" customHeight="1">
      <c r="A3" s="165" t="s">
        <v>183</v>
      </c>
      <c r="B3" s="165" t="s">
        <v>31</v>
      </c>
      <c r="C3" s="165" t="s">
        <v>0</v>
      </c>
      <c r="D3" s="165" t="s">
        <v>32</v>
      </c>
      <c r="E3" s="166"/>
      <c r="F3" s="165" t="s">
        <v>215</v>
      </c>
      <c r="G3" s="165" t="s">
        <v>34</v>
      </c>
      <c r="H3" s="165" t="s">
        <v>78</v>
      </c>
    </row>
    <row r="4" spans="1:8" s="6" customFormat="1" ht="22.25" customHeight="1">
      <c r="A4" s="169"/>
      <c r="B4" s="169"/>
      <c r="C4" s="169"/>
      <c r="D4" s="169"/>
      <c r="E4" s="170"/>
      <c r="F4" s="169"/>
      <c r="G4" s="169"/>
      <c r="H4" s="169"/>
    </row>
    <row r="5" spans="1:8" ht="22.25" customHeight="1">
      <c r="A5" s="167"/>
      <c r="B5" s="167"/>
      <c r="C5" s="167"/>
      <c r="D5" s="167"/>
      <c r="E5" s="168"/>
      <c r="F5" s="167"/>
      <c r="G5" s="167"/>
      <c r="H5" s="167"/>
    </row>
  </sheetData>
  <mergeCells count="1">
    <mergeCell ref="A2:H2"/>
  </mergeCells>
  <pageMargins left="0.25" right="0.25" top="0.25" bottom="0.25" header="0.3" footer="0.3"/>
  <pageSetup paperSize="9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4474-AD10-4607-963F-56D7B67CDEC4}">
  <dimension ref="A1:G1"/>
  <sheetViews>
    <sheetView workbookViewId="0">
      <selection activeCell="K16" sqref="K16"/>
    </sheetView>
  </sheetViews>
  <sheetFormatPr defaultColWidth="9.36328125" defaultRowHeight="22.25" customHeight="1"/>
  <cols>
    <col min="1" max="1" width="4" style="158" customWidth="1"/>
    <col min="2" max="2" width="18.36328125" style="158" customWidth="1"/>
    <col min="3" max="3" width="5" style="158" customWidth="1"/>
    <col min="4" max="4" width="11.6328125" style="158" customWidth="1"/>
    <col min="5" max="5" width="13.6328125" style="158" customWidth="1"/>
    <col min="6" max="6" width="5.36328125" style="158" customWidth="1"/>
    <col min="7" max="7" width="14.6328125" style="158" customWidth="1"/>
    <col min="8" max="16384" width="9.36328125" style="159"/>
  </cols>
  <sheetData/>
  <pageMargins left="0.25" right="0.25" top="0.25" bottom="0.25" header="0.3" footer="0.3"/>
  <pageSetup paperSize="9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B907-4E63-485B-B956-1B4E69DF3643}">
  <dimension ref="B5:E26"/>
  <sheetViews>
    <sheetView topLeftCell="A7" workbookViewId="0">
      <selection activeCell="H16" sqref="H16"/>
    </sheetView>
  </sheetViews>
  <sheetFormatPr defaultColWidth="12" defaultRowHeight="25.25" customHeight="1"/>
  <cols>
    <col min="1" max="1" width="12" style="236" customWidth="1"/>
    <col min="2" max="2" width="42" style="236" customWidth="1"/>
    <col min="3" max="3" width="4" style="236" customWidth="1"/>
    <col min="4" max="4" width="26" style="275" customWidth="1"/>
    <col min="5" max="5" width="18.36328125" style="236" customWidth="1"/>
    <col min="6" max="16384" width="12" style="236"/>
  </cols>
  <sheetData>
    <row r="5" spans="2:4" ht="25.25" customHeight="1">
      <c r="B5" s="236" t="s">
        <v>14</v>
      </c>
      <c r="C5" s="236" t="s">
        <v>262</v>
      </c>
      <c r="D5" s="275">
        <v>2350522</v>
      </c>
    </row>
    <row r="6" spans="2:4" ht="25.25" customHeight="1">
      <c r="B6" s="236" t="s">
        <v>289</v>
      </c>
      <c r="C6" s="236" t="s">
        <v>262</v>
      </c>
      <c r="D6" s="275">
        <v>6441120</v>
      </c>
    </row>
    <row r="7" spans="2:4" ht="25.25" customHeight="1">
      <c r="B7" s="236" t="s">
        <v>290</v>
      </c>
      <c r="C7" s="236" t="s">
        <v>262</v>
      </c>
      <c r="D7" s="276">
        <v>10312250</v>
      </c>
    </row>
    <row r="8" spans="2:4" ht="25.25" customHeight="1">
      <c r="B8" s="236" t="s">
        <v>21</v>
      </c>
      <c r="C8" s="236" t="s">
        <v>262</v>
      </c>
      <c r="D8" s="275">
        <v>585424</v>
      </c>
    </row>
    <row r="9" spans="2:4" ht="25.25" customHeight="1">
      <c r="B9" s="236" t="s">
        <v>291</v>
      </c>
      <c r="C9" s="236" t="s">
        <v>262</v>
      </c>
      <c r="D9" s="275">
        <v>459560</v>
      </c>
    </row>
    <row r="10" spans="2:4" ht="25.25" customHeight="1">
      <c r="B10" s="236" t="s">
        <v>292</v>
      </c>
      <c r="C10" s="236" t="s">
        <v>262</v>
      </c>
      <c r="D10" s="275">
        <v>748200</v>
      </c>
    </row>
    <row r="11" spans="2:4" ht="25.25" customHeight="1">
      <c r="B11" s="236" t="s">
        <v>293</v>
      </c>
      <c r="C11" s="236" t="s">
        <v>262</v>
      </c>
      <c r="D11" s="275">
        <v>4879875</v>
      </c>
    </row>
    <row r="12" spans="2:4" ht="25.25" customHeight="1">
      <c r="B12" s="236" t="s">
        <v>294</v>
      </c>
      <c r="C12" s="236" t="s">
        <v>262</v>
      </c>
      <c r="D12" s="275">
        <v>1260815</v>
      </c>
    </row>
    <row r="13" spans="2:4" ht="25.25" customHeight="1">
      <c r="B13" s="236" t="s">
        <v>295</v>
      </c>
      <c r="C13" s="236" t="s">
        <v>262</v>
      </c>
      <c r="D13" s="275">
        <v>1536140</v>
      </c>
    </row>
    <row r="14" spans="2:4" ht="25.25" customHeight="1">
      <c r="B14" s="236" t="s">
        <v>209</v>
      </c>
      <c r="C14" s="236" t="s">
        <v>262</v>
      </c>
      <c r="D14" s="275">
        <v>117000</v>
      </c>
    </row>
    <row r="15" spans="2:4" ht="25.25" customHeight="1">
      <c r="B15" s="236" t="s">
        <v>260</v>
      </c>
      <c r="C15" s="236" t="s">
        <v>262</v>
      </c>
      <c r="D15" s="275">
        <v>233415</v>
      </c>
    </row>
    <row r="16" spans="2:4" ht="25.25" customHeight="1">
      <c r="B16" s="236" t="s">
        <v>296</v>
      </c>
      <c r="C16" s="236" t="s">
        <v>262</v>
      </c>
      <c r="D16" s="275">
        <v>600072</v>
      </c>
    </row>
    <row r="17" spans="2:5" ht="25.25" customHeight="1">
      <c r="B17" s="236" t="s">
        <v>297</v>
      </c>
      <c r="C17" s="236" t="s">
        <v>262</v>
      </c>
      <c r="D17" s="278">
        <v>1120094.8</v>
      </c>
    </row>
    <row r="18" spans="2:5" ht="25.25" customHeight="1">
      <c r="B18" s="236" t="s">
        <v>298</v>
      </c>
      <c r="C18" s="236" t="s">
        <v>262</v>
      </c>
      <c r="D18" s="275">
        <v>1523809.83</v>
      </c>
    </row>
    <row r="19" spans="2:5" ht="25.25" customHeight="1">
      <c r="D19" s="277">
        <f>SUM(D5:D18)</f>
        <v>32168297.630000003</v>
      </c>
    </row>
    <row r="24" spans="2:5" ht="25.25" customHeight="1">
      <c r="B24" s="236" t="s">
        <v>299</v>
      </c>
      <c r="C24" s="236" t="s">
        <v>262</v>
      </c>
      <c r="D24" s="275">
        <v>494220</v>
      </c>
    </row>
    <row r="26" spans="2:5" ht="25.25" customHeight="1">
      <c r="E26" s="238">
        <f>D19-D24</f>
        <v>31674077.630000003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8611-B467-4456-8DD1-1187A360314D}">
  <dimension ref="A1:K39"/>
  <sheetViews>
    <sheetView view="pageBreakPreview" topLeftCell="A10" zoomScale="120" zoomScaleNormal="120" zoomScaleSheetLayoutView="120" workbookViewId="0">
      <selection activeCell="K21" sqref="K21"/>
    </sheetView>
  </sheetViews>
  <sheetFormatPr defaultColWidth="9.36328125" defaultRowHeight="17.149999999999999" customHeight="1"/>
  <cols>
    <col min="1" max="1" width="20.6328125" style="271" customWidth="1"/>
    <col min="2" max="2" width="2.36328125" style="260" customWidth="1"/>
    <col min="3" max="3" width="22.6328125" style="261" customWidth="1"/>
    <col min="4" max="4" width="4.6328125" style="260" customWidth="1"/>
    <col min="5" max="5" width="1.36328125" style="260" customWidth="1"/>
    <col min="6" max="6" width="4.6328125" style="260" customWidth="1"/>
    <col min="7" max="7" width="16" style="260" customWidth="1"/>
    <col min="8" max="8" width="2.36328125" style="260" customWidth="1"/>
    <col min="9" max="9" width="18" style="260" customWidth="1"/>
    <col min="10" max="10" width="1.453125" style="260" customWidth="1"/>
    <col min="11" max="11" width="46.453125" style="260" customWidth="1"/>
    <col min="12" max="16384" width="9.36328125" style="260"/>
  </cols>
  <sheetData>
    <row r="1" spans="1:11" ht="17.149999999999999" customHeight="1">
      <c r="A1" s="274" t="s">
        <v>261</v>
      </c>
    </row>
    <row r="2" spans="1:11" ht="17.149999999999999" customHeight="1">
      <c r="A2" s="271" t="s">
        <v>62</v>
      </c>
      <c r="B2" s="260" t="s">
        <v>262</v>
      </c>
      <c r="C2" s="261">
        <v>874464556</v>
      </c>
      <c r="E2" s="262"/>
      <c r="G2" s="260" t="s">
        <v>269</v>
      </c>
      <c r="H2" s="260" t="s">
        <v>262</v>
      </c>
      <c r="I2" s="261">
        <v>940000000</v>
      </c>
      <c r="J2" s="262"/>
      <c r="K2" s="260" t="s">
        <v>270</v>
      </c>
    </row>
    <row r="3" spans="1:11" ht="17.149999999999999" customHeight="1">
      <c r="A3" s="271" t="s">
        <v>263</v>
      </c>
      <c r="B3" s="260" t="s">
        <v>262</v>
      </c>
      <c r="C3" s="261">
        <v>24000000</v>
      </c>
      <c r="E3" s="262"/>
      <c r="J3" s="262"/>
      <c r="K3" s="271" t="s">
        <v>271</v>
      </c>
    </row>
    <row r="4" spans="1:11" ht="17.149999999999999" customHeight="1">
      <c r="A4" s="271" t="s">
        <v>264</v>
      </c>
      <c r="B4" s="260" t="s">
        <v>262</v>
      </c>
      <c r="C4" s="261">
        <v>160000000</v>
      </c>
      <c r="E4" s="262"/>
      <c r="G4" s="260" t="s">
        <v>268</v>
      </c>
      <c r="H4" s="260" t="s">
        <v>262</v>
      </c>
      <c r="I4" s="261">
        <v>39684</v>
      </c>
      <c r="J4" s="262"/>
    </row>
    <row r="5" spans="1:11" ht="17.149999999999999" customHeight="1">
      <c r="B5" s="260" t="s">
        <v>262</v>
      </c>
      <c r="C5" s="263">
        <f>SUM(C2:C4)</f>
        <v>1058464556</v>
      </c>
      <c r="E5" s="262"/>
      <c r="J5" s="262"/>
    </row>
    <row r="6" spans="1:11" ht="17.149999999999999" customHeight="1">
      <c r="A6" s="271" t="s">
        <v>265</v>
      </c>
      <c r="B6" s="260" t="s">
        <v>262</v>
      </c>
      <c r="C6" s="261">
        <v>9300000</v>
      </c>
      <c r="E6" s="262"/>
      <c r="G6" s="260" t="s">
        <v>226</v>
      </c>
      <c r="H6" s="260" t="s">
        <v>262</v>
      </c>
      <c r="I6" s="264">
        <f>I2/I4</f>
        <v>23687.128313678055</v>
      </c>
      <c r="J6" s="262"/>
    </row>
    <row r="7" spans="1:11" ht="17.149999999999999" customHeight="1">
      <c r="A7" s="271" t="s">
        <v>266</v>
      </c>
      <c r="B7" s="260" t="s">
        <v>262</v>
      </c>
      <c r="C7" s="263">
        <f>C6+C5</f>
        <v>1067764556</v>
      </c>
      <c r="E7" s="262"/>
      <c r="J7" s="262"/>
    </row>
    <row r="8" spans="1:11" ht="17.149999999999999" customHeight="1">
      <c r="A8" s="273">
        <v>0.05</v>
      </c>
      <c r="B8" s="260" t="s">
        <v>262</v>
      </c>
      <c r="C8" s="261">
        <f>C7*5%</f>
        <v>53388227.800000004</v>
      </c>
      <c r="E8" s="262"/>
      <c r="J8" s="262"/>
    </row>
    <row r="9" spans="1:11" ht="17.149999999999999" customHeight="1">
      <c r="A9" s="271" t="s">
        <v>267</v>
      </c>
      <c r="B9" s="260" t="s">
        <v>262</v>
      </c>
      <c r="C9" s="265">
        <f>C7+C8</f>
        <v>1121152783.8</v>
      </c>
      <c r="E9" s="262"/>
      <c r="J9" s="262"/>
    </row>
    <row r="10" spans="1:11" ht="17.149999999999999" customHeight="1">
      <c r="A10" s="271" t="s">
        <v>268</v>
      </c>
      <c r="B10" s="260" t="s">
        <v>262</v>
      </c>
      <c r="C10" s="261">
        <v>39684</v>
      </c>
      <c r="E10" s="262"/>
      <c r="J10" s="262"/>
    </row>
    <row r="11" spans="1:11" ht="17.149999999999999" customHeight="1">
      <c r="A11" s="271" t="s">
        <v>226</v>
      </c>
      <c r="B11" s="260" t="s">
        <v>262</v>
      </c>
      <c r="C11" s="268">
        <f>C9/C10</f>
        <v>28252.010477774416</v>
      </c>
      <c r="E11" s="262"/>
      <c r="J11" s="262"/>
    </row>
    <row r="13" spans="1:11" ht="17.149999999999999" customHeight="1">
      <c r="A13" s="274" t="s">
        <v>272</v>
      </c>
    </row>
    <row r="14" spans="1:11" ht="17.149999999999999" customHeight="1">
      <c r="A14" s="271" t="s">
        <v>62</v>
      </c>
      <c r="B14" s="260" t="s">
        <v>262</v>
      </c>
      <c r="C14" s="261" t="e">
        <f>#REF!</f>
        <v>#REF!</v>
      </c>
      <c r="E14" s="262"/>
      <c r="G14" s="260" t="s">
        <v>269</v>
      </c>
      <c r="H14" s="260" t="s">
        <v>262</v>
      </c>
      <c r="I14" s="261">
        <v>900000000</v>
      </c>
      <c r="J14" s="262"/>
      <c r="K14" s="260" t="s">
        <v>270</v>
      </c>
    </row>
    <row r="15" spans="1:11" ht="17.149999999999999" customHeight="1">
      <c r="A15" s="271" t="s">
        <v>263</v>
      </c>
      <c r="B15" s="260" t="s">
        <v>262</v>
      </c>
      <c r="C15" s="261">
        <v>24000000</v>
      </c>
      <c r="E15" s="262"/>
      <c r="J15" s="262"/>
      <c r="K15" s="271" t="s">
        <v>273</v>
      </c>
    </row>
    <row r="16" spans="1:11" ht="17.149999999999999" customHeight="1">
      <c r="A16" s="271" t="s">
        <v>264</v>
      </c>
      <c r="B16" s="260" t="s">
        <v>262</v>
      </c>
      <c r="C16" s="261">
        <v>152000000</v>
      </c>
      <c r="E16" s="262"/>
      <c r="G16" s="260" t="s">
        <v>268</v>
      </c>
      <c r="H16" s="260" t="s">
        <v>262</v>
      </c>
      <c r="I16" s="261">
        <f>C20</f>
        <v>35969</v>
      </c>
      <c r="J16" s="262"/>
      <c r="K16" s="271" t="s">
        <v>274</v>
      </c>
    </row>
    <row r="17" spans="1:11" ht="17.149999999999999" customHeight="1">
      <c r="B17" s="260" t="s">
        <v>262</v>
      </c>
      <c r="C17" s="263" t="e">
        <f>SUM(C14:C16)</f>
        <v>#REF!</v>
      </c>
      <c r="E17" s="262"/>
      <c r="J17" s="262"/>
      <c r="K17" s="271" t="s">
        <v>275</v>
      </c>
    </row>
    <row r="18" spans="1:11" ht="17.149999999999999" customHeight="1">
      <c r="A18" s="273">
        <v>0.05</v>
      </c>
      <c r="B18" s="260" t="s">
        <v>262</v>
      </c>
      <c r="C18" s="261" t="e">
        <f>C17/21</f>
        <v>#REF!</v>
      </c>
      <c r="E18" s="262"/>
      <c r="G18" s="260" t="s">
        <v>226</v>
      </c>
      <c r="H18" s="260" t="s">
        <v>262</v>
      </c>
      <c r="I18" s="268">
        <f>I14/I16</f>
        <v>25021.546331563291</v>
      </c>
      <c r="J18" s="262"/>
      <c r="K18" s="271" t="s">
        <v>277</v>
      </c>
    </row>
    <row r="19" spans="1:11" ht="17.149999999999999" customHeight="1">
      <c r="A19" s="271" t="s">
        <v>267</v>
      </c>
      <c r="B19" s="260" t="s">
        <v>262</v>
      </c>
      <c r="C19" s="265" t="e">
        <f>C18+C17</f>
        <v>#REF!</v>
      </c>
      <c r="E19" s="262"/>
      <c r="J19" s="262"/>
      <c r="K19" s="271" t="s">
        <v>276</v>
      </c>
    </row>
    <row r="20" spans="1:11" ht="17.149999999999999" customHeight="1">
      <c r="A20" s="271" t="s">
        <v>268</v>
      </c>
      <c r="B20" s="260" t="s">
        <v>262</v>
      </c>
      <c r="C20" s="261">
        <v>35969</v>
      </c>
      <c r="E20" s="262"/>
      <c r="G20" s="260" t="s">
        <v>269</v>
      </c>
      <c r="H20" s="260" t="s">
        <v>262</v>
      </c>
      <c r="I20" s="270" t="e">
        <f>C19-I14</f>
        <v>#REF!</v>
      </c>
      <c r="J20" s="262"/>
      <c r="K20" s="272" t="s">
        <v>278</v>
      </c>
    </row>
    <row r="21" spans="1:11" ht="17.149999999999999" customHeight="1">
      <c r="A21" s="271" t="s">
        <v>226</v>
      </c>
      <c r="B21" s="260" t="s">
        <v>262</v>
      </c>
      <c r="C21" s="268" t="e">
        <f>C19/C20</f>
        <v>#REF!</v>
      </c>
      <c r="E21" s="262"/>
      <c r="G21" s="260" t="s">
        <v>284</v>
      </c>
      <c r="J21" s="262"/>
      <c r="K21" s="271" t="s">
        <v>279</v>
      </c>
    </row>
    <row r="22" spans="1:11" ht="17.149999999999999" customHeight="1">
      <c r="E22" s="262"/>
      <c r="J22" s="262"/>
      <c r="K22" s="271" t="s">
        <v>280</v>
      </c>
    </row>
    <row r="23" spans="1:11" ht="17.149999999999999" customHeight="1">
      <c r="A23" s="271" t="s">
        <v>287</v>
      </c>
      <c r="B23" s="260" t="s">
        <v>262</v>
      </c>
      <c r="C23" s="261" t="e">
        <f>C17*6%</f>
        <v>#REF!</v>
      </c>
      <c r="E23" s="262"/>
      <c r="G23" s="260" t="s">
        <v>269</v>
      </c>
      <c r="H23" s="260" t="s">
        <v>262</v>
      </c>
      <c r="I23" s="270" t="e">
        <f>C27-I14</f>
        <v>#REF!</v>
      </c>
      <c r="J23" s="262"/>
      <c r="K23" s="271" t="s">
        <v>281</v>
      </c>
    </row>
    <row r="24" spans="1:11" ht="17.149999999999999" customHeight="1">
      <c r="A24" s="271" t="s">
        <v>283</v>
      </c>
      <c r="B24" s="260" t="s">
        <v>262</v>
      </c>
      <c r="C24" s="261">
        <v>55000000</v>
      </c>
      <c r="E24" s="262"/>
      <c r="G24" s="260" t="s">
        <v>288</v>
      </c>
      <c r="J24" s="262"/>
    </row>
    <row r="25" spans="1:11" ht="17.149999999999999" customHeight="1">
      <c r="C25" s="263" t="e">
        <f>SUM(C23:C24)</f>
        <v>#REF!</v>
      </c>
      <c r="E25" s="262"/>
      <c r="J25" s="262"/>
    </row>
    <row r="26" spans="1:11" ht="17.149999999999999" customHeight="1">
      <c r="C26" s="260"/>
      <c r="E26" s="262"/>
      <c r="J26" s="262"/>
    </row>
    <row r="27" spans="1:11" ht="17.149999999999999" customHeight="1">
      <c r="A27" s="271" t="s">
        <v>285</v>
      </c>
      <c r="C27" s="267" t="e">
        <f>C25+C19</f>
        <v>#REF!</v>
      </c>
      <c r="E27" s="262"/>
      <c r="G27" s="260" t="s">
        <v>286</v>
      </c>
      <c r="H27" s="260" t="s">
        <v>262</v>
      </c>
      <c r="I27" s="269" t="e">
        <f>C9-C19</f>
        <v>#REF!</v>
      </c>
      <c r="J27" s="262"/>
    </row>
    <row r="28" spans="1:11" ht="17.149999999999999" customHeight="1">
      <c r="A28" s="271" t="s">
        <v>226</v>
      </c>
      <c r="B28" s="260" t="s">
        <v>262</v>
      </c>
      <c r="C28" s="268" t="e">
        <f>C27/C20</f>
        <v>#REF!</v>
      </c>
      <c r="E28" s="262"/>
      <c r="G28" s="260" t="s">
        <v>284</v>
      </c>
      <c r="J28" s="262"/>
    </row>
    <row r="29" spans="1:11" ht="17.149999999999999" customHeight="1">
      <c r="C29" s="266"/>
    </row>
    <row r="30" spans="1:11" ht="17.149999999999999" customHeight="1">
      <c r="A30" s="274" t="s">
        <v>282</v>
      </c>
    </row>
    <row r="31" spans="1:11" ht="17.149999999999999" customHeight="1">
      <c r="A31" s="271" t="s">
        <v>62</v>
      </c>
      <c r="B31" s="260" t="s">
        <v>262</v>
      </c>
      <c r="C31" s="261">
        <v>792798644</v>
      </c>
      <c r="E31" s="262"/>
      <c r="G31" s="260" t="s">
        <v>269</v>
      </c>
      <c r="H31" s="260" t="s">
        <v>262</v>
      </c>
      <c r="I31" s="261">
        <v>999000000</v>
      </c>
      <c r="J31" s="262"/>
      <c r="K31" s="260" t="s">
        <v>270</v>
      </c>
    </row>
    <row r="32" spans="1:11" ht="17.149999999999999" customHeight="1">
      <c r="A32" s="271" t="s">
        <v>263</v>
      </c>
      <c r="B32" s="260" t="s">
        <v>262</v>
      </c>
      <c r="C32" s="261">
        <v>18597145</v>
      </c>
      <c r="E32" s="262"/>
      <c r="J32" s="262"/>
    </row>
    <row r="33" spans="1:11" ht="17.149999999999999" customHeight="1">
      <c r="A33" s="271" t="s">
        <v>264</v>
      </c>
      <c r="B33" s="260" t="s">
        <v>262</v>
      </c>
      <c r="C33" s="261">
        <v>140033333</v>
      </c>
      <c r="E33" s="262"/>
      <c r="G33" s="260" t="s">
        <v>268</v>
      </c>
      <c r="H33" s="260" t="s">
        <v>262</v>
      </c>
      <c r="I33" s="261">
        <v>38880</v>
      </c>
      <c r="J33" s="262"/>
    </row>
    <row r="34" spans="1:11" ht="17.149999999999999" customHeight="1">
      <c r="B34" s="260" t="s">
        <v>262</v>
      </c>
      <c r="C34" s="263">
        <f>SUM(C31:C33)</f>
        <v>951429122</v>
      </c>
      <c r="E34" s="262"/>
      <c r="J34" s="262"/>
    </row>
    <row r="35" spans="1:11" ht="17.149999999999999" customHeight="1">
      <c r="A35" s="273">
        <v>0.05</v>
      </c>
      <c r="B35" s="260" t="s">
        <v>262</v>
      </c>
      <c r="C35" s="261">
        <f>C34*5%</f>
        <v>47571456.100000001</v>
      </c>
      <c r="E35" s="262"/>
      <c r="G35" s="260" t="s">
        <v>226</v>
      </c>
      <c r="H35" s="260" t="s">
        <v>262</v>
      </c>
      <c r="I35" s="268">
        <f>I31/I33</f>
        <v>25694.444444444445</v>
      </c>
      <c r="J35" s="262"/>
    </row>
    <row r="36" spans="1:11" ht="17.149999999999999" customHeight="1">
      <c r="A36" s="271" t="s">
        <v>267</v>
      </c>
      <c r="B36" s="260" t="s">
        <v>262</v>
      </c>
      <c r="C36" s="265">
        <f>C35+C34</f>
        <v>999000578.10000002</v>
      </c>
      <c r="E36" s="262"/>
      <c r="J36" s="262"/>
    </row>
    <row r="37" spans="1:11" ht="17.149999999999999" customHeight="1">
      <c r="C37" s="265"/>
      <c r="E37" s="262"/>
      <c r="J37" s="262"/>
      <c r="K37" s="261"/>
    </row>
    <row r="38" spans="1:11" ht="17.149999999999999" customHeight="1">
      <c r="A38" s="271" t="s">
        <v>268</v>
      </c>
      <c r="B38" s="260" t="s">
        <v>262</v>
      </c>
      <c r="C38" s="261">
        <v>38880</v>
      </c>
      <c r="E38" s="262"/>
      <c r="J38" s="262"/>
    </row>
    <row r="39" spans="1:11" ht="17.149999999999999" customHeight="1">
      <c r="A39" s="271" t="s">
        <v>226</v>
      </c>
      <c r="B39" s="260" t="s">
        <v>262</v>
      </c>
      <c r="C39" s="268">
        <f>C36/C38</f>
        <v>25694.459313271607</v>
      </c>
      <c r="E39" s="262"/>
      <c r="J39" s="262"/>
    </row>
  </sheetData>
  <pageMargins left="0.25" right="0.25" top="0.75" bottom="0.75" header="0.3" footer="0.3"/>
  <pageSetup paperSize="9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949-ECFA-4348-91F8-AFB96366B506}">
  <dimension ref="A1:H64"/>
  <sheetViews>
    <sheetView zoomScaleNormal="100" workbookViewId="0">
      <selection activeCell="K21" sqref="K21"/>
    </sheetView>
  </sheetViews>
  <sheetFormatPr defaultColWidth="9.36328125" defaultRowHeight="15.5"/>
  <cols>
    <col min="1" max="1" width="11.54296875" style="159" customWidth="1"/>
    <col min="2" max="2" width="11.6328125" style="159" customWidth="1"/>
    <col min="3" max="3" width="11.54296875" style="159" customWidth="1"/>
    <col min="4" max="4" width="10.6328125" style="159" customWidth="1"/>
    <col min="5" max="16384" width="9.36328125" style="159"/>
  </cols>
  <sheetData>
    <row r="1" spans="1:8" ht="25.25" customHeight="1"/>
    <row r="2" spans="1:8" ht="25.25" customHeight="1"/>
    <row r="3" spans="1:8" ht="25.25" customHeight="1">
      <c r="A3" s="1129" t="s">
        <v>227</v>
      </c>
      <c r="B3" s="1129"/>
      <c r="C3" s="1129" t="s">
        <v>230</v>
      </c>
      <c r="D3" s="1129"/>
      <c r="E3" s="1129" t="s">
        <v>233</v>
      </c>
      <c r="F3" s="1129"/>
      <c r="G3" s="1129" t="s">
        <v>236</v>
      </c>
      <c r="H3" s="1129"/>
    </row>
    <row r="4" spans="1:8" ht="25.25" customHeight="1">
      <c r="A4" s="159" t="s">
        <v>229</v>
      </c>
      <c r="B4" s="159" t="s">
        <v>228</v>
      </c>
      <c r="C4" s="159" t="s">
        <v>231</v>
      </c>
      <c r="D4" s="159" t="s">
        <v>232</v>
      </c>
      <c r="E4" s="159" t="s">
        <v>234</v>
      </c>
      <c r="F4" s="159" t="s">
        <v>235</v>
      </c>
      <c r="G4" s="159" t="s">
        <v>237</v>
      </c>
      <c r="H4" s="159" t="s">
        <v>238</v>
      </c>
    </row>
    <row r="5" spans="1:8" ht="25.25" customHeight="1">
      <c r="B5" s="159">
        <v>6</v>
      </c>
      <c r="C5" s="159">
        <v>6.7000000000000004E-2</v>
      </c>
      <c r="D5" s="159">
        <v>0.222</v>
      </c>
    </row>
    <row r="6" spans="1:8" ht="25.25" customHeight="1">
      <c r="B6" s="159">
        <v>6.5</v>
      </c>
    </row>
    <row r="7" spans="1:8" ht="25.25" customHeight="1">
      <c r="B7" s="159">
        <v>7</v>
      </c>
    </row>
    <row r="8" spans="1:8" ht="25.25" customHeight="1">
      <c r="B8" s="159">
        <v>8</v>
      </c>
    </row>
    <row r="9" spans="1:8" ht="25.25" customHeight="1">
      <c r="B9" s="159">
        <v>9</v>
      </c>
    </row>
    <row r="10" spans="1:8" ht="25.25" customHeight="1">
      <c r="B10" s="159">
        <v>10</v>
      </c>
      <c r="C10" s="159">
        <v>0.61699999999999999</v>
      </c>
      <c r="D10" s="159">
        <v>0.188</v>
      </c>
      <c r="E10" s="159">
        <v>0.39</v>
      </c>
      <c r="F10" s="173">
        <f>E10*25.4</f>
        <v>9.9060000000000006</v>
      </c>
      <c r="G10" s="173">
        <f>3.14/4*0.39*0.39</f>
        <v>0.11939850000000002</v>
      </c>
      <c r="H10" s="159">
        <f>G10*645.16</f>
        <v>77.031136260000011</v>
      </c>
    </row>
    <row r="11" spans="1:8" ht="25.25" customHeight="1">
      <c r="B11" s="159">
        <v>11</v>
      </c>
    </row>
    <row r="12" spans="1:8" ht="25.25" customHeight="1">
      <c r="B12" s="159">
        <v>12</v>
      </c>
    </row>
    <row r="13" spans="1:8" ht="25.25" customHeight="1">
      <c r="B13" s="159">
        <v>13</v>
      </c>
    </row>
    <row r="14" spans="1:8" ht="25.25" customHeight="1">
      <c r="B14" s="159">
        <v>14</v>
      </c>
    </row>
    <row r="15" spans="1:8" ht="25.25" customHeight="1">
      <c r="B15" s="159">
        <v>15</v>
      </c>
    </row>
    <row r="16" spans="1:8" ht="25.25" customHeight="1">
      <c r="B16" s="159">
        <v>16</v>
      </c>
    </row>
    <row r="17" spans="2:2" ht="25.25" customHeight="1">
      <c r="B17" s="159">
        <v>17</v>
      </c>
    </row>
    <row r="18" spans="2:2" ht="25.25" customHeight="1">
      <c r="B18" s="159">
        <v>18</v>
      </c>
    </row>
    <row r="19" spans="2:2" ht="25.25" customHeight="1">
      <c r="B19" s="159">
        <v>19</v>
      </c>
    </row>
    <row r="20" spans="2:2" ht="25.25" customHeight="1">
      <c r="B20" s="159">
        <v>20</v>
      </c>
    </row>
    <row r="21" spans="2:2" ht="25.25" customHeight="1">
      <c r="B21" s="159">
        <v>21</v>
      </c>
    </row>
    <row r="22" spans="2:2" ht="25.25" customHeight="1">
      <c r="B22" s="159">
        <v>22</v>
      </c>
    </row>
    <row r="23" spans="2:2" ht="25.25" customHeight="1">
      <c r="B23" s="159">
        <v>23</v>
      </c>
    </row>
    <row r="24" spans="2:2" ht="25.25" customHeight="1">
      <c r="B24" s="159">
        <v>24</v>
      </c>
    </row>
    <row r="25" spans="2:2" ht="25.25" customHeight="1">
      <c r="B25" s="159">
        <v>25</v>
      </c>
    </row>
    <row r="26" spans="2:2" ht="25.25" customHeight="1"/>
    <row r="27" spans="2:2" ht="25.25" customHeight="1"/>
    <row r="28" spans="2:2" ht="25.25" customHeight="1"/>
    <row r="29" spans="2:2" ht="25.25" customHeight="1"/>
    <row r="30" spans="2:2" ht="25.25" customHeight="1"/>
    <row r="31" spans="2:2" ht="25.25" customHeight="1"/>
    <row r="32" spans="2:2" ht="25.25" customHeight="1"/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</sheetData>
  <mergeCells count="4">
    <mergeCell ref="A3:B3"/>
    <mergeCell ref="C3:D3"/>
    <mergeCell ref="E3:F3"/>
    <mergeCell ref="G3:H3"/>
  </mergeCells>
  <pageMargins left="0.5" right="0.3" top="0.5" bottom="0.3" header="0" footer="0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FFFF-BCC5-487D-922B-DB3467BFB39D}">
  <dimension ref="B4:G28"/>
  <sheetViews>
    <sheetView workbookViewId="0">
      <selection activeCell="K21" sqref="K21"/>
    </sheetView>
  </sheetViews>
  <sheetFormatPr defaultRowHeight="14.5"/>
  <sheetData>
    <row r="4" spans="2:7" ht="15.5">
      <c r="B4" s="23">
        <v>1</v>
      </c>
      <c r="C4" s="26">
        <f>11.75*2-(0.5*1.67)-(0.5*1)</f>
        <v>22.164999999999999</v>
      </c>
      <c r="D4" s="26">
        <v>0.83</v>
      </c>
      <c r="E4" s="26">
        <f>15/12</f>
        <v>1.25</v>
      </c>
      <c r="F4" s="26"/>
      <c r="G4" s="27">
        <f>E4*D4*C4*B4</f>
        <v>22.996187499999998</v>
      </c>
    </row>
    <row r="5" spans="2:7" ht="15.5">
      <c r="B5" s="23">
        <v>1</v>
      </c>
      <c r="C5" s="26">
        <f>31.5-(1*1.67)-(2*1)</f>
        <v>27.83</v>
      </c>
      <c r="D5" s="26">
        <v>0.83</v>
      </c>
      <c r="E5" s="26">
        <f>15/12</f>
        <v>1.25</v>
      </c>
      <c r="F5" s="26"/>
      <c r="G5" s="27">
        <f t="shared" ref="G5:G13" si="0">E5*D5*C5*B5</f>
        <v>28.873624999999993</v>
      </c>
    </row>
    <row r="6" spans="2:7" ht="15.5">
      <c r="B6" s="23">
        <v>2</v>
      </c>
      <c r="C6" s="26">
        <f>96.5-(7*1.33)</f>
        <v>87.19</v>
      </c>
      <c r="D6" s="26">
        <v>0.83</v>
      </c>
      <c r="E6" s="26">
        <f>15/12</f>
        <v>1.25</v>
      </c>
      <c r="F6" s="26"/>
      <c r="G6" s="27">
        <f t="shared" si="0"/>
        <v>180.91924999999998</v>
      </c>
    </row>
    <row r="7" spans="2:7" ht="15.5">
      <c r="B7" s="23">
        <v>2</v>
      </c>
      <c r="C7" s="26">
        <f>16.25*4-(4*1)</f>
        <v>61</v>
      </c>
      <c r="D7" s="26">
        <v>0.83</v>
      </c>
      <c r="E7" s="26">
        <f>15/12</f>
        <v>1.25</v>
      </c>
      <c r="F7" s="26"/>
      <c r="G7" s="27">
        <f t="shared" si="0"/>
        <v>126.57499999999999</v>
      </c>
    </row>
    <row r="8" spans="2:7" ht="15.5">
      <c r="B8" s="23">
        <v>2</v>
      </c>
      <c r="C8" s="26">
        <f>16.25*4-(4*1.67)</f>
        <v>58.32</v>
      </c>
      <c r="D8" s="26">
        <v>0.83</v>
      </c>
      <c r="E8" s="26">
        <f>15/12</f>
        <v>1.25</v>
      </c>
      <c r="F8" s="26"/>
      <c r="G8" s="27">
        <f t="shared" si="0"/>
        <v>121.01399999999998</v>
      </c>
    </row>
    <row r="9" spans="2:7" ht="15.5">
      <c r="B9" s="23">
        <f>2*2</f>
        <v>4</v>
      </c>
      <c r="C9" s="26">
        <f>11.75-(1.5*1)</f>
        <v>10.25</v>
      </c>
      <c r="D9" s="26">
        <v>0.83</v>
      </c>
      <c r="E9" s="26">
        <f>1</f>
        <v>1</v>
      </c>
      <c r="F9" s="26"/>
      <c r="G9" s="27">
        <f t="shared" si="0"/>
        <v>34.03</v>
      </c>
    </row>
    <row r="10" spans="2:7" ht="15.5">
      <c r="B10" s="23">
        <f>2*2</f>
        <v>4</v>
      </c>
      <c r="C10" s="26">
        <f>8.25-(1*1)</f>
        <v>7.25</v>
      </c>
      <c r="D10" s="26">
        <v>0.83</v>
      </c>
      <c r="E10" s="26">
        <f>1</f>
        <v>1</v>
      </c>
      <c r="F10" s="26"/>
      <c r="G10" s="27">
        <f t="shared" si="0"/>
        <v>24.07</v>
      </c>
    </row>
    <row r="11" spans="2:7" ht="15.5">
      <c r="B11" s="23">
        <f>2*2</f>
        <v>4</v>
      </c>
      <c r="C11" s="26">
        <f>11.75-(1*1.5)-(0.5*1.67)</f>
        <v>9.4149999999999991</v>
      </c>
      <c r="D11" s="26">
        <v>0.83</v>
      </c>
      <c r="E11" s="26">
        <f>1</f>
        <v>1</v>
      </c>
      <c r="F11" s="26"/>
      <c r="G11" s="27">
        <f t="shared" si="0"/>
        <v>31.257799999999996</v>
      </c>
    </row>
    <row r="12" spans="2:7" ht="15.5">
      <c r="B12" s="23">
        <f>2*2</f>
        <v>4</v>
      </c>
      <c r="C12" s="26">
        <f>11.75-(1.5*1.33)</f>
        <v>9.754999999999999</v>
      </c>
      <c r="D12" s="26">
        <v>0.83</v>
      </c>
      <c r="E12" s="26">
        <f>1</f>
        <v>1</v>
      </c>
      <c r="F12" s="26"/>
      <c r="G12" s="27">
        <f t="shared" si="0"/>
        <v>32.386599999999994</v>
      </c>
    </row>
    <row r="13" spans="2:7" ht="15.5">
      <c r="B13" s="23">
        <f>2*2</f>
        <v>4</v>
      </c>
      <c r="C13" s="26">
        <f>16-(2*0.83)</f>
        <v>14.34</v>
      </c>
      <c r="D13" s="26">
        <v>0.83</v>
      </c>
      <c r="E13" s="26">
        <f>1</f>
        <v>1</v>
      </c>
      <c r="F13" s="26"/>
      <c r="G13" s="27">
        <f t="shared" si="0"/>
        <v>47.608799999999995</v>
      </c>
    </row>
    <row r="14" spans="2:7" ht="15.5">
      <c r="B14" s="23"/>
      <c r="C14" s="26"/>
      <c r="D14" s="26"/>
      <c r="E14" s="26"/>
      <c r="F14" s="26"/>
      <c r="G14" s="27"/>
    </row>
    <row r="15" spans="2:7" ht="15.5">
      <c r="B15" s="23">
        <v>2</v>
      </c>
      <c r="C15" s="26">
        <f>7-(1*1)</f>
        <v>6</v>
      </c>
      <c r="D15" s="26">
        <v>0.83</v>
      </c>
      <c r="E15" s="26">
        <f>15/12</f>
        <v>1.25</v>
      </c>
      <c r="F15" s="26"/>
      <c r="G15" s="27">
        <f>E15*D15*C15*B15</f>
        <v>12.45</v>
      </c>
    </row>
    <row r="16" spans="2:7" ht="15.5">
      <c r="B16" s="23">
        <f>2*2</f>
        <v>4</v>
      </c>
      <c r="C16" s="26">
        <f>13-(1*1.67)-(0.5*1)</f>
        <v>10.83</v>
      </c>
      <c r="D16" s="26">
        <v>0.83</v>
      </c>
      <c r="E16" s="26">
        <f>15/12</f>
        <v>1.25</v>
      </c>
      <c r="F16" s="26"/>
      <c r="G16" s="27">
        <f t="shared" ref="G16:G23" si="1">E16*D16*C16*B16</f>
        <v>44.944499999999998</v>
      </c>
    </row>
    <row r="17" spans="2:7" ht="15.5">
      <c r="B17" s="23">
        <v>4</v>
      </c>
      <c r="C17" s="26">
        <f>54-(4*1)-(2*1.5)</f>
        <v>47</v>
      </c>
      <c r="D17" s="26">
        <v>0.83</v>
      </c>
      <c r="E17" s="26">
        <f>1</f>
        <v>1</v>
      </c>
      <c r="F17" s="26"/>
      <c r="G17" s="27">
        <f t="shared" si="1"/>
        <v>156.04</v>
      </c>
    </row>
    <row r="18" spans="2:7" ht="15.5">
      <c r="B18" s="23">
        <v>2</v>
      </c>
      <c r="C18" s="26">
        <f>47-(3*1)-(2*1.5)</f>
        <v>41</v>
      </c>
      <c r="D18" s="26">
        <v>0.83</v>
      </c>
      <c r="E18" s="26">
        <f>1</f>
        <v>1</v>
      </c>
      <c r="F18" s="26"/>
      <c r="G18" s="27">
        <f t="shared" si="1"/>
        <v>68.06</v>
      </c>
    </row>
    <row r="19" spans="2:7" ht="15.5">
      <c r="B19" s="23">
        <v>2</v>
      </c>
      <c r="C19" s="26">
        <f>28-(3*1)</f>
        <v>25</v>
      </c>
      <c r="D19" s="26">
        <v>0.83</v>
      </c>
      <c r="E19" s="26">
        <f>1</f>
        <v>1</v>
      </c>
      <c r="F19" s="26"/>
      <c r="G19" s="27">
        <f t="shared" si="1"/>
        <v>41.5</v>
      </c>
    </row>
    <row r="20" spans="2:7" ht="15.5">
      <c r="B20" s="23">
        <v>2</v>
      </c>
      <c r="C20" s="26">
        <f>26-(2*1.5)-(1*0.83)</f>
        <v>22.17</v>
      </c>
      <c r="D20" s="26">
        <v>0.83</v>
      </c>
      <c r="E20" s="26">
        <f>1</f>
        <v>1</v>
      </c>
      <c r="F20" s="26"/>
      <c r="G20" s="27">
        <f t="shared" si="1"/>
        <v>36.802199999999999</v>
      </c>
    </row>
    <row r="21" spans="2:7" ht="15.5">
      <c r="B21" s="23">
        <v>2</v>
      </c>
      <c r="C21" s="26">
        <f>31.25-(1.5*1.5)-(2*1)</f>
        <v>27</v>
      </c>
      <c r="D21" s="26">
        <v>0.83</v>
      </c>
      <c r="E21" s="26">
        <f>1</f>
        <v>1</v>
      </c>
      <c r="F21" s="26"/>
      <c r="G21" s="27">
        <f t="shared" si="1"/>
        <v>44.82</v>
      </c>
    </row>
    <row r="22" spans="2:7" ht="15.5">
      <c r="B22" s="23">
        <f>4*2</f>
        <v>8</v>
      </c>
      <c r="C22" s="26">
        <f>13-(1*0.83)</f>
        <v>12.17</v>
      </c>
      <c r="D22" s="26">
        <v>0.83</v>
      </c>
      <c r="E22" s="26">
        <f>1</f>
        <v>1</v>
      </c>
      <c r="F22" s="26"/>
      <c r="G22" s="27">
        <f t="shared" si="1"/>
        <v>80.808799999999991</v>
      </c>
    </row>
    <row r="23" spans="2:7" ht="15.5">
      <c r="B23" s="23">
        <f>4*2</f>
        <v>8</v>
      </c>
      <c r="C23" s="26">
        <f>8.25-(1*0.83)+4*2</f>
        <v>15.42</v>
      </c>
      <c r="D23" s="26">
        <v>0.83</v>
      </c>
      <c r="E23" s="26">
        <f>1</f>
        <v>1</v>
      </c>
      <c r="F23" s="26"/>
      <c r="G23" s="27">
        <f t="shared" si="1"/>
        <v>102.38879999999999</v>
      </c>
    </row>
    <row r="24" spans="2:7" ht="15.5">
      <c r="B24" s="23">
        <f>2*2</f>
        <v>4</v>
      </c>
      <c r="C24" s="26">
        <f>10.5-(1*0.83)+4*2</f>
        <v>17.670000000000002</v>
      </c>
      <c r="D24" s="26">
        <v>0.83</v>
      </c>
      <c r="E24" s="26">
        <f>1</f>
        <v>1</v>
      </c>
      <c r="F24" s="26"/>
      <c r="G24" s="27">
        <f>E24*D24*C24*B24</f>
        <v>58.664400000000001</v>
      </c>
    </row>
    <row r="25" spans="2:7">
      <c r="G25" s="190">
        <f>SUM(G4:G24)</f>
        <v>1296.2099625000001</v>
      </c>
    </row>
    <row r="27" spans="2:7">
      <c r="G27">
        <f>G25/100</f>
        <v>12.962099625</v>
      </c>
    </row>
    <row r="28" spans="2:7">
      <c r="G28">
        <f>G27*2.83</f>
        <v>36.682741938749999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472-054F-4DF7-B1BC-3BB3532E2A66}">
  <dimension ref="A1"/>
  <sheetViews>
    <sheetView workbookViewId="0">
      <selection activeCell="K21" sqref="K21"/>
    </sheetView>
  </sheetViews>
  <sheetFormatPr defaultRowHeight="14.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D51E-BF24-4687-A632-5FDEF4A1EDB2}">
  <dimension ref="A1:AD72"/>
  <sheetViews>
    <sheetView view="pageBreakPreview" topLeftCell="A25" zoomScaleNormal="100" zoomScaleSheetLayoutView="100" workbookViewId="0">
      <selection activeCell="K21" sqref="K21"/>
    </sheetView>
  </sheetViews>
  <sheetFormatPr defaultColWidth="9.36328125" defaultRowHeight="14.5"/>
  <cols>
    <col min="1" max="1" width="4.36328125" style="215" customWidth="1"/>
    <col min="2" max="2" width="20.6328125" style="215" customWidth="1"/>
    <col min="3" max="5" width="3.6328125" style="215" customWidth="1"/>
    <col min="6" max="6" width="11.36328125" style="194" customWidth="1"/>
    <col min="7" max="8" width="8.36328125" style="215" customWidth="1"/>
    <col min="9" max="9" width="7.453125" style="215" customWidth="1"/>
    <col min="10" max="10" width="9.453125" style="215" customWidth="1"/>
    <col min="11" max="11" width="14.36328125" style="194" customWidth="1"/>
    <col min="12" max="12" width="5.54296875" style="215" customWidth="1"/>
    <col min="13" max="16384" width="9.36328125" style="215"/>
  </cols>
  <sheetData>
    <row r="1" spans="1:30" s="201" customFormat="1" ht="21.75" customHeight="1">
      <c r="A1" s="1130" t="s">
        <v>225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96"/>
      <c r="N1" s="197"/>
      <c r="O1" s="198"/>
      <c r="P1" s="198"/>
      <c r="Q1" s="199"/>
      <c r="R1" s="195"/>
      <c r="S1" s="195"/>
      <c r="T1" s="195"/>
      <c r="U1" s="195"/>
      <c r="V1" s="200"/>
      <c r="W1" s="200"/>
    </row>
    <row r="2" spans="1:30" s="203" customFormat="1" ht="21.75" customHeight="1">
      <c r="A2" s="1130" t="s">
        <v>42</v>
      </c>
      <c r="B2" s="1130"/>
      <c r="C2" s="1130"/>
      <c r="D2" s="1130"/>
      <c r="E2" s="1130"/>
      <c r="F2" s="1130"/>
      <c r="G2" s="1130"/>
      <c r="H2" s="1130"/>
      <c r="I2" s="1130"/>
      <c r="J2" s="1130"/>
      <c r="K2" s="1130"/>
      <c r="L2" s="1130"/>
      <c r="M2" s="196"/>
      <c r="N2" s="197"/>
      <c r="O2" s="198"/>
      <c r="P2" s="198"/>
      <c r="Q2" s="199"/>
      <c r="R2" s="195"/>
      <c r="S2" s="195"/>
      <c r="T2" s="195"/>
      <c r="U2" s="195"/>
      <c r="V2" s="202"/>
      <c r="W2" s="202"/>
      <c r="Z2" s="202"/>
      <c r="AC2" s="202"/>
      <c r="AD2" s="202"/>
    </row>
    <row r="3" spans="1:30" s="203" customFormat="1" ht="21.75" customHeight="1">
      <c r="A3" s="1131" t="s">
        <v>3</v>
      </c>
      <c r="B3" s="1132" t="s">
        <v>2</v>
      </c>
      <c r="C3" s="1133" t="s">
        <v>3</v>
      </c>
      <c r="D3" s="1133"/>
      <c r="E3" s="1133"/>
      <c r="F3" s="1132" t="s">
        <v>4</v>
      </c>
      <c r="G3" s="1132"/>
      <c r="H3" s="1132"/>
      <c r="I3" s="1134" t="s">
        <v>208</v>
      </c>
      <c r="J3" s="1135" t="s">
        <v>5</v>
      </c>
      <c r="K3" s="1136" t="s">
        <v>161</v>
      </c>
      <c r="L3" s="1138" t="s">
        <v>0</v>
      </c>
      <c r="M3" s="204"/>
      <c r="N3" s="205"/>
      <c r="O3" s="206"/>
      <c r="P3" s="206"/>
      <c r="Q3" s="207"/>
      <c r="R3" s="208"/>
      <c r="S3" s="208" t="s">
        <v>224</v>
      </c>
      <c r="T3" s="208"/>
      <c r="U3" s="208"/>
      <c r="V3" s="209"/>
      <c r="W3" s="209"/>
      <c r="Z3" s="202"/>
      <c r="AC3" s="202"/>
      <c r="AD3" s="202"/>
    </row>
    <row r="4" spans="1:30" s="203" customFormat="1" ht="21.75" customHeight="1">
      <c r="A4" s="1131"/>
      <c r="B4" s="1132"/>
      <c r="C4" s="1133"/>
      <c r="D4" s="1133"/>
      <c r="E4" s="1133"/>
      <c r="F4" s="210" t="s">
        <v>6</v>
      </c>
      <c r="G4" s="189" t="s">
        <v>7</v>
      </c>
      <c r="H4" s="189" t="s">
        <v>8</v>
      </c>
      <c r="I4" s="1132"/>
      <c r="J4" s="1135"/>
      <c r="K4" s="1137"/>
      <c r="L4" s="1138"/>
      <c r="M4" s="204"/>
      <c r="N4" s="205"/>
      <c r="O4" s="206"/>
      <c r="P4" s="206"/>
      <c r="Q4" s="207"/>
      <c r="R4" s="208"/>
      <c r="S4" s="208"/>
      <c r="T4" s="208"/>
      <c r="U4" s="208"/>
      <c r="V4" s="211"/>
      <c r="W4" s="211"/>
      <c r="Z4" s="202"/>
      <c r="AC4" s="202"/>
      <c r="AD4" s="202"/>
    </row>
    <row r="5" spans="1:30" ht="22.25" customHeight="1">
      <c r="A5" s="185">
        <v>1</v>
      </c>
      <c r="B5" s="171" t="s">
        <v>169</v>
      </c>
      <c r="C5" s="184"/>
      <c r="D5" s="184"/>
      <c r="E5" s="184"/>
      <c r="F5" s="212"/>
      <c r="G5" s="213"/>
      <c r="H5" s="186"/>
      <c r="I5" s="186"/>
      <c r="J5" s="187"/>
      <c r="K5" s="214"/>
      <c r="L5" s="183"/>
    </row>
    <row r="6" spans="1:30" ht="22.25" customHeight="1">
      <c r="A6" s="185"/>
      <c r="B6" s="174" t="s">
        <v>151</v>
      </c>
      <c r="C6" s="184"/>
      <c r="D6" s="184"/>
      <c r="E6" s="184"/>
      <c r="F6" s="212"/>
      <c r="G6" s="186"/>
      <c r="H6" s="186"/>
      <c r="I6" s="186"/>
      <c r="J6" s="187"/>
      <c r="K6" s="214"/>
      <c r="L6" s="183"/>
    </row>
    <row r="7" spans="1:30" ht="22.25" customHeight="1">
      <c r="A7" s="185"/>
      <c r="B7" s="178" t="s">
        <v>167</v>
      </c>
      <c r="C7" s="184"/>
      <c r="D7" s="184"/>
      <c r="E7" s="184"/>
      <c r="F7" s="212"/>
      <c r="G7" s="186"/>
      <c r="H7" s="186"/>
      <c r="I7" s="186"/>
      <c r="J7" s="187"/>
      <c r="K7" s="214"/>
      <c r="L7" s="183"/>
    </row>
    <row r="8" spans="1:30" ht="22.25" customHeight="1">
      <c r="A8" s="185"/>
      <c r="B8" s="172" t="s">
        <v>170</v>
      </c>
      <c r="C8" s="184"/>
      <c r="D8" s="184">
        <v>8</v>
      </c>
      <c r="E8" s="184">
        <v>1</v>
      </c>
      <c r="F8" s="212">
        <v>8</v>
      </c>
      <c r="G8" s="186">
        <v>8</v>
      </c>
      <c r="H8" s="186"/>
      <c r="I8" s="186"/>
      <c r="J8" s="187">
        <f>G8*F8*E8*D8</f>
        <v>512</v>
      </c>
      <c r="K8" s="214"/>
      <c r="L8" s="183"/>
    </row>
    <row r="9" spans="1:30" ht="22.25" customHeight="1">
      <c r="A9" s="185"/>
      <c r="B9" s="178" t="s">
        <v>165</v>
      </c>
      <c r="C9" s="184"/>
      <c r="D9" s="184"/>
      <c r="E9" s="184"/>
      <c r="F9" s="212"/>
      <c r="G9" s="186"/>
      <c r="H9" s="186"/>
      <c r="I9" s="186"/>
      <c r="J9" s="187"/>
      <c r="K9" s="214"/>
      <c r="L9" s="183"/>
    </row>
    <row r="10" spans="1:30" ht="22.25" customHeight="1">
      <c r="A10" s="185"/>
      <c r="B10" s="172" t="s">
        <v>170</v>
      </c>
      <c r="C10" s="184"/>
      <c r="D10" s="216">
        <v>8</v>
      </c>
      <c r="E10" s="216">
        <v>1</v>
      </c>
      <c r="F10" s="212">
        <v>8</v>
      </c>
      <c r="G10" s="186">
        <v>5</v>
      </c>
      <c r="H10" s="186"/>
      <c r="I10" s="186"/>
      <c r="J10" s="187">
        <f>G10*F10*E10*D10</f>
        <v>320</v>
      </c>
      <c r="K10" s="214"/>
      <c r="L10" s="183"/>
    </row>
    <row r="11" spans="1:30" ht="22.25" customHeight="1">
      <c r="A11" s="217"/>
      <c r="B11" s="179" t="s">
        <v>145</v>
      </c>
      <c r="C11" s="216"/>
      <c r="D11" s="216"/>
      <c r="E11" s="216"/>
      <c r="F11" s="212"/>
      <c r="G11" s="218"/>
      <c r="H11" s="186"/>
      <c r="I11" s="219"/>
      <c r="J11" s="220"/>
      <c r="K11" s="214"/>
      <c r="L11" s="221"/>
    </row>
    <row r="12" spans="1:30" ht="22.25" customHeight="1">
      <c r="A12" s="217"/>
      <c r="B12" s="180" t="s">
        <v>108</v>
      </c>
      <c r="C12" s="216"/>
      <c r="D12" s="216">
        <v>8</v>
      </c>
      <c r="E12" s="216">
        <v>1</v>
      </c>
      <c r="F12" s="212">
        <v>4</v>
      </c>
      <c r="G12" s="186">
        <f>1.67</f>
        <v>1.67</v>
      </c>
      <c r="H12" s="186"/>
      <c r="I12" s="186"/>
      <c r="J12" s="187">
        <f>F12*E12*D12*G12</f>
        <v>53.44</v>
      </c>
      <c r="K12" s="214"/>
      <c r="L12" s="221"/>
    </row>
    <row r="13" spans="1:30" ht="22.25" customHeight="1">
      <c r="A13" s="217"/>
      <c r="B13" s="180" t="s">
        <v>108</v>
      </c>
      <c r="C13" s="216"/>
      <c r="D13" s="216">
        <v>8</v>
      </c>
      <c r="E13" s="216">
        <v>1</v>
      </c>
      <c r="F13" s="212">
        <v>5</v>
      </c>
      <c r="G13" s="186">
        <f>1.67</f>
        <v>1.67</v>
      </c>
      <c r="H13" s="186"/>
      <c r="I13" s="186"/>
      <c r="J13" s="187">
        <f>F13*E13*D13*G13</f>
        <v>66.8</v>
      </c>
      <c r="K13" s="214"/>
      <c r="L13" s="221"/>
    </row>
    <row r="14" spans="1:30" ht="22.25" customHeight="1">
      <c r="A14" s="217"/>
      <c r="B14" s="180"/>
      <c r="C14" s="216"/>
      <c r="D14" s="216">
        <v>8</v>
      </c>
      <c r="E14" s="216">
        <v>1</v>
      </c>
      <c r="F14" s="212">
        <f>(4+1.67)+(5+1.67)</f>
        <v>12.34</v>
      </c>
      <c r="G14" s="186">
        <v>0.33</v>
      </c>
      <c r="H14" s="186"/>
      <c r="I14" s="186"/>
      <c r="J14" s="187">
        <f>F14*E14*D14*G14</f>
        <v>32.577600000000004</v>
      </c>
      <c r="K14" s="214"/>
      <c r="L14" s="221"/>
    </row>
    <row r="15" spans="1:30" ht="22.25" customHeight="1">
      <c r="A15" s="185"/>
      <c r="B15" s="175" t="s">
        <v>239</v>
      </c>
      <c r="C15" s="184"/>
      <c r="D15" s="184"/>
      <c r="E15" s="184"/>
      <c r="F15" s="212"/>
      <c r="G15" s="186"/>
      <c r="H15" s="186"/>
      <c r="I15" s="186"/>
      <c r="J15" s="187"/>
      <c r="K15" s="214"/>
      <c r="L15" s="183"/>
    </row>
    <row r="16" spans="1:30" ht="22.25" customHeight="1">
      <c r="A16" s="185"/>
      <c r="B16" s="178" t="s">
        <v>167</v>
      </c>
      <c r="C16" s="184"/>
      <c r="D16" s="184"/>
      <c r="E16" s="184"/>
      <c r="F16" s="212"/>
      <c r="G16" s="186"/>
      <c r="H16" s="186"/>
      <c r="I16" s="186"/>
      <c r="J16" s="187"/>
      <c r="K16" s="214"/>
      <c r="L16" s="183"/>
    </row>
    <row r="17" spans="1:12" ht="22.25" customHeight="1">
      <c r="A17" s="185"/>
      <c r="B17" s="172" t="s">
        <v>170</v>
      </c>
      <c r="C17" s="184">
        <v>5</v>
      </c>
      <c r="D17" s="184">
        <v>8</v>
      </c>
      <c r="E17" s="184">
        <v>1</v>
      </c>
      <c r="F17" s="212">
        <v>8</v>
      </c>
      <c r="G17" s="186">
        <v>8</v>
      </c>
      <c r="H17" s="186"/>
      <c r="I17" s="186"/>
      <c r="J17" s="187">
        <f>G17*F17*E17*D17*C17</f>
        <v>2560</v>
      </c>
      <c r="K17" s="214"/>
      <c r="L17" s="183"/>
    </row>
    <row r="18" spans="1:12" ht="22.25" customHeight="1">
      <c r="A18" s="185"/>
      <c r="B18" s="178" t="s">
        <v>165</v>
      </c>
      <c r="C18" s="184"/>
      <c r="D18" s="184"/>
      <c r="E18" s="184"/>
      <c r="F18" s="212"/>
      <c r="G18" s="186"/>
      <c r="H18" s="186"/>
      <c r="I18" s="186"/>
      <c r="J18" s="187"/>
      <c r="K18" s="214"/>
      <c r="L18" s="183"/>
    </row>
    <row r="19" spans="1:12" ht="22.25" customHeight="1">
      <c r="A19" s="185"/>
      <c r="B19" s="172" t="s">
        <v>170</v>
      </c>
      <c r="C19" s="184">
        <v>5</v>
      </c>
      <c r="D19" s="216">
        <v>8</v>
      </c>
      <c r="E19" s="216">
        <v>1</v>
      </c>
      <c r="F19" s="212">
        <v>8</v>
      </c>
      <c r="G19" s="186">
        <v>5</v>
      </c>
      <c r="H19" s="186"/>
      <c r="I19" s="186"/>
      <c r="J19" s="187">
        <f>G19*F19*E19*D19*C19</f>
        <v>1600</v>
      </c>
      <c r="K19" s="214"/>
      <c r="L19" s="183"/>
    </row>
    <row r="20" spans="1:12" ht="22.25" customHeight="1">
      <c r="A20" s="217"/>
      <c r="B20" s="179" t="s">
        <v>145</v>
      </c>
      <c r="C20" s="216"/>
      <c r="D20" s="216"/>
      <c r="E20" s="216"/>
      <c r="F20" s="212"/>
      <c r="G20" s="218"/>
      <c r="H20" s="186"/>
      <c r="I20" s="219"/>
      <c r="J20" s="220"/>
      <c r="K20" s="214"/>
      <c r="L20" s="221"/>
    </row>
    <row r="21" spans="1:12" ht="22.25" customHeight="1">
      <c r="A21" s="217"/>
      <c r="B21" s="180" t="s">
        <v>108</v>
      </c>
      <c r="C21" s="216">
        <v>5</v>
      </c>
      <c r="D21" s="216">
        <v>8</v>
      </c>
      <c r="E21" s="216">
        <v>1</v>
      </c>
      <c r="F21" s="212">
        <v>4</v>
      </c>
      <c r="G21" s="186">
        <f>1.67</f>
        <v>1.67</v>
      </c>
      <c r="H21" s="186"/>
      <c r="I21" s="186"/>
      <c r="J21" s="187">
        <f>G21*F21*E21*D21*C21</f>
        <v>267.2</v>
      </c>
      <c r="K21" s="214"/>
      <c r="L21" s="221"/>
    </row>
    <row r="22" spans="1:12" ht="22.25" customHeight="1">
      <c r="A22" s="217"/>
      <c r="B22" s="180" t="s">
        <v>108</v>
      </c>
      <c r="C22" s="216">
        <v>5</v>
      </c>
      <c r="D22" s="216">
        <v>8</v>
      </c>
      <c r="E22" s="216">
        <v>1</v>
      </c>
      <c r="F22" s="212">
        <v>5</v>
      </c>
      <c r="G22" s="186">
        <f>1.67</f>
        <v>1.67</v>
      </c>
      <c r="H22" s="186"/>
      <c r="I22" s="186"/>
      <c r="J22" s="187">
        <f>G22*F22*E22*D22*C22</f>
        <v>334</v>
      </c>
      <c r="K22" s="214"/>
      <c r="L22" s="221"/>
    </row>
    <row r="23" spans="1:12" ht="22.25" customHeight="1">
      <c r="A23" s="217"/>
      <c r="B23" s="180"/>
      <c r="C23" s="216">
        <v>5</v>
      </c>
      <c r="D23" s="216">
        <v>8</v>
      </c>
      <c r="E23" s="216">
        <v>1</v>
      </c>
      <c r="F23" s="212">
        <f>(4+1.67)+(5+1.67)</f>
        <v>12.34</v>
      </c>
      <c r="G23" s="186">
        <f>0.33</f>
        <v>0.33</v>
      </c>
      <c r="H23" s="186"/>
      <c r="I23" s="186"/>
      <c r="J23" s="187">
        <f>G23*F23*E23*D23*C23</f>
        <v>162.88800000000003</v>
      </c>
      <c r="K23" s="214"/>
      <c r="L23" s="221"/>
    </row>
    <row r="24" spans="1:12" ht="22.25" customHeight="1">
      <c r="A24" s="185"/>
      <c r="B24" s="172"/>
      <c r="C24" s="184"/>
      <c r="D24" s="184"/>
      <c r="E24" s="184"/>
      <c r="F24" s="212"/>
      <c r="G24" s="186"/>
      <c r="H24" s="186"/>
      <c r="I24" s="186"/>
      <c r="J24" s="222"/>
      <c r="K24" s="223">
        <f>SUM(J8:J23)</f>
        <v>5908.9056</v>
      </c>
      <c r="L24" s="185" t="s">
        <v>10</v>
      </c>
    </row>
    <row r="25" spans="1:12" ht="22.25" customHeight="1">
      <c r="A25" s="185"/>
      <c r="B25" s="172"/>
      <c r="C25" s="184"/>
      <c r="D25" s="184"/>
      <c r="E25" s="184"/>
      <c r="F25" s="212"/>
      <c r="G25" s="186"/>
      <c r="H25" s="186"/>
      <c r="I25" s="186"/>
      <c r="J25" s="222"/>
      <c r="K25" s="224">
        <f>K24/100</f>
        <v>59.089055999999999</v>
      </c>
      <c r="L25" s="185" t="s">
        <v>220</v>
      </c>
    </row>
    <row r="26" spans="1:12" ht="22.25" customHeight="1">
      <c r="A26" s="225"/>
      <c r="B26" s="191" t="s">
        <v>247</v>
      </c>
      <c r="C26" s="226"/>
      <c r="D26" s="226"/>
      <c r="E26" s="226" t="s">
        <v>221</v>
      </c>
      <c r="F26" s="227">
        <f>K24</f>
        <v>5908.9056</v>
      </c>
      <c r="G26" s="228" t="s">
        <v>19</v>
      </c>
      <c r="H26" s="228"/>
      <c r="I26" s="228"/>
      <c r="J26" s="229"/>
      <c r="K26" s="230"/>
      <c r="L26" s="225"/>
    </row>
    <row r="27" spans="1:12" ht="22.25" customHeight="1">
      <c r="A27" s="225"/>
      <c r="B27" s="191"/>
      <c r="C27" s="226"/>
      <c r="D27" s="226"/>
      <c r="E27" s="226" t="s">
        <v>221</v>
      </c>
      <c r="F27" s="227">
        <f>F26*1.05</f>
        <v>6204.35088</v>
      </c>
      <c r="G27" s="228" t="s">
        <v>19</v>
      </c>
      <c r="H27" s="1139" t="s">
        <v>244</v>
      </c>
      <c r="I27" s="1141"/>
      <c r="J27" s="229"/>
      <c r="K27" s="230"/>
      <c r="L27" s="225"/>
    </row>
    <row r="28" spans="1:12" ht="22.25" customHeight="1">
      <c r="A28" s="225"/>
      <c r="B28" s="192"/>
      <c r="C28" s="231"/>
      <c r="D28" s="231"/>
      <c r="E28" s="231" t="s">
        <v>221</v>
      </c>
      <c r="F28" s="1139" t="s">
        <v>250</v>
      </c>
      <c r="G28" s="1140"/>
      <c r="H28" s="1141"/>
      <c r="I28" s="232"/>
      <c r="J28" s="229"/>
      <c r="K28" s="233">
        <f>6230*600</f>
        <v>3738000</v>
      </c>
      <c r="L28" s="225" t="s">
        <v>245</v>
      </c>
    </row>
    <row r="29" spans="1:12" ht="22.25" customHeight="1">
      <c r="A29" s="185"/>
      <c r="B29" s="172"/>
      <c r="C29" s="184"/>
      <c r="D29" s="184"/>
      <c r="E29" s="184"/>
      <c r="F29" s="212"/>
      <c r="G29" s="186"/>
      <c r="H29" s="186"/>
      <c r="I29" s="186"/>
      <c r="J29" s="222"/>
      <c r="K29" s="223"/>
      <c r="L29" s="185"/>
    </row>
    <row r="30" spans="1:12" ht="22.25" customHeight="1">
      <c r="A30" s="185">
        <v>2</v>
      </c>
      <c r="B30" s="171" t="s">
        <v>166</v>
      </c>
      <c r="C30" s="184"/>
      <c r="D30" s="184"/>
      <c r="E30" s="184"/>
      <c r="F30" s="212"/>
      <c r="G30" s="186"/>
      <c r="H30" s="186"/>
      <c r="I30" s="186"/>
      <c r="J30" s="187"/>
      <c r="K30" s="214"/>
      <c r="L30" s="183"/>
    </row>
    <row r="31" spans="1:12" ht="22.25" customHeight="1">
      <c r="A31" s="185"/>
      <c r="B31" s="174" t="s">
        <v>151</v>
      </c>
      <c r="C31" s="184"/>
      <c r="D31" s="184"/>
      <c r="E31" s="184"/>
      <c r="F31" s="212"/>
      <c r="G31" s="186"/>
      <c r="H31" s="186"/>
      <c r="I31" s="186"/>
      <c r="J31" s="187"/>
      <c r="K31" s="214"/>
      <c r="L31" s="183"/>
    </row>
    <row r="32" spans="1:12" ht="22.25" customHeight="1">
      <c r="A32" s="185"/>
      <c r="B32" s="178" t="s">
        <v>165</v>
      </c>
      <c r="C32" s="184"/>
      <c r="D32" s="184"/>
      <c r="E32" s="184"/>
      <c r="F32" s="212"/>
      <c r="G32" s="186"/>
      <c r="H32" s="186"/>
      <c r="I32" s="186"/>
      <c r="J32" s="187"/>
      <c r="K32" s="214"/>
      <c r="L32" s="183"/>
    </row>
    <row r="33" spans="1:12" ht="22.25" customHeight="1">
      <c r="A33" s="185"/>
      <c r="B33" s="172" t="s">
        <v>168</v>
      </c>
      <c r="C33" s="184"/>
      <c r="D33" s="216">
        <v>8</v>
      </c>
      <c r="E33" s="216">
        <v>1</v>
      </c>
      <c r="F33" s="212">
        <f>8*2+5*2</f>
        <v>26</v>
      </c>
      <c r="G33" s="186"/>
      <c r="H33" s="186">
        <v>6.5</v>
      </c>
      <c r="I33" s="186"/>
      <c r="J33" s="187">
        <f>H33*F33*E33*D33</f>
        <v>1352</v>
      </c>
      <c r="K33" s="214"/>
      <c r="L33" s="183"/>
    </row>
    <row r="34" spans="1:12" ht="22.25" customHeight="1">
      <c r="A34" s="185"/>
      <c r="B34" s="177" t="s">
        <v>43</v>
      </c>
      <c r="C34" s="184"/>
      <c r="D34" s="216"/>
      <c r="E34" s="216"/>
      <c r="F34" s="212"/>
      <c r="G34" s="186"/>
      <c r="H34" s="186"/>
      <c r="I34" s="186"/>
      <c r="J34" s="187"/>
      <c r="K34" s="214"/>
      <c r="L34" s="183"/>
    </row>
    <row r="35" spans="1:12" ht="22.25" customHeight="1">
      <c r="A35" s="185"/>
      <c r="B35" s="181" t="s">
        <v>217</v>
      </c>
      <c r="C35" s="184"/>
      <c r="D35" s="216">
        <v>4</v>
      </c>
      <c r="E35" s="216">
        <v>1</v>
      </c>
      <c r="F35" s="212">
        <v>2.5</v>
      </c>
      <c r="G35" s="186"/>
      <c r="H35" s="186">
        <v>6.5</v>
      </c>
      <c r="I35" s="186">
        <f>H35*F35*E35*D35</f>
        <v>65</v>
      </c>
      <c r="J35" s="187"/>
      <c r="K35" s="214"/>
      <c r="L35" s="183"/>
    </row>
    <row r="36" spans="1:12" ht="22.25" customHeight="1">
      <c r="A36" s="185"/>
      <c r="B36" s="181" t="s">
        <v>216</v>
      </c>
      <c r="C36" s="184"/>
      <c r="D36" s="216">
        <v>4</v>
      </c>
      <c r="E36" s="216">
        <v>1</v>
      </c>
      <c r="F36" s="212">
        <v>2.5</v>
      </c>
      <c r="G36" s="186"/>
      <c r="H36" s="186">
        <v>6.5</v>
      </c>
      <c r="I36" s="186">
        <f>H36*F36*E36*D36</f>
        <v>65</v>
      </c>
      <c r="J36" s="187"/>
      <c r="K36" s="214"/>
      <c r="L36" s="183"/>
    </row>
    <row r="37" spans="1:12" ht="22.25" customHeight="1">
      <c r="A37" s="217"/>
      <c r="B37" s="179" t="s">
        <v>145</v>
      </c>
      <c r="C37" s="216"/>
      <c r="D37" s="216"/>
      <c r="E37" s="216"/>
      <c r="F37" s="212"/>
      <c r="G37" s="218"/>
      <c r="H37" s="186"/>
      <c r="I37" s="219"/>
      <c r="J37" s="220"/>
      <c r="K37" s="214"/>
      <c r="L37" s="221"/>
    </row>
    <row r="38" spans="1:12" ht="22.25" customHeight="1">
      <c r="A38" s="185"/>
      <c r="B38" s="172" t="s">
        <v>168</v>
      </c>
      <c r="C38" s="184"/>
      <c r="D38" s="216">
        <v>8</v>
      </c>
      <c r="E38" s="216">
        <v>1</v>
      </c>
      <c r="F38" s="212">
        <v>4</v>
      </c>
      <c r="G38" s="186"/>
      <c r="H38" s="186">
        <v>2</v>
      </c>
      <c r="I38" s="186"/>
      <c r="J38" s="187">
        <f>H38*F38*E38*D38</f>
        <v>64</v>
      </c>
      <c r="K38" s="214"/>
      <c r="L38" s="183"/>
    </row>
    <row r="39" spans="1:12" ht="22.25" customHeight="1">
      <c r="A39" s="185"/>
      <c r="B39" s="172" t="s">
        <v>168</v>
      </c>
      <c r="C39" s="184"/>
      <c r="D39" s="216">
        <v>8</v>
      </c>
      <c r="E39" s="216">
        <v>1</v>
      </c>
      <c r="F39" s="212">
        <v>5</v>
      </c>
      <c r="G39" s="186"/>
      <c r="H39" s="186">
        <v>2</v>
      </c>
      <c r="I39" s="186"/>
      <c r="J39" s="187">
        <f>H39*F39*E39*D39</f>
        <v>80</v>
      </c>
      <c r="K39" s="214"/>
      <c r="L39" s="183"/>
    </row>
    <row r="40" spans="1:12" ht="22.25" customHeight="1">
      <c r="A40" s="185"/>
      <c r="B40" s="172"/>
      <c r="C40" s="184"/>
      <c r="D40" s="216">
        <v>8</v>
      </c>
      <c r="E40" s="216">
        <v>2</v>
      </c>
      <c r="F40" s="212">
        <v>1.67</v>
      </c>
      <c r="G40" s="186"/>
      <c r="H40" s="186">
        <v>2</v>
      </c>
      <c r="I40" s="186"/>
      <c r="J40" s="187">
        <f>H40*F40*E40*D40</f>
        <v>53.44</v>
      </c>
      <c r="K40" s="214"/>
      <c r="L40" s="183"/>
    </row>
    <row r="41" spans="1:12" ht="22.25" customHeight="1">
      <c r="A41" s="185"/>
      <c r="B41" s="172"/>
      <c r="C41" s="184"/>
      <c r="D41" s="216">
        <v>8</v>
      </c>
      <c r="E41" s="216">
        <v>6</v>
      </c>
      <c r="F41" s="212">
        <f>0.38</f>
        <v>0.38</v>
      </c>
      <c r="G41" s="186"/>
      <c r="H41" s="186">
        <f>3-0.33</f>
        <v>2.67</v>
      </c>
      <c r="I41" s="186"/>
      <c r="J41" s="187">
        <f>H41*F41*E41*D41</f>
        <v>48.700800000000001</v>
      </c>
      <c r="K41" s="214"/>
      <c r="L41" s="183"/>
    </row>
    <row r="42" spans="1:12" ht="22.25" customHeight="1">
      <c r="A42" s="185"/>
      <c r="B42" s="172"/>
      <c r="C42" s="184"/>
      <c r="D42" s="216">
        <v>8</v>
      </c>
      <c r="E42" s="216">
        <v>2</v>
      </c>
      <c r="F42" s="212">
        <f>1.67</f>
        <v>1.67</v>
      </c>
      <c r="G42" s="186"/>
      <c r="H42" s="186">
        <v>3</v>
      </c>
      <c r="I42" s="186"/>
      <c r="J42" s="187">
        <f>H42*F42*E42*D42</f>
        <v>80.16</v>
      </c>
      <c r="K42" s="214"/>
      <c r="L42" s="183"/>
    </row>
    <row r="43" spans="1:12" ht="22.25" customHeight="1">
      <c r="A43" s="185"/>
      <c r="B43" s="175" t="s">
        <v>239</v>
      </c>
      <c r="C43" s="184"/>
      <c r="D43" s="184"/>
      <c r="E43" s="184"/>
      <c r="F43" s="212"/>
      <c r="G43" s="186"/>
      <c r="H43" s="186"/>
      <c r="I43" s="186"/>
      <c r="J43" s="187"/>
      <c r="K43" s="214"/>
      <c r="L43" s="183"/>
    </row>
    <row r="44" spans="1:12" ht="22.25" customHeight="1">
      <c r="A44" s="185"/>
      <c r="B44" s="178" t="s">
        <v>165</v>
      </c>
      <c r="C44" s="184"/>
      <c r="D44" s="184"/>
      <c r="E44" s="184"/>
      <c r="F44" s="212"/>
      <c r="G44" s="186"/>
      <c r="H44" s="186"/>
      <c r="I44" s="186"/>
      <c r="J44" s="187"/>
      <c r="K44" s="214"/>
      <c r="L44" s="183"/>
    </row>
    <row r="45" spans="1:12" ht="22.25" customHeight="1">
      <c r="A45" s="185"/>
      <c r="B45" s="172" t="s">
        <v>168</v>
      </c>
      <c r="C45" s="184">
        <v>5</v>
      </c>
      <c r="D45" s="216">
        <v>8</v>
      </c>
      <c r="E45" s="216">
        <v>1</v>
      </c>
      <c r="F45" s="212">
        <f>8*2+5*2</f>
        <v>26</v>
      </c>
      <c r="G45" s="186"/>
      <c r="H45" s="186">
        <v>6.5</v>
      </c>
      <c r="I45" s="186"/>
      <c r="J45" s="187">
        <f>H45*F45*E45*D45*C45</f>
        <v>6760</v>
      </c>
      <c r="K45" s="214"/>
      <c r="L45" s="183"/>
    </row>
    <row r="46" spans="1:12" ht="22.25" customHeight="1">
      <c r="A46" s="185"/>
      <c r="B46" s="177" t="s">
        <v>43</v>
      </c>
      <c r="C46" s="184"/>
      <c r="D46" s="216"/>
      <c r="E46" s="216"/>
      <c r="F46" s="212"/>
      <c r="G46" s="186"/>
      <c r="H46" s="186"/>
      <c r="I46" s="186"/>
      <c r="J46" s="187"/>
      <c r="K46" s="214"/>
      <c r="L46" s="183"/>
    </row>
    <row r="47" spans="1:12" ht="22.25" customHeight="1">
      <c r="A47" s="185"/>
      <c r="B47" s="181" t="s">
        <v>217</v>
      </c>
      <c r="C47" s="184">
        <v>5</v>
      </c>
      <c r="D47" s="216">
        <v>4</v>
      </c>
      <c r="E47" s="216">
        <v>1</v>
      </c>
      <c r="F47" s="212">
        <v>2.5</v>
      </c>
      <c r="G47" s="186"/>
      <c r="H47" s="186">
        <v>6.5</v>
      </c>
      <c r="I47" s="186">
        <f>H47*F47*E47*D47*C47</f>
        <v>325</v>
      </c>
      <c r="J47" s="187"/>
      <c r="K47" s="214"/>
      <c r="L47" s="183"/>
    </row>
    <row r="48" spans="1:12" ht="22.25" customHeight="1">
      <c r="A48" s="185"/>
      <c r="B48" s="181" t="s">
        <v>216</v>
      </c>
      <c r="C48" s="184">
        <v>5</v>
      </c>
      <c r="D48" s="216">
        <v>4</v>
      </c>
      <c r="E48" s="216">
        <v>1</v>
      </c>
      <c r="F48" s="212">
        <v>2.5</v>
      </c>
      <c r="G48" s="186"/>
      <c r="H48" s="186">
        <v>6.5</v>
      </c>
      <c r="I48" s="186">
        <f>H48*F48*E48*D48*C48</f>
        <v>325</v>
      </c>
      <c r="J48" s="187"/>
      <c r="K48" s="214"/>
      <c r="L48" s="183"/>
    </row>
    <row r="49" spans="1:12" ht="22.25" customHeight="1">
      <c r="A49" s="217"/>
      <c r="B49" s="179" t="s">
        <v>145</v>
      </c>
      <c r="C49" s="216"/>
      <c r="D49" s="216"/>
      <c r="E49" s="216"/>
      <c r="F49" s="212"/>
      <c r="G49" s="218"/>
      <c r="H49" s="186"/>
      <c r="I49" s="219"/>
      <c r="J49" s="220"/>
      <c r="K49" s="214"/>
      <c r="L49" s="221"/>
    </row>
    <row r="50" spans="1:12" ht="22.25" customHeight="1">
      <c r="A50" s="185"/>
      <c r="B50" s="172" t="s">
        <v>168</v>
      </c>
      <c r="C50" s="184">
        <v>5</v>
      </c>
      <c r="D50" s="216">
        <v>8</v>
      </c>
      <c r="E50" s="216">
        <v>1</v>
      </c>
      <c r="F50" s="212">
        <v>4</v>
      </c>
      <c r="G50" s="186"/>
      <c r="H50" s="186">
        <v>2</v>
      </c>
      <c r="I50" s="186"/>
      <c r="J50" s="187">
        <f>H50*F50*E50*D50*C50</f>
        <v>320</v>
      </c>
      <c r="K50" s="214"/>
      <c r="L50" s="183"/>
    </row>
    <row r="51" spans="1:12" ht="22.25" customHeight="1">
      <c r="A51" s="185"/>
      <c r="B51" s="172" t="s">
        <v>168</v>
      </c>
      <c r="C51" s="184">
        <v>5</v>
      </c>
      <c r="D51" s="216">
        <v>8</v>
      </c>
      <c r="E51" s="216">
        <v>1</v>
      </c>
      <c r="F51" s="212">
        <v>5</v>
      </c>
      <c r="G51" s="186"/>
      <c r="H51" s="186">
        <v>2</v>
      </c>
      <c r="I51" s="186"/>
      <c r="J51" s="187">
        <f>H51*F51*E51*D51*C51</f>
        <v>400</v>
      </c>
      <c r="K51" s="214"/>
      <c r="L51" s="183"/>
    </row>
    <row r="52" spans="1:12" ht="22.25" customHeight="1">
      <c r="A52" s="185"/>
      <c r="B52" s="172"/>
      <c r="C52" s="184">
        <v>5</v>
      </c>
      <c r="D52" s="216">
        <v>8</v>
      </c>
      <c r="E52" s="216">
        <v>2</v>
      </c>
      <c r="F52" s="212">
        <v>1.67</v>
      </c>
      <c r="G52" s="186"/>
      <c r="H52" s="186">
        <v>2</v>
      </c>
      <c r="I52" s="186"/>
      <c r="J52" s="187">
        <f>H52*F52*E52*D52*C52</f>
        <v>267.2</v>
      </c>
      <c r="K52" s="214"/>
      <c r="L52" s="183"/>
    </row>
    <row r="53" spans="1:12" ht="22.25" customHeight="1">
      <c r="A53" s="185"/>
      <c r="B53" s="172"/>
      <c r="C53" s="184">
        <v>5</v>
      </c>
      <c r="D53" s="216">
        <v>8</v>
      </c>
      <c r="E53" s="216">
        <v>6</v>
      </c>
      <c r="F53" s="212">
        <f>0.38</f>
        <v>0.38</v>
      </c>
      <c r="G53" s="186"/>
      <c r="H53" s="186">
        <v>3</v>
      </c>
      <c r="I53" s="186"/>
      <c r="J53" s="187">
        <f>H53*F53*E53*D53*C53</f>
        <v>273.60000000000002</v>
      </c>
      <c r="K53" s="214"/>
      <c r="L53" s="183"/>
    </row>
    <row r="54" spans="1:12" ht="22.25" customHeight="1">
      <c r="A54" s="185"/>
      <c r="B54" s="172"/>
      <c r="C54" s="184">
        <v>5</v>
      </c>
      <c r="D54" s="216">
        <v>8</v>
      </c>
      <c r="E54" s="216">
        <v>2</v>
      </c>
      <c r="F54" s="212">
        <f>1.67</f>
        <v>1.67</v>
      </c>
      <c r="G54" s="186"/>
      <c r="H54" s="186">
        <v>3</v>
      </c>
      <c r="I54" s="186"/>
      <c r="J54" s="187">
        <f>H54*F54*E54*D54*C54</f>
        <v>400.79999999999995</v>
      </c>
      <c r="K54" s="214"/>
      <c r="L54" s="183"/>
    </row>
    <row r="55" spans="1:12" ht="22.25" customHeight="1">
      <c r="A55" s="217"/>
      <c r="B55" s="180"/>
      <c r="C55" s="216"/>
      <c r="D55" s="216"/>
      <c r="E55" s="216"/>
      <c r="F55" s="212"/>
      <c r="G55" s="218"/>
      <c r="H55" s="186"/>
      <c r="I55" s="234">
        <f>SUM(I32:I54)</f>
        <v>780</v>
      </c>
      <c r="J55" s="234">
        <f>SUM(J32:J54)</f>
        <v>10099.900800000001</v>
      </c>
      <c r="K55" s="235"/>
      <c r="L55" s="221"/>
    </row>
    <row r="56" spans="1:12" ht="22.25" customHeight="1">
      <c r="A56" s="188"/>
      <c r="B56" s="172"/>
      <c r="C56" s="184"/>
      <c r="D56" s="184"/>
      <c r="E56" s="184"/>
      <c r="F56" s="212"/>
      <c r="G56" s="186"/>
      <c r="H56" s="186"/>
      <c r="I56" s="186"/>
      <c r="J56" s="187"/>
      <c r="K56" s="223">
        <f>J55-I55</f>
        <v>9319.9008000000013</v>
      </c>
      <c r="L56" s="185" t="s">
        <v>10</v>
      </c>
    </row>
    <row r="57" spans="1:12" ht="22.25" customHeight="1">
      <c r="A57" s="188"/>
      <c r="B57" s="172"/>
      <c r="C57" s="184"/>
      <c r="D57" s="184"/>
      <c r="E57" s="184"/>
      <c r="F57" s="212"/>
      <c r="G57" s="186"/>
      <c r="H57" s="186"/>
      <c r="I57" s="186"/>
      <c r="J57" s="187"/>
      <c r="K57" s="224">
        <f>K56/100</f>
        <v>93.199008000000006</v>
      </c>
      <c r="L57" s="185" t="s">
        <v>220</v>
      </c>
    </row>
    <row r="58" spans="1:12" ht="22.25" customHeight="1">
      <c r="A58" s="225"/>
      <c r="B58" s="191" t="s">
        <v>246</v>
      </c>
      <c r="C58" s="226"/>
      <c r="D58" s="226"/>
      <c r="E58" s="226" t="s">
        <v>221</v>
      </c>
      <c r="F58" s="227">
        <f>K56/(0.67*1)</f>
        <v>13910.299701492539</v>
      </c>
      <c r="G58" s="228" t="s">
        <v>19</v>
      </c>
      <c r="H58" s="228"/>
      <c r="I58" s="228"/>
      <c r="J58" s="229"/>
      <c r="K58" s="230"/>
      <c r="L58" s="225"/>
    </row>
    <row r="59" spans="1:12" ht="22.25" customHeight="1">
      <c r="A59" s="225"/>
      <c r="B59" s="191"/>
      <c r="C59" s="226"/>
      <c r="D59" s="226"/>
      <c r="E59" s="226" t="s">
        <v>221</v>
      </c>
      <c r="F59" s="227">
        <f>F58*1.05</f>
        <v>14605.814686567166</v>
      </c>
      <c r="G59" s="228" t="s">
        <v>19</v>
      </c>
      <c r="H59" s="1139" t="s">
        <v>244</v>
      </c>
      <c r="I59" s="1141"/>
      <c r="J59" s="229"/>
      <c r="K59" s="230"/>
      <c r="L59" s="225"/>
    </row>
    <row r="60" spans="1:12" ht="22.25" customHeight="1">
      <c r="A60" s="225"/>
      <c r="B60" s="192"/>
      <c r="C60" s="231"/>
      <c r="D60" s="231"/>
      <c r="E60" s="231" t="s">
        <v>221</v>
      </c>
      <c r="F60" s="1139" t="s">
        <v>249</v>
      </c>
      <c r="G60" s="1140"/>
      <c r="H60" s="1141"/>
      <c r="I60" s="232"/>
      <c r="J60" s="229"/>
      <c r="K60" s="233">
        <f>14606*400</f>
        <v>5842400</v>
      </c>
      <c r="L60" s="225" t="s">
        <v>245</v>
      </c>
    </row>
    <row r="61" spans="1:12" ht="22.25" customHeight="1">
      <c r="A61" s="188"/>
      <c r="B61" s="174" t="s">
        <v>86</v>
      </c>
      <c r="C61" s="184"/>
      <c r="D61" s="184"/>
      <c r="E61" s="184"/>
      <c r="F61" s="212"/>
      <c r="G61" s="186"/>
      <c r="H61" s="186"/>
      <c r="I61" s="186"/>
      <c r="J61" s="187"/>
      <c r="K61" s="214"/>
      <c r="L61" s="183"/>
    </row>
    <row r="62" spans="1:12" ht="22.25" customHeight="1">
      <c r="A62" s="185"/>
      <c r="B62" s="178" t="s">
        <v>165</v>
      </c>
      <c r="C62" s="184"/>
      <c r="D62" s="184"/>
      <c r="E62" s="184"/>
      <c r="F62" s="212"/>
      <c r="G62" s="186"/>
      <c r="H62" s="186"/>
      <c r="I62" s="186"/>
      <c r="J62" s="187"/>
      <c r="K62" s="214"/>
      <c r="L62" s="183"/>
    </row>
    <row r="63" spans="1:12" ht="22.25" customHeight="1">
      <c r="A63" s="185"/>
      <c r="B63" s="182" t="s">
        <v>151</v>
      </c>
      <c r="C63" s="184"/>
      <c r="D63" s="184">
        <v>8</v>
      </c>
      <c r="E63" s="184">
        <v>1</v>
      </c>
      <c r="F63" s="212">
        <f>6.5*2+(5*2+8*2-2.5)</f>
        <v>36.5</v>
      </c>
      <c r="G63" s="186"/>
      <c r="H63" s="186"/>
      <c r="I63" s="186"/>
      <c r="J63" s="187">
        <f>F63*E63*D63</f>
        <v>292</v>
      </c>
      <c r="K63" s="214"/>
      <c r="L63" s="183"/>
    </row>
    <row r="64" spans="1:12" ht="22.25" customHeight="1">
      <c r="A64" s="185"/>
      <c r="B64" s="176" t="s">
        <v>240</v>
      </c>
      <c r="C64" s="184">
        <v>5</v>
      </c>
      <c r="D64" s="184">
        <v>8</v>
      </c>
      <c r="E64" s="184">
        <v>1</v>
      </c>
      <c r="F64" s="212">
        <f>6.5*2+(5*2+8*2-2.5)</f>
        <v>36.5</v>
      </c>
      <c r="G64" s="186"/>
      <c r="H64" s="186"/>
      <c r="I64" s="186"/>
      <c r="J64" s="187">
        <f>F64*E64*D64*C64</f>
        <v>1460</v>
      </c>
      <c r="K64" s="214"/>
      <c r="L64" s="183"/>
    </row>
    <row r="65" spans="1:12" ht="22.25" customHeight="1">
      <c r="A65" s="185"/>
      <c r="B65" s="179" t="s">
        <v>145</v>
      </c>
      <c r="C65" s="184"/>
      <c r="D65" s="184"/>
      <c r="E65" s="184"/>
      <c r="F65" s="212"/>
      <c r="G65" s="186"/>
      <c r="H65" s="186"/>
      <c r="I65" s="186"/>
      <c r="J65" s="187"/>
      <c r="K65" s="214"/>
      <c r="L65" s="183"/>
    </row>
    <row r="66" spans="1:12" ht="22.25" customHeight="1">
      <c r="A66" s="185"/>
      <c r="B66" s="182" t="s">
        <v>151</v>
      </c>
      <c r="C66" s="184"/>
      <c r="D66" s="184">
        <v>8</v>
      </c>
      <c r="E66" s="184">
        <v>1</v>
      </c>
      <c r="F66" s="212">
        <f>(9*2)+(1.67*2)+(2*2)</f>
        <v>25.34</v>
      </c>
      <c r="G66" s="186"/>
      <c r="H66" s="186"/>
      <c r="I66" s="186"/>
      <c r="J66" s="187">
        <f>F66*E66*D66</f>
        <v>202.72</v>
      </c>
      <c r="K66" s="214"/>
      <c r="L66" s="183"/>
    </row>
    <row r="67" spans="1:12" ht="22.25" customHeight="1">
      <c r="A67" s="185"/>
      <c r="B67" s="176" t="s">
        <v>240</v>
      </c>
      <c r="C67" s="184">
        <v>5</v>
      </c>
      <c r="D67" s="184">
        <v>8</v>
      </c>
      <c r="E67" s="184">
        <v>1</v>
      </c>
      <c r="F67" s="212">
        <f>(9*2)+(1.67*2)+(2*2)</f>
        <v>25.34</v>
      </c>
      <c r="G67" s="186"/>
      <c r="H67" s="186"/>
      <c r="I67" s="186"/>
      <c r="J67" s="187">
        <f>F67*E67*D67*C67</f>
        <v>1013.6</v>
      </c>
      <c r="K67" s="214"/>
      <c r="L67" s="183"/>
    </row>
    <row r="68" spans="1:12" ht="22.25" customHeight="1">
      <c r="A68" s="188"/>
      <c r="B68" s="172"/>
      <c r="C68" s="184"/>
      <c r="D68" s="184"/>
      <c r="E68" s="184"/>
      <c r="F68" s="212"/>
      <c r="G68" s="186"/>
      <c r="H68" s="186"/>
      <c r="I68" s="186"/>
      <c r="J68" s="187"/>
      <c r="K68" s="224">
        <f>SUM(J63:J67)</f>
        <v>2968.32</v>
      </c>
      <c r="L68" s="185" t="s">
        <v>13</v>
      </c>
    </row>
    <row r="69" spans="1:12" ht="22.25" customHeight="1">
      <c r="A69" s="225"/>
      <c r="B69" s="193" t="s">
        <v>86</v>
      </c>
      <c r="C69" s="226"/>
      <c r="D69" s="226"/>
      <c r="E69" s="226" t="s">
        <v>221</v>
      </c>
      <c r="F69" s="227">
        <f>K68</f>
        <v>2968.32</v>
      </c>
      <c r="G69" s="228" t="s">
        <v>13</v>
      </c>
      <c r="H69" s="228"/>
      <c r="I69" s="228"/>
      <c r="J69" s="229"/>
      <c r="K69" s="230"/>
      <c r="L69" s="225"/>
    </row>
    <row r="70" spans="1:12" ht="22.25" customHeight="1">
      <c r="A70" s="225"/>
      <c r="B70" s="192"/>
      <c r="C70" s="231"/>
      <c r="D70" s="231"/>
      <c r="E70" s="231" t="s">
        <v>221</v>
      </c>
      <c r="F70" s="1139" t="s">
        <v>248</v>
      </c>
      <c r="G70" s="1140"/>
      <c r="H70" s="1141"/>
      <c r="I70" s="232"/>
      <c r="J70" s="229"/>
      <c r="K70" s="233">
        <f>2968*250</f>
        <v>742000</v>
      </c>
      <c r="L70" s="225" t="s">
        <v>245</v>
      </c>
    </row>
    <row r="71" spans="1:12" ht="22.25" customHeight="1">
      <c r="A71" s="188"/>
      <c r="B71" s="172"/>
      <c r="C71" s="184"/>
      <c r="D71" s="184"/>
      <c r="E71" s="184"/>
      <c r="F71" s="212"/>
      <c r="G71" s="186"/>
      <c r="H71" s="186"/>
      <c r="I71" s="186"/>
      <c r="J71" s="187"/>
      <c r="K71" s="224"/>
      <c r="L71" s="185"/>
    </row>
    <row r="72" spans="1:12" ht="22.25" customHeight="1">
      <c r="A72" s="188"/>
      <c r="B72" s="172"/>
      <c r="C72" s="184"/>
      <c r="D72" s="184"/>
      <c r="E72" s="184"/>
      <c r="F72" s="212"/>
      <c r="G72" s="186"/>
      <c r="H72" s="186"/>
      <c r="I72" s="186"/>
      <c r="J72" s="187"/>
      <c r="K72" s="214"/>
      <c r="L72" s="183"/>
    </row>
  </sheetData>
  <mergeCells count="15">
    <mergeCell ref="F70:H70"/>
    <mergeCell ref="H27:I27"/>
    <mergeCell ref="F28:H28"/>
    <mergeCell ref="H59:I59"/>
    <mergeCell ref="F60:H60"/>
    <mergeCell ref="A1:L1"/>
    <mergeCell ref="A2:L2"/>
    <mergeCell ref="A3:A4"/>
    <mergeCell ref="B3:B4"/>
    <mergeCell ref="C3:E4"/>
    <mergeCell ref="F3:H3"/>
    <mergeCell ref="I3:I4"/>
    <mergeCell ref="J3:J4"/>
    <mergeCell ref="K3:K4"/>
    <mergeCell ref="L3:L4"/>
  </mergeCells>
  <pageMargins left="0.1" right="0.1" top="0.3" bottom="0.2" header="0" footer="0"/>
  <pageSetup paperSize="9" orientation="portrait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0A29-B9EA-45B7-9228-0948452C7E32}">
  <dimension ref="A1:G35"/>
  <sheetViews>
    <sheetView topLeftCell="A7" workbookViewId="0">
      <selection activeCell="K21" sqref="K21"/>
    </sheetView>
  </sheetViews>
  <sheetFormatPr defaultColWidth="9.36328125" defaultRowHeight="14"/>
  <cols>
    <col min="1" max="1" width="6.54296875" style="236" customWidth="1"/>
    <col min="2" max="2" width="29.54296875" style="236" customWidth="1"/>
    <col min="3" max="3" width="10.54296875" style="236" customWidth="1"/>
    <col min="4" max="4" width="8.36328125" style="236" customWidth="1"/>
    <col min="5" max="5" width="12.54296875" style="236" customWidth="1"/>
    <col min="6" max="6" width="19.36328125" style="236" customWidth="1"/>
    <col min="7" max="7" width="17.6328125" style="236" customWidth="1"/>
    <col min="8" max="16384" width="9.36328125" style="236"/>
  </cols>
  <sheetData>
    <row r="1" spans="1:7" ht="33.75" customHeight="1">
      <c r="A1" s="1148" t="s">
        <v>259</v>
      </c>
      <c r="B1" s="1148"/>
      <c r="C1" s="1148"/>
      <c r="D1" s="1148"/>
      <c r="E1" s="1148"/>
      <c r="F1" s="1148"/>
    </row>
    <row r="2" spans="1:7" ht="50.15" customHeight="1">
      <c r="A2" s="239" t="s">
        <v>183</v>
      </c>
      <c r="B2" s="239" t="s">
        <v>253</v>
      </c>
      <c r="C2" s="239" t="s">
        <v>32</v>
      </c>
      <c r="D2" s="239" t="s">
        <v>0</v>
      </c>
      <c r="E2" s="239" t="s">
        <v>215</v>
      </c>
      <c r="F2" s="239" t="s">
        <v>254</v>
      </c>
    </row>
    <row r="3" spans="1:7" ht="50.15" customHeight="1">
      <c r="A3" s="243">
        <v>1</v>
      </c>
      <c r="B3" s="244" t="s">
        <v>251</v>
      </c>
      <c r="C3" s="243">
        <v>2400</v>
      </c>
      <c r="D3" s="243" t="s">
        <v>10</v>
      </c>
      <c r="E3" s="243">
        <v>7500</v>
      </c>
      <c r="F3" s="245">
        <f>E3*C3</f>
        <v>18000000</v>
      </c>
    </row>
    <row r="4" spans="1:7" ht="50.15" customHeight="1">
      <c r="A4" s="246">
        <v>2</v>
      </c>
      <c r="B4" s="247" t="s">
        <v>252</v>
      </c>
      <c r="C4" s="246">
        <v>2050</v>
      </c>
      <c r="D4" s="246" t="s">
        <v>10</v>
      </c>
      <c r="E4" s="246">
        <v>4200</v>
      </c>
      <c r="F4" s="248">
        <f>E4*C4</f>
        <v>8610000</v>
      </c>
    </row>
    <row r="5" spans="1:7" ht="50.15" customHeight="1">
      <c r="A5" s="239"/>
      <c r="B5" s="1142" t="s">
        <v>79</v>
      </c>
      <c r="C5" s="1143"/>
      <c r="D5" s="1143"/>
      <c r="E5" s="1144"/>
      <c r="F5" s="241">
        <f>SUM(F3:F4)</f>
        <v>26610000</v>
      </c>
    </row>
    <row r="6" spans="1:7" ht="33" customHeight="1">
      <c r="F6" s="237"/>
    </row>
    <row r="7" spans="1:7" ht="50.15" customHeight="1">
      <c r="A7" s="239" t="s">
        <v>183</v>
      </c>
      <c r="B7" s="239" t="s">
        <v>255</v>
      </c>
      <c r="C7" s="239" t="s">
        <v>32</v>
      </c>
      <c r="D7" s="239" t="s">
        <v>0</v>
      </c>
      <c r="E7" s="239" t="s">
        <v>215</v>
      </c>
      <c r="F7" s="239" t="s">
        <v>254</v>
      </c>
    </row>
    <row r="8" spans="1:7" ht="50.15" customHeight="1">
      <c r="A8" s="243">
        <v>1</v>
      </c>
      <c r="B8" s="249" t="s">
        <v>219</v>
      </c>
      <c r="C8" s="243">
        <v>1812</v>
      </c>
      <c r="D8" s="243" t="s">
        <v>10</v>
      </c>
      <c r="E8" s="243">
        <v>8000</v>
      </c>
      <c r="F8" s="245">
        <f>E8*C8</f>
        <v>14496000</v>
      </c>
    </row>
    <row r="9" spans="1:7" ht="50.15" customHeight="1">
      <c r="A9" s="250">
        <v>2</v>
      </c>
      <c r="B9" s="251" t="s">
        <v>218</v>
      </c>
      <c r="C9" s="250">
        <v>2016</v>
      </c>
      <c r="D9" s="250" t="s">
        <v>10</v>
      </c>
      <c r="E9" s="250">
        <v>8000</v>
      </c>
      <c r="F9" s="252">
        <f>E9*C9</f>
        <v>16128000</v>
      </c>
    </row>
    <row r="10" spans="1:7" ht="50.15" customHeight="1">
      <c r="A10" s="250">
        <v>3</v>
      </c>
      <c r="B10" s="251" t="s">
        <v>256</v>
      </c>
      <c r="C10" s="250">
        <v>1218</v>
      </c>
      <c r="D10" s="250" t="s">
        <v>10</v>
      </c>
      <c r="E10" s="250">
        <v>6500</v>
      </c>
      <c r="F10" s="252">
        <f>E10*C10</f>
        <v>7917000</v>
      </c>
    </row>
    <row r="11" spans="1:7" ht="50.15" customHeight="1">
      <c r="A11" s="246">
        <v>4</v>
      </c>
      <c r="B11" s="253" t="s">
        <v>257</v>
      </c>
      <c r="C11" s="246">
        <v>288</v>
      </c>
      <c r="D11" s="246" t="s">
        <v>10</v>
      </c>
      <c r="E11" s="246">
        <v>4000</v>
      </c>
      <c r="F11" s="248">
        <f>E11*C11</f>
        <v>1152000</v>
      </c>
    </row>
    <row r="12" spans="1:7" ht="50.15" customHeight="1">
      <c r="A12" s="240"/>
      <c r="B12" s="1142" t="s">
        <v>79</v>
      </c>
      <c r="C12" s="1143"/>
      <c r="D12" s="1143"/>
      <c r="E12" s="1144"/>
      <c r="F12" s="241">
        <f>SUM(F8:F11)</f>
        <v>39693000</v>
      </c>
      <c r="G12" s="238">
        <f>F12*0.7</f>
        <v>27785100</v>
      </c>
    </row>
    <row r="13" spans="1:7" ht="50.15" customHeight="1">
      <c r="A13" s="240"/>
      <c r="B13" s="1145" t="s">
        <v>258</v>
      </c>
      <c r="C13" s="1146"/>
      <c r="D13" s="1146"/>
      <c r="E13" s="1147"/>
      <c r="F13" s="242">
        <f>F12*0.7</f>
        <v>27785100</v>
      </c>
      <c r="G13" s="238">
        <f>F13-F5</f>
        <v>1175100</v>
      </c>
    </row>
    <row r="14" spans="1:7" ht="33.75" customHeight="1">
      <c r="F14" s="238"/>
    </row>
    <row r="15" spans="1:7" ht="44.25" customHeight="1"/>
    <row r="16" spans="1:7" ht="23.15" customHeight="1"/>
    <row r="17" ht="23.15" customHeight="1"/>
    <row r="18" ht="23.15" customHeight="1"/>
    <row r="19" ht="23.15" customHeight="1"/>
    <row r="20" ht="23.15" customHeight="1"/>
    <row r="21" ht="23.15" customHeight="1"/>
    <row r="22" ht="23.15" customHeight="1"/>
    <row r="23" ht="23.15" customHeight="1"/>
    <row r="24" ht="23.15" customHeight="1"/>
    <row r="25" ht="23.15" customHeight="1"/>
    <row r="26" ht="23.15" customHeight="1"/>
    <row r="27" ht="23.15" customHeight="1"/>
    <row r="28" ht="23.15" customHeight="1"/>
    <row r="29" ht="23.15" customHeight="1"/>
    <row r="30" ht="23.15" customHeight="1"/>
    <row r="31" ht="23.15" customHeight="1"/>
    <row r="32" ht="23.15" customHeight="1"/>
    <row r="33" ht="23.15" customHeight="1"/>
    <row r="34" ht="23.15" customHeight="1"/>
    <row r="35" ht="23.15" customHeight="1"/>
  </sheetData>
  <mergeCells count="4">
    <mergeCell ref="B12:E12"/>
    <mergeCell ref="B13:E13"/>
    <mergeCell ref="B5:E5"/>
    <mergeCell ref="A1:F1"/>
  </mergeCells>
  <pageMargins left="0.7" right="0.5" top="0.5" bottom="0.75" header="0.3" footer="0.3"/>
  <pageSetup paperSize="9" orientation="portrait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607E-6CD8-4600-97E6-0D0F3B641D25}">
  <dimension ref="B3:H29"/>
  <sheetViews>
    <sheetView topLeftCell="A19" workbookViewId="0">
      <selection activeCell="K21" sqref="K21"/>
    </sheetView>
  </sheetViews>
  <sheetFormatPr defaultColWidth="9.36328125" defaultRowHeight="25.25" customHeight="1"/>
  <cols>
    <col min="1" max="2" width="9.36328125" style="254"/>
    <col min="3" max="3" width="23" style="255" customWidth="1"/>
    <col min="4" max="4" width="18" style="254" customWidth="1"/>
    <col min="5" max="5" width="15.6328125" style="254" customWidth="1"/>
    <col min="6" max="7" width="9.36328125" style="254"/>
    <col min="8" max="8" width="17" style="254" customWidth="1"/>
    <col min="9" max="16384" width="9.36328125" style="254"/>
  </cols>
  <sheetData>
    <row r="3" spans="2:8" ht="25.25" customHeight="1">
      <c r="B3" s="254">
        <v>1</v>
      </c>
      <c r="C3" s="255">
        <v>178560000</v>
      </c>
      <c r="D3" s="254">
        <f>(120*30)*2</f>
        <v>7200</v>
      </c>
      <c r="E3" s="256">
        <f>C3/D3</f>
        <v>24800</v>
      </c>
      <c r="H3" s="254">
        <v>33.71</v>
      </c>
    </row>
    <row r="4" spans="2:8" ht="25.25" customHeight="1">
      <c r="B4" s="254">
        <v>2</v>
      </c>
      <c r="C4" s="255">
        <v>108360000</v>
      </c>
      <c r="D4" s="254">
        <f>(70*30)*2</f>
        <v>4200</v>
      </c>
      <c r="E4" s="256">
        <f t="shared" ref="E4:E23" si="0">C4/D4</f>
        <v>25800</v>
      </c>
      <c r="H4" s="254">
        <v>264.02</v>
      </c>
    </row>
    <row r="5" spans="2:8" ht="25.25" customHeight="1">
      <c r="B5" s="254">
        <v>3</v>
      </c>
      <c r="C5" s="255">
        <v>212520000</v>
      </c>
      <c r="D5" s="254">
        <f>(140*30)*2</f>
        <v>8400</v>
      </c>
      <c r="E5" s="256">
        <f t="shared" si="0"/>
        <v>25300</v>
      </c>
      <c r="H5" s="254">
        <v>40.21</v>
      </c>
    </row>
    <row r="6" spans="2:8" ht="25.25" customHeight="1">
      <c r="B6" s="254">
        <v>4</v>
      </c>
      <c r="C6" s="255">
        <v>41520000</v>
      </c>
      <c r="D6" s="254">
        <f>(60*30)</f>
        <v>1800</v>
      </c>
      <c r="E6" s="256">
        <f t="shared" si="0"/>
        <v>23066.666666666668</v>
      </c>
      <c r="H6" s="254">
        <v>114.7</v>
      </c>
    </row>
    <row r="7" spans="2:8" ht="25.25" customHeight="1">
      <c r="B7" s="254">
        <v>5</v>
      </c>
      <c r="C7" s="255">
        <v>44100000</v>
      </c>
      <c r="D7" s="254">
        <f>(60*30)</f>
        <v>1800</v>
      </c>
      <c r="E7" s="256">
        <f t="shared" si="0"/>
        <v>24500</v>
      </c>
      <c r="H7" s="254">
        <v>23.21</v>
      </c>
    </row>
    <row r="8" spans="2:8" ht="25.25" customHeight="1">
      <c r="B8" s="254">
        <v>6</v>
      </c>
      <c r="C8" s="255">
        <v>40500000</v>
      </c>
      <c r="D8" s="254">
        <f>(40*30)</f>
        <v>1200</v>
      </c>
      <c r="E8" s="258">
        <f t="shared" si="0"/>
        <v>33750</v>
      </c>
      <c r="H8" s="254">
        <v>1.39</v>
      </c>
    </row>
    <row r="9" spans="2:8" ht="25.25" customHeight="1">
      <c r="B9" s="254">
        <v>7</v>
      </c>
      <c r="C9" s="255">
        <v>247500000</v>
      </c>
      <c r="D9" s="254">
        <f>(103*25)</f>
        <v>2575</v>
      </c>
      <c r="E9" s="258">
        <f t="shared" si="0"/>
        <v>96116.504854368934</v>
      </c>
      <c r="H9" s="254">
        <v>3.77</v>
      </c>
    </row>
    <row r="10" spans="2:8" ht="25.25" customHeight="1">
      <c r="B10" s="254">
        <v>8</v>
      </c>
      <c r="C10" s="255">
        <v>81000000</v>
      </c>
      <c r="D10" s="254">
        <f>(120*30)</f>
        <v>3600</v>
      </c>
      <c r="E10" s="256">
        <f t="shared" si="0"/>
        <v>22500</v>
      </c>
      <c r="H10" s="254">
        <v>331.57</v>
      </c>
    </row>
    <row r="11" spans="2:8" ht="25.25" customHeight="1">
      <c r="B11" s="254">
        <v>9</v>
      </c>
      <c r="C11" s="255">
        <v>60750000</v>
      </c>
      <c r="D11" s="254">
        <f>(25*52)*2</f>
        <v>2600</v>
      </c>
      <c r="E11" s="256">
        <f t="shared" si="0"/>
        <v>23365.384615384617</v>
      </c>
      <c r="H11" s="254">
        <v>4.3899999999999997</v>
      </c>
    </row>
    <row r="12" spans="2:8" ht="25.25" customHeight="1">
      <c r="B12" s="254">
        <v>10</v>
      </c>
      <c r="C12" s="255">
        <v>40500000</v>
      </c>
      <c r="D12" s="254">
        <f>(60*30)</f>
        <v>1800</v>
      </c>
      <c r="E12" s="256">
        <f t="shared" si="0"/>
        <v>22500</v>
      </c>
      <c r="H12" s="254">
        <v>16.64</v>
      </c>
    </row>
    <row r="13" spans="2:8" ht="25.25" customHeight="1">
      <c r="B13" s="254">
        <v>11</v>
      </c>
      <c r="C13" s="255">
        <v>136620000</v>
      </c>
      <c r="D13" s="254">
        <f>(90*30)</f>
        <v>2700</v>
      </c>
      <c r="E13" s="258">
        <f t="shared" si="0"/>
        <v>50600</v>
      </c>
      <c r="H13" s="254">
        <v>34.29</v>
      </c>
    </row>
    <row r="14" spans="2:8" ht="25.25" customHeight="1">
      <c r="B14" s="254">
        <v>12</v>
      </c>
      <c r="C14" s="255">
        <v>182160000</v>
      </c>
      <c r="D14" s="254">
        <f>(120*30)*2</f>
        <v>7200</v>
      </c>
      <c r="E14" s="256">
        <f t="shared" si="0"/>
        <v>25300</v>
      </c>
      <c r="H14" s="254">
        <v>62.31</v>
      </c>
    </row>
    <row r="15" spans="2:8" ht="25.25" customHeight="1">
      <c r="B15" s="254">
        <v>13</v>
      </c>
      <c r="C15" s="255">
        <v>148800000</v>
      </c>
      <c r="D15" s="254">
        <f>(100*30)</f>
        <v>3000</v>
      </c>
      <c r="E15" s="258">
        <f t="shared" si="0"/>
        <v>49600</v>
      </c>
      <c r="H15" s="254">
        <v>2.69</v>
      </c>
    </row>
    <row r="16" spans="2:8" ht="25.25" customHeight="1">
      <c r="B16" s="254">
        <v>14</v>
      </c>
      <c r="C16" s="255">
        <v>208320000</v>
      </c>
      <c r="D16" s="254">
        <f>(140*30)*2</f>
        <v>8400</v>
      </c>
      <c r="E16" s="256">
        <f t="shared" si="0"/>
        <v>24800</v>
      </c>
      <c r="H16" s="254">
        <v>14.3</v>
      </c>
    </row>
    <row r="17" spans="2:8" ht="25.25" customHeight="1">
      <c r="B17" s="254">
        <v>15</v>
      </c>
      <c r="C17" s="255">
        <v>44100000</v>
      </c>
      <c r="D17" s="254">
        <f>(60*30)</f>
        <v>1800</v>
      </c>
      <c r="E17" s="256">
        <f t="shared" si="0"/>
        <v>24500</v>
      </c>
      <c r="H17" s="259">
        <f>SUM(H3:H16)</f>
        <v>947.19999999999982</v>
      </c>
    </row>
    <row r="18" spans="2:8" ht="25.25" customHeight="1">
      <c r="B18" s="254">
        <v>16</v>
      </c>
      <c r="C18" s="255">
        <v>40500000</v>
      </c>
      <c r="D18" s="254">
        <f>(60*30)</f>
        <v>1800</v>
      </c>
      <c r="E18" s="256">
        <f t="shared" si="0"/>
        <v>22500</v>
      </c>
      <c r="H18" s="254">
        <v>26.17</v>
      </c>
    </row>
    <row r="19" spans="2:8" ht="25.25" customHeight="1">
      <c r="B19" s="254">
        <v>17</v>
      </c>
      <c r="C19" s="255">
        <v>208320000</v>
      </c>
      <c r="D19" s="254">
        <f>(140*30)*2</f>
        <v>8400</v>
      </c>
      <c r="E19" s="256">
        <f t="shared" si="0"/>
        <v>24800</v>
      </c>
      <c r="H19" s="254">
        <v>24.98</v>
      </c>
    </row>
    <row r="20" spans="2:8" ht="25.25" customHeight="1">
      <c r="B20" s="254">
        <v>18</v>
      </c>
      <c r="C20" s="255">
        <v>60750000</v>
      </c>
      <c r="D20" s="254">
        <f>(90*30)</f>
        <v>2700</v>
      </c>
      <c r="E20" s="256">
        <f t="shared" si="0"/>
        <v>22500</v>
      </c>
      <c r="H20" s="254">
        <v>3.35</v>
      </c>
    </row>
    <row r="21" spans="2:8" ht="25.25" customHeight="1">
      <c r="B21" s="254">
        <v>19</v>
      </c>
      <c r="C21" s="255">
        <v>44100000</v>
      </c>
      <c r="D21" s="254">
        <f>(60*30)</f>
        <v>1800</v>
      </c>
      <c r="E21" s="256">
        <f t="shared" si="0"/>
        <v>24500</v>
      </c>
      <c r="H21" s="259">
        <f>SUM(H18:H20)</f>
        <v>54.500000000000007</v>
      </c>
    </row>
    <row r="22" spans="2:8" ht="25.25" customHeight="1">
      <c r="B22" s="254">
        <v>20</v>
      </c>
      <c r="C22" s="255">
        <v>68750000</v>
      </c>
      <c r="D22" s="254">
        <f>(90*30)</f>
        <v>2700</v>
      </c>
      <c r="E22" s="256">
        <f t="shared" si="0"/>
        <v>25462.962962962964</v>
      </c>
    </row>
    <row r="23" spans="2:8" ht="25.25" customHeight="1">
      <c r="B23" s="254">
        <v>21</v>
      </c>
      <c r="C23" s="255">
        <v>40500000</v>
      </c>
      <c r="D23" s="254">
        <f>(60*30)</f>
        <v>1800</v>
      </c>
      <c r="E23" s="256">
        <f t="shared" si="0"/>
        <v>22500</v>
      </c>
    </row>
    <row r="24" spans="2:8" ht="25.25" customHeight="1">
      <c r="C24" s="257">
        <v>40500000</v>
      </c>
      <c r="H24" s="254">
        <f>H21+H17</f>
        <v>1001.6999999999998</v>
      </c>
    </row>
    <row r="25" spans="2:8" ht="25.25" customHeight="1">
      <c r="C25" s="255">
        <v>81000000</v>
      </c>
    </row>
    <row r="26" spans="2:8" ht="25.25" customHeight="1">
      <c r="C26" s="255">
        <v>135000000</v>
      </c>
    </row>
    <row r="27" spans="2:8" ht="25.25" customHeight="1">
      <c r="C27" s="255">
        <v>44100000</v>
      </c>
    </row>
    <row r="28" spans="2:8" ht="25.25" customHeight="1">
      <c r="C28" s="255">
        <v>212520000</v>
      </c>
    </row>
    <row r="29" spans="2:8" ht="25.25" customHeight="1">
      <c r="C29" s="255">
        <v>243000000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7D5A-0778-42FC-8C8A-DB37A0839B4D}">
  <dimension ref="A1:AV1537"/>
  <sheetViews>
    <sheetView tabSelected="1" view="pageBreakPreview" zoomScaleNormal="100" zoomScaleSheetLayoutView="100" workbookViewId="0">
      <pane ySplit="5" topLeftCell="A298" activePane="bottomLeft" state="frozen"/>
      <selection activeCell="C1" sqref="C1"/>
      <selection pane="bottomLeft" activeCell="E298" sqref="E298"/>
    </sheetView>
  </sheetViews>
  <sheetFormatPr defaultColWidth="9.36328125" defaultRowHeight="22.25" customHeight="1"/>
  <cols>
    <col min="1" max="1" width="5.453125" style="486" customWidth="1"/>
    <col min="2" max="2" width="21.81640625" style="487" customWidth="1"/>
    <col min="3" max="3" width="3.36328125" style="668" customWidth="1"/>
    <col min="4" max="5" width="5.54296875" style="668" customWidth="1"/>
    <col min="6" max="6" width="9.453125" style="495" customWidth="1"/>
    <col min="7" max="7" width="8.1796875" style="495" bestFit="1" customWidth="1"/>
    <col min="8" max="8" width="7.54296875" style="653" customWidth="1"/>
    <col min="9" max="9" width="8.453125" style="495" customWidth="1"/>
    <col min="10" max="10" width="9.6328125" style="476" customWidth="1"/>
    <col min="11" max="11" width="10.54296875" style="493" customWidth="1"/>
    <col min="12" max="12" width="5.36328125" style="493" customWidth="1"/>
    <col min="13" max="13" width="9.6328125" style="493" customWidth="1"/>
    <col min="14" max="14" width="13.54296875" style="493" bestFit="1" customWidth="1"/>
    <col min="15" max="16" width="9" style="493" customWidth="1"/>
    <col min="17" max="17" width="11.90625" style="755" customWidth="1"/>
    <col min="18" max="18" width="10.453125" style="755" customWidth="1"/>
    <col min="19" max="19" width="8.36328125" style="755" customWidth="1"/>
    <col min="20" max="20" width="12.6328125" style="755" customWidth="1"/>
    <col min="21" max="21" width="13.36328125" style="755" customWidth="1"/>
    <col min="22" max="22" width="17" style="766" customWidth="1"/>
    <col min="23" max="24" width="12" style="766" customWidth="1"/>
    <col min="25" max="28" width="12" style="755" customWidth="1"/>
    <col min="29" max="29" width="12.1796875" style="783" customWidth="1"/>
    <col min="30" max="31" width="9.08984375" style="783" customWidth="1"/>
    <col min="32" max="32" width="15.36328125" style="493" customWidth="1"/>
    <col min="33" max="34" width="14.54296875" style="493" customWidth="1"/>
    <col min="35" max="35" width="13.36328125" style="493" customWidth="1"/>
    <col min="36" max="36" width="19.36328125" style="493" customWidth="1"/>
    <col min="37" max="37" width="21.36328125" style="493" customWidth="1"/>
    <col min="38" max="38" width="10.6328125" style="493" customWidth="1"/>
    <col min="39" max="39" width="17" style="493" customWidth="1"/>
    <col min="40" max="41" width="6.6328125" style="493" customWidth="1"/>
    <col min="42" max="42" width="6.6328125" style="494" customWidth="1"/>
    <col min="43" max="43" width="10.36328125" style="494" customWidth="1"/>
    <col min="44" max="44" width="9.6328125" style="493" customWidth="1"/>
    <col min="45" max="45" width="9.6328125" style="494" customWidth="1"/>
    <col min="46" max="46" width="9.36328125" style="494"/>
    <col min="47" max="47" width="9.36328125" style="493"/>
    <col min="48" max="48" width="11" style="493" customWidth="1"/>
    <col min="49" max="16384" width="9.36328125" style="494"/>
  </cols>
  <sheetData>
    <row r="1" spans="1:48" s="393" customFormat="1" ht="22.25" customHeight="1">
      <c r="A1" s="1111" t="s">
        <v>725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714"/>
      <c r="N1" s="714"/>
      <c r="O1" s="714"/>
      <c r="P1" s="714"/>
      <c r="Q1" s="1153"/>
      <c r="R1" s="1153"/>
      <c r="S1" s="1167"/>
      <c r="T1" s="1153"/>
      <c r="U1" s="1153"/>
      <c r="V1" s="1150"/>
      <c r="W1" s="1171"/>
      <c r="X1" s="1171"/>
      <c r="Y1" s="1171"/>
      <c r="Z1" s="1171"/>
      <c r="AA1" s="1171"/>
      <c r="AB1" s="1171"/>
      <c r="AC1" s="1171"/>
      <c r="AD1" s="1171"/>
      <c r="AE1" s="1171"/>
      <c r="AF1" s="425"/>
      <c r="AG1" s="425"/>
      <c r="AH1" s="425"/>
      <c r="AI1" s="425"/>
      <c r="AJ1" s="425"/>
      <c r="AK1" s="425"/>
      <c r="AL1" s="425"/>
      <c r="AM1" s="425"/>
      <c r="AN1" s="425"/>
      <c r="AO1" s="425"/>
      <c r="AR1" s="425"/>
      <c r="AU1" s="425"/>
      <c r="AV1" s="425"/>
    </row>
    <row r="2" spans="1:48" s="405" customFormat="1" ht="24" customHeight="1">
      <c r="A2" s="1110" t="s">
        <v>726</v>
      </c>
      <c r="B2" s="1110"/>
      <c r="C2" s="1110"/>
      <c r="D2" s="1110"/>
      <c r="E2" s="1110"/>
      <c r="F2" s="1110"/>
      <c r="G2" s="1110"/>
      <c r="H2" s="1110"/>
      <c r="I2" s="1110"/>
      <c r="J2" s="1110"/>
      <c r="K2" s="1110"/>
      <c r="L2" s="1110"/>
      <c r="M2" s="713">
        <f>14.5+6+14.5</f>
        <v>35</v>
      </c>
      <c r="N2" s="713">
        <f>15*3</f>
        <v>45</v>
      </c>
      <c r="O2" s="713"/>
      <c r="P2" s="713"/>
      <c r="Q2" s="1153"/>
      <c r="R2" s="1153"/>
      <c r="S2" s="1167"/>
      <c r="T2" s="1153"/>
      <c r="U2" s="1153"/>
      <c r="V2" s="1150"/>
      <c r="W2" s="715"/>
      <c r="X2" s="715"/>
      <c r="Y2" s="716"/>
      <c r="Z2" s="716"/>
      <c r="AA2" s="716"/>
      <c r="AB2" s="716"/>
      <c r="AC2" s="717"/>
      <c r="AD2" s="717"/>
      <c r="AE2" s="717"/>
      <c r="AF2" s="427"/>
      <c r="AG2" s="427"/>
      <c r="AH2" s="427"/>
      <c r="AI2" s="427"/>
      <c r="AJ2" s="427"/>
      <c r="AK2" s="427"/>
      <c r="AL2" s="427"/>
      <c r="AM2" s="427"/>
      <c r="AN2" s="427"/>
      <c r="AO2" s="427"/>
    </row>
    <row r="3" spans="1:48" s="390" customFormat="1" ht="24" customHeight="1" thickBot="1">
      <c r="A3" s="1110" t="s">
        <v>42</v>
      </c>
      <c r="B3" s="1110"/>
      <c r="C3" s="1110"/>
      <c r="D3" s="1110"/>
      <c r="E3" s="1110"/>
      <c r="F3" s="1110"/>
      <c r="G3" s="1110"/>
      <c r="H3" s="1110"/>
      <c r="I3" s="1110"/>
      <c r="J3" s="1110"/>
      <c r="K3" s="1110"/>
      <c r="L3" s="1110"/>
      <c r="M3" s="713"/>
      <c r="N3" s="713"/>
      <c r="O3" s="713"/>
      <c r="P3" s="713"/>
      <c r="Q3" s="718"/>
      <c r="R3" s="718"/>
      <c r="S3" s="718"/>
      <c r="T3" s="718"/>
      <c r="U3" s="718"/>
      <c r="V3" s="719"/>
      <c r="W3" s="719"/>
      <c r="X3" s="719"/>
      <c r="Y3" s="718"/>
      <c r="Z3" s="718"/>
      <c r="AA3" s="718"/>
      <c r="AB3" s="718"/>
      <c r="AC3" s="718"/>
      <c r="AD3" s="718"/>
      <c r="AE3" s="718"/>
      <c r="AF3" s="427"/>
      <c r="AG3" s="427"/>
      <c r="AH3" s="427"/>
      <c r="AI3" s="427"/>
      <c r="AJ3" s="427"/>
      <c r="AK3" s="427"/>
      <c r="AL3" s="427"/>
      <c r="AM3" s="427"/>
      <c r="AN3" s="404"/>
      <c r="AO3" s="404"/>
      <c r="AR3" s="404"/>
      <c r="AU3" s="404"/>
      <c r="AV3" s="404"/>
    </row>
    <row r="4" spans="1:48" s="390" customFormat="1" ht="23.4" customHeight="1">
      <c r="A4" s="1156" t="s">
        <v>313</v>
      </c>
      <c r="B4" s="1158" t="s">
        <v>2</v>
      </c>
      <c r="C4" s="1160" t="s">
        <v>3</v>
      </c>
      <c r="D4" s="1160"/>
      <c r="E4" s="1160"/>
      <c r="F4" s="1158" t="s">
        <v>4</v>
      </c>
      <c r="G4" s="1166"/>
      <c r="H4" s="1166"/>
      <c r="I4" s="1162" t="s">
        <v>208</v>
      </c>
      <c r="J4" s="1164" t="s">
        <v>211</v>
      </c>
      <c r="K4" s="1162" t="s">
        <v>346</v>
      </c>
      <c r="L4" s="1154" t="s">
        <v>0</v>
      </c>
      <c r="M4" s="1174" t="s">
        <v>522</v>
      </c>
      <c r="N4" s="1174" t="s">
        <v>8</v>
      </c>
      <c r="O4" s="1174" t="s">
        <v>523</v>
      </c>
      <c r="P4" s="1174" t="s">
        <v>456</v>
      </c>
      <c r="Q4" s="1151" t="s">
        <v>448</v>
      </c>
      <c r="R4" s="1151" t="s">
        <v>449</v>
      </c>
      <c r="S4" s="1172" t="s">
        <v>450</v>
      </c>
      <c r="T4" s="1151" t="s">
        <v>451</v>
      </c>
      <c r="U4" s="1151" t="s">
        <v>452</v>
      </c>
      <c r="V4" s="1168" t="s">
        <v>453</v>
      </c>
      <c r="W4" s="1170" t="s">
        <v>454</v>
      </c>
      <c r="X4" s="1170"/>
      <c r="Y4" s="1170"/>
      <c r="Z4" s="1170"/>
      <c r="AA4" s="1170"/>
      <c r="AB4" s="1170"/>
      <c r="AC4" s="1170"/>
      <c r="AD4" s="1170"/>
      <c r="AE4" s="1170"/>
      <c r="AF4" s="469"/>
      <c r="AG4" s="469"/>
      <c r="AH4" s="469"/>
      <c r="AI4" s="469"/>
      <c r="AJ4" s="469"/>
      <c r="AK4" s="469" t="s">
        <v>224</v>
      </c>
      <c r="AL4" s="469"/>
      <c r="AM4" s="469"/>
      <c r="AN4" s="470"/>
      <c r="AO4" s="470"/>
      <c r="AR4" s="404"/>
      <c r="AU4" s="404"/>
      <c r="AV4" s="404"/>
    </row>
    <row r="5" spans="1:48" s="390" customFormat="1" ht="36" customHeight="1" thickBot="1">
      <c r="A5" s="1157"/>
      <c r="B5" s="1159"/>
      <c r="C5" s="1161"/>
      <c r="D5" s="1161"/>
      <c r="E5" s="1161"/>
      <c r="F5" s="609" t="s">
        <v>6</v>
      </c>
      <c r="G5" s="608" t="s">
        <v>7</v>
      </c>
      <c r="H5" s="608" t="s">
        <v>314</v>
      </c>
      <c r="I5" s="1163"/>
      <c r="J5" s="1165"/>
      <c r="K5" s="1163"/>
      <c r="L5" s="1155"/>
      <c r="M5" s="1175"/>
      <c r="N5" s="1175"/>
      <c r="O5" s="1175"/>
      <c r="P5" s="1175"/>
      <c r="Q5" s="1152"/>
      <c r="R5" s="1152"/>
      <c r="S5" s="1173"/>
      <c r="T5" s="1152"/>
      <c r="U5" s="1152"/>
      <c r="V5" s="1169"/>
      <c r="W5" s="616">
        <v>6</v>
      </c>
      <c r="X5" s="616">
        <v>6.5</v>
      </c>
      <c r="Y5" s="615">
        <v>10</v>
      </c>
      <c r="Z5" s="615">
        <v>12</v>
      </c>
      <c r="AA5" s="615">
        <v>16</v>
      </c>
      <c r="AB5" s="720">
        <v>18</v>
      </c>
      <c r="AC5" s="721">
        <v>20</v>
      </c>
      <c r="AD5" s="721">
        <v>22</v>
      </c>
      <c r="AE5" s="721">
        <v>25</v>
      </c>
      <c r="AF5" s="469"/>
      <c r="AG5" s="469"/>
      <c r="AH5" s="469"/>
      <c r="AI5" s="469"/>
      <c r="AJ5" s="469"/>
      <c r="AK5" s="469"/>
      <c r="AL5" s="469"/>
      <c r="AM5" s="469"/>
      <c r="AN5" s="471"/>
      <c r="AO5" s="471"/>
      <c r="AR5" s="404"/>
      <c r="AU5" s="404"/>
      <c r="AV5" s="404"/>
    </row>
    <row r="6" spans="1:48" s="390" customFormat="1" ht="22.25" customHeight="1">
      <c r="A6" s="496">
        <v>1</v>
      </c>
      <c r="B6" s="654" t="s">
        <v>63</v>
      </c>
      <c r="C6" s="661"/>
      <c r="D6" s="661"/>
      <c r="E6" s="661">
        <v>1</v>
      </c>
      <c r="F6" s="498">
        <f>((35))+5+5</f>
        <v>45</v>
      </c>
      <c r="G6" s="642">
        <f>45+5+5</f>
        <v>55</v>
      </c>
      <c r="H6" s="647"/>
      <c r="I6" s="499"/>
      <c r="J6" s="507">
        <f>IF(I6=0,1,I6)*IF(H6=0,1,H6)*IF(G6=0,1,G6)*IF(F6=0,1,F6)*IF(E6=0,1,E6)*IF(D6=0,1,D6)*IF(C6=0,1,C6)</f>
        <v>2475</v>
      </c>
      <c r="K6" s="912"/>
      <c r="L6" s="912" t="s">
        <v>45</v>
      </c>
      <c r="M6" s="722"/>
      <c r="N6" s="722"/>
      <c r="O6" s="722"/>
      <c r="P6" s="722"/>
      <c r="Q6" s="618"/>
      <c r="R6" s="618"/>
      <c r="S6" s="618"/>
      <c r="T6" s="618"/>
      <c r="U6" s="618"/>
      <c r="V6" s="619"/>
      <c r="W6" s="619"/>
      <c r="X6" s="619"/>
      <c r="Y6" s="618"/>
      <c r="Z6" s="618"/>
      <c r="AA6" s="618"/>
      <c r="AB6" s="618"/>
      <c r="AC6" s="618"/>
      <c r="AD6" s="618"/>
      <c r="AE6" s="618"/>
      <c r="AF6" s="390">
        <f>3658/25</f>
        <v>146.32</v>
      </c>
      <c r="AG6" s="390">
        <f>3048/25</f>
        <v>121.92</v>
      </c>
      <c r="AN6" s="390">
        <f>6+27+10.5*2</f>
        <v>54</v>
      </c>
      <c r="AP6" s="404"/>
      <c r="AS6" s="404"/>
      <c r="AT6" s="404"/>
    </row>
    <row r="7" spans="1:48" s="390" customFormat="1" ht="22.25" customHeight="1">
      <c r="A7" s="496"/>
      <c r="B7" s="654"/>
      <c r="C7" s="661"/>
      <c r="D7" s="661"/>
      <c r="E7" s="661">
        <v>1</v>
      </c>
      <c r="F7" s="498">
        <v>9.5</v>
      </c>
      <c r="G7" s="642">
        <v>5</v>
      </c>
      <c r="H7" s="647"/>
      <c r="I7" s="499"/>
      <c r="J7" s="507">
        <f>IF(I7=0,1,I7)*IF(H7=0,1,H7)*IF(G7=0,1,G7)*IF(F7=0,1,F7)*IF(E7=0,1,E7)*IF(D7=0,1,D7)*IF(C7=0,1,C7)</f>
        <v>47.5</v>
      </c>
      <c r="K7" s="455"/>
      <c r="L7" s="455" t="s">
        <v>45</v>
      </c>
      <c r="M7" s="722"/>
      <c r="N7" s="722"/>
      <c r="O7" s="722"/>
      <c r="P7" s="722"/>
      <c r="Q7" s="618"/>
      <c r="R7" s="618"/>
      <c r="S7" s="618"/>
      <c r="T7" s="618"/>
      <c r="U7" s="618"/>
      <c r="V7" s="619"/>
      <c r="W7" s="619"/>
      <c r="X7" s="619"/>
      <c r="Y7" s="618"/>
      <c r="Z7" s="618"/>
      <c r="AA7" s="618"/>
      <c r="AB7" s="618"/>
      <c r="AC7" s="618"/>
      <c r="AD7" s="618"/>
      <c r="AE7" s="618"/>
      <c r="AP7" s="404"/>
      <c r="AS7" s="404"/>
      <c r="AT7" s="404"/>
    </row>
    <row r="8" spans="1:48" s="390" customFormat="1" ht="22.25" customHeight="1">
      <c r="A8" s="496"/>
      <c r="B8" s="654"/>
      <c r="C8" s="661"/>
      <c r="D8" s="661"/>
      <c r="E8" s="661">
        <v>1</v>
      </c>
      <c r="F8" s="498">
        <v>5</v>
      </c>
      <c r="G8" s="642">
        <v>5</v>
      </c>
      <c r="H8" s="647"/>
      <c r="I8" s="499"/>
      <c r="J8" s="507">
        <f>IF(I8=0,1,I8)*IF(H8=0,1,H8)*IF(G8=0,1,G8)*IF(F8=0,1,F8)*IF(E8=0,1,E8)*IF(D8=0,1,D8)*IF(C8=0,1,C8)</f>
        <v>25</v>
      </c>
      <c r="K8" s="511"/>
      <c r="L8" s="511" t="s">
        <v>45</v>
      </c>
      <c r="M8" s="722"/>
      <c r="N8" s="722"/>
      <c r="O8" s="722"/>
      <c r="P8" s="722"/>
      <c r="Q8" s="618"/>
      <c r="R8" s="618"/>
      <c r="S8" s="618"/>
      <c r="T8" s="618"/>
      <c r="U8" s="618"/>
      <c r="V8" s="619"/>
      <c r="W8" s="619"/>
      <c r="X8" s="619"/>
      <c r="Y8" s="618"/>
      <c r="Z8" s="618"/>
      <c r="AA8" s="618"/>
      <c r="AB8" s="618"/>
      <c r="AC8" s="618"/>
      <c r="AD8" s="618"/>
      <c r="AE8" s="618"/>
      <c r="AP8" s="404"/>
      <c r="AS8" s="404"/>
      <c r="AT8" s="404"/>
    </row>
    <row r="9" spans="1:48" s="390" customFormat="1" ht="22.25" customHeight="1" thickBot="1">
      <c r="A9" s="496"/>
      <c r="B9" s="654"/>
      <c r="C9" s="661"/>
      <c r="D9" s="661"/>
      <c r="E9" s="661">
        <v>1</v>
      </c>
      <c r="F9" s="498">
        <v>6</v>
      </c>
      <c r="G9" s="642">
        <v>5</v>
      </c>
      <c r="H9" s="647"/>
      <c r="I9" s="499"/>
      <c r="J9" s="507">
        <f>IF(I9=0,1,I9)*IF(H9=0,1,H9)*IF(G9=0,1,G9)*IF(F9=0,1,F9)*IF(E9=0,1,E9)*IF(D9=0,1,D9)*IF(C9=0,1,C9)</f>
        <v>30</v>
      </c>
      <c r="K9" s="508"/>
      <c r="L9" s="508" t="s">
        <v>45</v>
      </c>
      <c r="M9" s="722"/>
      <c r="N9" s="722"/>
      <c r="O9" s="722"/>
      <c r="P9" s="722"/>
      <c r="Q9" s="618"/>
      <c r="R9" s="618"/>
      <c r="S9" s="618"/>
      <c r="T9" s="618"/>
      <c r="U9" s="618"/>
      <c r="V9" s="619"/>
      <c r="W9" s="619"/>
      <c r="X9" s="619"/>
      <c r="Y9" s="618"/>
      <c r="Z9" s="618"/>
      <c r="AA9" s="618"/>
      <c r="AB9" s="618"/>
      <c r="AC9" s="618"/>
      <c r="AD9" s="618"/>
      <c r="AE9" s="618"/>
      <c r="AP9" s="404"/>
      <c r="AS9" s="404"/>
      <c r="AT9" s="404"/>
    </row>
    <row r="10" spans="1:48" s="390" customFormat="1" ht="22.25" customHeight="1" thickBot="1">
      <c r="A10" s="496"/>
      <c r="B10" s="654"/>
      <c r="C10" s="661"/>
      <c r="D10" s="661"/>
      <c r="E10" s="661"/>
      <c r="F10" s="498"/>
      <c r="G10" s="642"/>
      <c r="H10" s="647"/>
      <c r="I10" s="499"/>
      <c r="J10" s="421"/>
      <c r="K10" s="500">
        <f>SUM(J6:J9)</f>
        <v>2577.5</v>
      </c>
      <c r="L10" s="587" t="s">
        <v>45</v>
      </c>
      <c r="M10" s="722"/>
      <c r="N10" s="722"/>
      <c r="O10" s="722"/>
      <c r="P10" s="722"/>
      <c r="Q10" s="618"/>
      <c r="R10" s="618"/>
      <c r="S10" s="618"/>
      <c r="T10" s="618"/>
      <c r="U10" s="618"/>
      <c r="V10" s="619"/>
      <c r="W10" s="624">
        <f t="shared" ref="W10:W41" si="0">IF($R10=W$5,$V10,0)</f>
        <v>0</v>
      </c>
      <c r="X10" s="624">
        <f t="shared" ref="X10:X52" si="1">IF($R10=X$5,$V10,0)</f>
        <v>0</v>
      </c>
      <c r="Y10" s="624">
        <f t="shared" ref="Y10:AE28" si="2">IF($R10=Y$5,$V10,0)</f>
        <v>0</v>
      </c>
      <c r="Z10" s="624">
        <f t="shared" si="2"/>
        <v>0</v>
      </c>
      <c r="AA10" s="624">
        <f t="shared" si="2"/>
        <v>0</v>
      </c>
      <c r="AB10" s="624">
        <f t="shared" si="2"/>
        <v>0</v>
      </c>
      <c r="AC10" s="624">
        <f t="shared" si="2"/>
        <v>0</v>
      </c>
      <c r="AD10" s="624">
        <f t="shared" si="2"/>
        <v>0</v>
      </c>
      <c r="AE10" s="624">
        <f t="shared" si="2"/>
        <v>0</v>
      </c>
      <c r="AF10" s="390">
        <f>AF6/12</f>
        <v>12.193333333333333</v>
      </c>
      <c r="AG10" s="390">
        <f>AG6/12</f>
        <v>10.16</v>
      </c>
      <c r="AP10" s="404"/>
      <c r="AS10" s="404"/>
      <c r="AT10" s="404"/>
    </row>
    <row r="11" spans="1:48" s="390" customFormat="1" ht="22.25" customHeight="1" thickBot="1">
      <c r="A11" s="496"/>
      <c r="B11" s="654"/>
      <c r="C11" s="661"/>
      <c r="D11" s="661"/>
      <c r="E11" s="661"/>
      <c r="F11" s="498"/>
      <c r="G11" s="642"/>
      <c r="H11" s="647"/>
      <c r="I11" s="499"/>
      <c r="J11" s="501"/>
      <c r="K11" s="502">
        <f>J6/100</f>
        <v>24.75</v>
      </c>
      <c r="L11" s="503" t="s">
        <v>315</v>
      </c>
      <c r="M11" s="723"/>
      <c r="N11" s="723"/>
      <c r="O11" s="723"/>
      <c r="P11" s="723"/>
      <c r="Q11" s="611"/>
      <c r="R11" s="611"/>
      <c r="S11" s="624"/>
      <c r="T11" s="625"/>
      <c r="U11" s="626"/>
      <c r="V11" s="624"/>
      <c r="W11" s="624">
        <f t="shared" si="0"/>
        <v>0</v>
      </c>
      <c r="X11" s="624">
        <f t="shared" si="1"/>
        <v>0</v>
      </c>
      <c r="Y11" s="624">
        <f t="shared" si="2"/>
        <v>0</v>
      </c>
      <c r="Z11" s="624">
        <f t="shared" si="2"/>
        <v>0</v>
      </c>
      <c r="AA11" s="624">
        <f t="shared" si="2"/>
        <v>0</v>
      </c>
      <c r="AB11" s="624">
        <f t="shared" si="2"/>
        <v>0</v>
      </c>
      <c r="AC11" s="624">
        <f t="shared" si="2"/>
        <v>0</v>
      </c>
      <c r="AD11" s="624">
        <f t="shared" si="2"/>
        <v>0</v>
      </c>
      <c r="AE11" s="624">
        <f t="shared" si="2"/>
        <v>0</v>
      </c>
      <c r="AP11" s="404"/>
      <c r="AS11" s="404"/>
      <c r="AT11" s="404"/>
    </row>
    <row r="12" spans="1:48" s="390" customFormat="1" ht="22.25" customHeight="1" thickTop="1">
      <c r="A12" s="454"/>
      <c r="B12" s="655"/>
      <c r="C12" s="662"/>
      <c r="D12" s="662"/>
      <c r="E12" s="662"/>
      <c r="F12" s="504"/>
      <c r="G12" s="643"/>
      <c r="H12" s="648"/>
      <c r="I12" s="501"/>
      <c r="J12" s="505"/>
      <c r="K12" s="505"/>
      <c r="L12" s="506"/>
      <c r="M12" s="723"/>
      <c r="N12" s="723"/>
      <c r="O12" s="723"/>
      <c r="P12" s="723"/>
      <c r="Q12" s="611"/>
      <c r="R12" s="611"/>
      <c r="S12" s="624"/>
      <c r="T12" s="625"/>
      <c r="U12" s="626"/>
      <c r="V12" s="624"/>
      <c r="W12" s="624">
        <f t="shared" si="0"/>
        <v>0</v>
      </c>
      <c r="X12" s="624">
        <f t="shared" si="1"/>
        <v>0</v>
      </c>
      <c r="Y12" s="624">
        <f t="shared" si="2"/>
        <v>0</v>
      </c>
      <c r="Z12" s="624">
        <f t="shared" si="2"/>
        <v>0</v>
      </c>
      <c r="AA12" s="624">
        <f t="shared" si="2"/>
        <v>0</v>
      </c>
      <c r="AB12" s="624">
        <f t="shared" si="2"/>
        <v>0</v>
      </c>
      <c r="AC12" s="624">
        <f t="shared" si="2"/>
        <v>0</v>
      </c>
      <c r="AD12" s="624">
        <f t="shared" si="2"/>
        <v>0</v>
      </c>
      <c r="AE12" s="624">
        <f t="shared" si="2"/>
        <v>0</v>
      </c>
      <c r="AF12" s="472"/>
      <c r="AG12" s="472"/>
      <c r="AH12" s="472"/>
      <c r="AI12" s="472"/>
      <c r="AJ12" s="472"/>
      <c r="AK12" s="472"/>
      <c r="AL12" s="472"/>
      <c r="AM12" s="471"/>
      <c r="AO12" s="390" t="s">
        <v>112</v>
      </c>
      <c r="AP12" s="404"/>
      <c r="AS12" s="404"/>
      <c r="AT12" s="404"/>
    </row>
    <row r="13" spans="1:48" s="390" customFormat="1" ht="22.25" customHeight="1">
      <c r="A13" s="312">
        <v>2</v>
      </c>
      <c r="B13" s="656" t="s">
        <v>347</v>
      </c>
      <c r="C13" s="662"/>
      <c r="D13" s="662"/>
      <c r="E13" s="662"/>
      <c r="F13" s="504"/>
      <c r="G13" s="643"/>
      <c r="H13" s="648"/>
      <c r="I13" s="501"/>
      <c r="J13" s="507"/>
      <c r="K13" s="507"/>
      <c r="L13" s="421"/>
      <c r="M13" s="724"/>
      <c r="N13" s="724"/>
      <c r="O13" s="724"/>
      <c r="P13" s="724"/>
      <c r="Q13" s="618"/>
      <c r="R13" s="618"/>
      <c r="S13" s="618"/>
      <c r="T13" s="618"/>
      <c r="U13" s="618"/>
      <c r="V13" s="619"/>
      <c r="W13" s="624">
        <f t="shared" si="0"/>
        <v>0</v>
      </c>
      <c r="X13" s="624">
        <f t="shared" si="1"/>
        <v>0</v>
      </c>
      <c r="Y13" s="624">
        <f t="shared" si="2"/>
        <v>0</v>
      </c>
      <c r="Z13" s="624">
        <f t="shared" si="2"/>
        <v>0</v>
      </c>
      <c r="AA13" s="624">
        <f t="shared" si="2"/>
        <v>0</v>
      </c>
      <c r="AB13" s="624">
        <f t="shared" si="2"/>
        <v>0</v>
      </c>
      <c r="AC13" s="624">
        <f t="shared" si="2"/>
        <v>0</v>
      </c>
      <c r="AD13" s="624">
        <f t="shared" si="2"/>
        <v>0</v>
      </c>
      <c r="AE13" s="624">
        <f t="shared" si="2"/>
        <v>0</v>
      </c>
      <c r="AF13" s="390">
        <f>3.142*7*7*40.5</f>
        <v>6235.299</v>
      </c>
      <c r="AG13" s="390">
        <f>AF14/0.52</f>
        <v>122.89076923076922</v>
      </c>
      <c r="AP13" s="404"/>
      <c r="AS13" s="404"/>
      <c r="AT13" s="404"/>
    </row>
    <row r="14" spans="1:48" s="390" customFormat="1" ht="22.25" customHeight="1" thickBot="1">
      <c r="A14" s="496"/>
      <c r="B14" s="657"/>
      <c r="C14" s="662"/>
      <c r="D14" s="662"/>
      <c r="E14" s="662">
        <v>1</v>
      </c>
      <c r="F14" s="498">
        <f>F6-5-5</f>
        <v>35</v>
      </c>
      <c r="G14" s="642">
        <f>G6-5-5</f>
        <v>45</v>
      </c>
      <c r="H14" s="642"/>
      <c r="I14" s="499"/>
      <c r="J14" s="507">
        <f>IF(I14=0,1,I14)*IF(H14=0,1,H14)*IF(G14=0,1,G14)*IF(F14=0,1,F14)*IF(E14=0,1,E14)*IF(D14=0,1,D14)*IF(C14=0,1,C14)</f>
        <v>1575</v>
      </c>
      <c r="K14" s="508"/>
      <c r="L14" s="505" t="s">
        <v>45</v>
      </c>
      <c r="M14" s="724"/>
      <c r="N14" s="724"/>
      <c r="O14" s="724"/>
      <c r="P14" s="724"/>
      <c r="Q14" s="618"/>
      <c r="R14" s="618"/>
      <c r="S14" s="618"/>
      <c r="T14" s="618"/>
      <c r="U14" s="618"/>
      <c r="V14" s="619"/>
      <c r="W14" s="624">
        <f t="shared" si="0"/>
        <v>0</v>
      </c>
      <c r="X14" s="624">
        <f t="shared" si="1"/>
        <v>0</v>
      </c>
      <c r="Y14" s="624">
        <f t="shared" si="2"/>
        <v>0</v>
      </c>
      <c r="Z14" s="624">
        <f t="shared" si="2"/>
        <v>0</v>
      </c>
      <c r="AA14" s="624">
        <f t="shared" si="2"/>
        <v>0</v>
      </c>
      <c r="AB14" s="624">
        <f t="shared" si="2"/>
        <v>0</v>
      </c>
      <c r="AC14" s="624">
        <f t="shared" si="2"/>
        <v>0</v>
      </c>
      <c r="AD14" s="624">
        <f t="shared" si="2"/>
        <v>0</v>
      </c>
      <c r="AE14" s="624">
        <f t="shared" si="2"/>
        <v>0</v>
      </c>
      <c r="AF14" s="390">
        <f>6390.32/100</f>
        <v>63.903199999999998</v>
      </c>
      <c r="AG14" s="390">
        <f>58/4</f>
        <v>14.5</v>
      </c>
      <c r="AP14" s="404"/>
      <c r="AS14" s="404"/>
      <c r="AT14" s="404"/>
    </row>
    <row r="15" spans="1:48" s="390" customFormat="1" ht="22.25" customHeight="1" thickBot="1">
      <c r="A15" s="496"/>
      <c r="B15" s="654"/>
      <c r="C15" s="661"/>
      <c r="D15" s="661"/>
      <c r="E15" s="661"/>
      <c r="F15" s="498"/>
      <c r="G15" s="642"/>
      <c r="H15" s="647"/>
      <c r="I15" s="499"/>
      <c r="J15" s="499"/>
      <c r="K15" s="509">
        <f>SUM(J14)</f>
        <v>1575</v>
      </c>
      <c r="L15" s="509" t="s">
        <v>45</v>
      </c>
      <c r="M15" s="722"/>
      <c r="N15" s="722"/>
      <c r="O15" s="722"/>
      <c r="P15" s="722"/>
      <c r="Q15" s="611"/>
      <c r="R15" s="611"/>
      <c r="S15" s="624"/>
      <c r="T15" s="625"/>
      <c r="U15" s="626"/>
      <c r="V15" s="624"/>
      <c r="W15" s="624">
        <f t="shared" si="0"/>
        <v>0</v>
      </c>
      <c r="X15" s="624">
        <f t="shared" si="1"/>
        <v>0</v>
      </c>
      <c r="Y15" s="624">
        <f t="shared" si="2"/>
        <v>0</v>
      </c>
      <c r="Z15" s="624">
        <f t="shared" si="2"/>
        <v>0</v>
      </c>
      <c r="AA15" s="624">
        <f t="shared" si="2"/>
        <v>0</v>
      </c>
      <c r="AB15" s="624">
        <f t="shared" si="2"/>
        <v>0</v>
      </c>
      <c r="AC15" s="624">
        <f t="shared" si="2"/>
        <v>0</v>
      </c>
      <c r="AD15" s="624">
        <f t="shared" si="2"/>
        <v>0</v>
      </c>
      <c r="AE15" s="624">
        <f t="shared" si="2"/>
        <v>0</v>
      </c>
      <c r="AF15" s="390">
        <f>AF14*0.5</f>
        <v>31.951599999999999</v>
      </c>
      <c r="AG15" s="390">
        <f>1/0.52</f>
        <v>1.9230769230769229</v>
      </c>
      <c r="AP15" s="404"/>
      <c r="AS15" s="404"/>
      <c r="AT15" s="404"/>
    </row>
    <row r="16" spans="1:48" s="390" customFormat="1" ht="22.25" customHeight="1" thickBot="1">
      <c r="A16" s="454"/>
      <c r="B16" s="655"/>
      <c r="C16" s="662"/>
      <c r="D16" s="662"/>
      <c r="E16" s="662"/>
      <c r="F16" s="504"/>
      <c r="G16" s="643"/>
      <c r="H16" s="648"/>
      <c r="I16" s="501"/>
      <c r="J16" s="501"/>
      <c r="K16" s="502">
        <f>K15/100</f>
        <v>15.75</v>
      </c>
      <c r="L16" s="503" t="s">
        <v>315</v>
      </c>
      <c r="M16" s="723"/>
      <c r="N16" s="723"/>
      <c r="O16" s="723"/>
      <c r="P16" s="723"/>
      <c r="Q16" s="611"/>
      <c r="R16" s="611"/>
      <c r="S16" s="624"/>
      <c r="T16" s="625"/>
      <c r="U16" s="626"/>
      <c r="V16" s="624"/>
      <c r="W16" s="624">
        <f t="shared" si="0"/>
        <v>0</v>
      </c>
      <c r="X16" s="624">
        <f t="shared" si="1"/>
        <v>0</v>
      </c>
      <c r="Y16" s="624">
        <f t="shared" si="2"/>
        <v>0</v>
      </c>
      <c r="Z16" s="624">
        <f t="shared" si="2"/>
        <v>0</v>
      </c>
      <c r="AA16" s="624">
        <f t="shared" si="2"/>
        <v>0</v>
      </c>
      <c r="AB16" s="624">
        <f t="shared" si="2"/>
        <v>0</v>
      </c>
      <c r="AC16" s="624">
        <f t="shared" si="2"/>
        <v>0</v>
      </c>
      <c r="AD16" s="624">
        <f t="shared" si="2"/>
        <v>0</v>
      </c>
      <c r="AE16" s="624">
        <f t="shared" si="2"/>
        <v>0</v>
      </c>
      <c r="AF16" s="472">
        <f>AF14/19</f>
        <v>3.3633263157894735</v>
      </c>
      <c r="AG16" s="472">
        <f>1/AF16</f>
        <v>0.29732470361421653</v>
      </c>
      <c r="AH16" s="472">
        <f>AF14/6</f>
        <v>10.650533333333334</v>
      </c>
      <c r="AI16" s="472"/>
      <c r="AJ16" s="472"/>
      <c r="AK16" s="472"/>
      <c r="AL16" s="472"/>
      <c r="AM16" s="471"/>
      <c r="AP16" s="404"/>
      <c r="AS16" s="404"/>
      <c r="AT16" s="404"/>
    </row>
    <row r="17" spans="1:48" s="390" customFormat="1" ht="18" customHeight="1" thickTop="1">
      <c r="A17" s="454"/>
      <c r="B17" s="655"/>
      <c r="C17" s="662"/>
      <c r="D17" s="662"/>
      <c r="E17" s="662"/>
      <c r="F17" s="504"/>
      <c r="G17" s="643"/>
      <c r="H17" s="648"/>
      <c r="I17" s="501"/>
      <c r="J17" s="505"/>
      <c r="K17" s="505"/>
      <c r="L17" s="506"/>
      <c r="M17" s="723"/>
      <c r="N17" s="723"/>
      <c r="O17" s="723"/>
      <c r="P17" s="723"/>
      <c r="Q17" s="618"/>
      <c r="R17" s="618"/>
      <c r="S17" s="618"/>
      <c r="T17" s="618"/>
      <c r="U17" s="618"/>
      <c r="V17" s="619"/>
      <c r="W17" s="624">
        <f t="shared" si="0"/>
        <v>0</v>
      </c>
      <c r="X17" s="624">
        <f t="shared" si="1"/>
        <v>0</v>
      </c>
      <c r="Y17" s="624">
        <f t="shared" si="2"/>
        <v>0</v>
      </c>
      <c r="Z17" s="624">
        <f t="shared" si="2"/>
        <v>0</v>
      </c>
      <c r="AA17" s="624">
        <f t="shared" si="2"/>
        <v>0</v>
      </c>
      <c r="AB17" s="624">
        <f t="shared" si="2"/>
        <v>0</v>
      </c>
      <c r="AC17" s="624">
        <f t="shared" si="2"/>
        <v>0</v>
      </c>
      <c r="AD17" s="624">
        <f t="shared" si="2"/>
        <v>0</v>
      </c>
      <c r="AE17" s="624">
        <f t="shared" si="2"/>
        <v>0</v>
      </c>
      <c r="AF17" s="472">
        <f>AF14/180</f>
        <v>0.35501777777777777</v>
      </c>
      <c r="AG17" s="472">
        <f>AF14/0.3</f>
        <v>213.01066666666668</v>
      </c>
      <c r="AH17" s="472">
        <f>1/AH16</f>
        <v>9.389201166764731E-2</v>
      </c>
      <c r="AI17" s="472"/>
      <c r="AJ17" s="472"/>
      <c r="AK17" s="472"/>
      <c r="AL17" s="472"/>
      <c r="AM17" s="471"/>
      <c r="AP17" s="404"/>
      <c r="AS17" s="404"/>
      <c r="AT17" s="404"/>
    </row>
    <row r="18" spans="1:48" s="390" customFormat="1" ht="22.25" customHeight="1">
      <c r="A18" s="454">
        <v>3</v>
      </c>
      <c r="B18" s="649" t="s">
        <v>348</v>
      </c>
      <c r="C18" s="662"/>
      <c r="D18" s="662"/>
      <c r="E18" s="662"/>
      <c r="F18" s="504"/>
      <c r="G18" s="643"/>
      <c r="H18" s="648"/>
      <c r="I18" s="501"/>
      <c r="J18" s="421"/>
      <c r="K18" s="421"/>
      <c r="L18" s="432"/>
      <c r="M18" s="725"/>
      <c r="N18" s="725"/>
      <c r="O18" s="725"/>
      <c r="P18" s="725"/>
      <c r="Q18" s="618"/>
      <c r="R18" s="618"/>
      <c r="S18" s="618"/>
      <c r="T18" s="618"/>
      <c r="U18" s="618"/>
      <c r="V18" s="619"/>
      <c r="W18" s="624">
        <f t="shared" si="0"/>
        <v>0</v>
      </c>
      <c r="X18" s="624">
        <f t="shared" si="1"/>
        <v>0</v>
      </c>
      <c r="Y18" s="624">
        <f t="shared" si="2"/>
        <v>0</v>
      </c>
      <c r="Z18" s="624">
        <f t="shared" si="2"/>
        <v>0</v>
      </c>
      <c r="AA18" s="624">
        <f t="shared" si="2"/>
        <v>0</v>
      </c>
      <c r="AB18" s="624">
        <f t="shared" si="2"/>
        <v>0</v>
      </c>
      <c r="AC18" s="624">
        <f t="shared" si="2"/>
        <v>0</v>
      </c>
      <c r="AD18" s="624">
        <f t="shared" si="2"/>
        <v>0</v>
      </c>
      <c r="AE18" s="624">
        <f t="shared" si="2"/>
        <v>0</v>
      </c>
      <c r="AF18" s="471">
        <f>1/AF14</f>
        <v>1.5648668611274553E-2</v>
      </c>
      <c r="AG18" s="471">
        <f>AF6*2.8</f>
        <v>409.69599999999997</v>
      </c>
      <c r="AH18" s="471"/>
      <c r="AI18" s="471"/>
      <c r="AJ18" s="471"/>
      <c r="AK18" s="471"/>
      <c r="AL18" s="471"/>
      <c r="AM18" s="471"/>
      <c r="AN18" s="471"/>
      <c r="AO18" s="471"/>
      <c r="AR18" s="404"/>
      <c r="AU18" s="404"/>
      <c r="AV18" s="404"/>
    </row>
    <row r="19" spans="1:48" s="390" customFormat="1" ht="22.25" customHeight="1">
      <c r="A19" s="454"/>
      <c r="B19" s="658" t="s">
        <v>353</v>
      </c>
      <c r="C19" s="662"/>
      <c r="D19" s="662"/>
      <c r="E19" s="662"/>
      <c r="F19" s="501"/>
      <c r="G19" s="501"/>
      <c r="H19" s="647"/>
      <c r="I19" s="499"/>
      <c r="J19" s="507"/>
      <c r="K19" s="421"/>
      <c r="L19" s="436"/>
      <c r="M19" s="725"/>
      <c r="N19" s="725" t="s">
        <v>735</v>
      </c>
      <c r="O19" s="725"/>
      <c r="P19" s="725"/>
      <c r="Q19" s="611"/>
      <c r="R19" s="611"/>
      <c r="S19" s="624"/>
      <c r="T19" s="625"/>
      <c r="U19" s="626"/>
      <c r="V19" s="624"/>
      <c r="W19" s="624">
        <f t="shared" si="0"/>
        <v>0</v>
      </c>
      <c r="X19" s="624">
        <f t="shared" si="1"/>
        <v>0</v>
      </c>
      <c r="Y19" s="624">
        <f t="shared" si="2"/>
        <v>0</v>
      </c>
      <c r="Z19" s="624">
        <f t="shared" si="2"/>
        <v>0</v>
      </c>
      <c r="AA19" s="624">
        <f t="shared" si="2"/>
        <v>0</v>
      </c>
      <c r="AB19" s="624">
        <f t="shared" si="2"/>
        <v>0</v>
      </c>
      <c r="AC19" s="624">
        <f t="shared" si="2"/>
        <v>0</v>
      </c>
      <c r="AD19" s="624">
        <f t="shared" si="2"/>
        <v>0</v>
      </c>
      <c r="AE19" s="624">
        <f t="shared" si="2"/>
        <v>0</v>
      </c>
      <c r="AF19" s="471"/>
      <c r="AG19" s="471"/>
      <c r="AH19" s="471"/>
      <c r="AI19" s="471"/>
      <c r="AJ19" s="471"/>
      <c r="AK19" s="471"/>
      <c r="AL19" s="471"/>
      <c r="AM19" s="471"/>
      <c r="AN19" s="471"/>
      <c r="AO19" s="471"/>
      <c r="AR19" s="404"/>
      <c r="AU19" s="404"/>
      <c r="AV19" s="404"/>
    </row>
    <row r="20" spans="1:48" s="390" customFormat="1" ht="22.25" customHeight="1">
      <c r="A20" s="454"/>
      <c r="B20" s="657" t="s">
        <v>731</v>
      </c>
      <c r="C20" s="662"/>
      <c r="D20" s="662"/>
      <c r="E20" s="662">
        <v>6</v>
      </c>
      <c r="F20" s="501">
        <f>3+1+1</f>
        <v>5</v>
      </c>
      <c r="G20" s="501">
        <f>3+1+1</f>
        <v>5</v>
      </c>
      <c r="H20" s="642">
        <f>4+0.25+0.5</f>
        <v>4.75</v>
      </c>
      <c r="I20" s="499"/>
      <c r="J20" s="507">
        <f>IF(I20=0,1,I20)*IF(H20=0,1,H20)*IF(G20=0,1,G20)*IF(F20=0,1,F20)*IF(E20=0,1,E20)*IF(D20=0,1,D20)*IF(C20=0,1,C20)</f>
        <v>712.5</v>
      </c>
      <c r="K20" s="455"/>
      <c r="L20" s="510" t="s">
        <v>301</v>
      </c>
      <c r="M20" s="722"/>
      <c r="N20" s="722">
        <v>1636250</v>
      </c>
      <c r="O20" s="722"/>
      <c r="P20" s="722"/>
      <c r="Q20" s="611"/>
      <c r="R20" s="611"/>
      <c r="S20" s="624"/>
      <c r="T20" s="625"/>
      <c r="U20" s="626"/>
      <c r="V20" s="624"/>
      <c r="W20" s="624">
        <f t="shared" si="0"/>
        <v>0</v>
      </c>
      <c r="X20" s="624">
        <f t="shared" si="1"/>
        <v>0</v>
      </c>
      <c r="Y20" s="624">
        <f t="shared" si="2"/>
        <v>0</v>
      </c>
      <c r="Z20" s="624">
        <f t="shared" si="2"/>
        <v>0</v>
      </c>
      <c r="AA20" s="624">
        <f t="shared" si="2"/>
        <v>0</v>
      </c>
      <c r="AB20" s="624">
        <f t="shared" si="2"/>
        <v>0</v>
      </c>
      <c r="AC20" s="624">
        <f t="shared" si="2"/>
        <v>0</v>
      </c>
      <c r="AD20" s="624">
        <f t="shared" si="2"/>
        <v>0</v>
      </c>
      <c r="AE20" s="624">
        <f t="shared" si="2"/>
        <v>0</v>
      </c>
      <c r="AF20" s="471"/>
      <c r="AG20" s="473" t="e">
        <f>#REF!*#REF!*#REF!</f>
        <v>#REF!</v>
      </c>
      <c r="AH20" s="471"/>
      <c r="AI20" s="471"/>
      <c r="AJ20" s="471">
        <f>11.75+16.25</f>
        <v>28</v>
      </c>
      <c r="AM20" s="404"/>
      <c r="AP20" s="404"/>
      <c r="AQ20" s="404"/>
    </row>
    <row r="21" spans="1:48" s="390" customFormat="1" ht="22.75" customHeight="1">
      <c r="A21" s="454"/>
      <c r="B21" s="657" t="s">
        <v>730</v>
      </c>
      <c r="C21" s="662"/>
      <c r="D21" s="662"/>
      <c r="E21" s="662">
        <v>3</v>
      </c>
      <c r="F21" s="501">
        <f>4+1+1</f>
        <v>6</v>
      </c>
      <c r="G21" s="501">
        <f>4+1+1</f>
        <v>6</v>
      </c>
      <c r="H21" s="642">
        <f>H20</f>
        <v>4.75</v>
      </c>
      <c r="I21" s="499"/>
      <c r="J21" s="507">
        <f>IF(I21=0,1,I21)*IF(H21=0,1,H21)*IF(G21=0,1,G21)*IF(F21=0,1,F21)*IF(E21=0,1,E21)*IF(D21=0,1,D21)*IF(C21=0,1,C21)</f>
        <v>513</v>
      </c>
      <c r="K21" s="455"/>
      <c r="L21" s="510" t="s">
        <v>301</v>
      </c>
      <c r="M21" s="722"/>
      <c r="N21" s="722">
        <v>300000</v>
      </c>
      <c r="O21" s="722"/>
      <c r="P21" s="722"/>
      <c r="Q21" s="611"/>
      <c r="R21" s="611"/>
      <c r="S21" s="624"/>
      <c r="T21" s="625"/>
      <c r="U21" s="626"/>
      <c r="V21" s="624"/>
      <c r="W21" s="624">
        <f t="shared" si="0"/>
        <v>0</v>
      </c>
      <c r="X21" s="624">
        <f t="shared" si="1"/>
        <v>0</v>
      </c>
      <c r="Y21" s="624">
        <f t="shared" si="2"/>
        <v>0</v>
      </c>
      <c r="Z21" s="624">
        <f t="shared" si="2"/>
        <v>0</v>
      </c>
      <c r="AA21" s="624">
        <f t="shared" si="2"/>
        <v>0</v>
      </c>
      <c r="AB21" s="624">
        <f t="shared" si="2"/>
        <v>0</v>
      </c>
      <c r="AC21" s="624">
        <f t="shared" si="2"/>
        <v>0</v>
      </c>
      <c r="AD21" s="624">
        <f t="shared" si="2"/>
        <v>0</v>
      </c>
      <c r="AE21" s="624">
        <f t="shared" si="2"/>
        <v>0</v>
      </c>
      <c r="AF21" s="471"/>
      <c r="AG21" s="473" t="e">
        <f>#REF!*#REF!*#REF!</f>
        <v>#REF!</v>
      </c>
      <c r="AH21" s="471"/>
      <c r="AI21" s="471"/>
      <c r="AJ21" s="471">
        <f>11.75+16.25</f>
        <v>28</v>
      </c>
      <c r="AM21" s="404"/>
      <c r="AP21" s="404"/>
      <c r="AQ21" s="404"/>
    </row>
    <row r="22" spans="1:48" s="390" customFormat="1" ht="22.75" customHeight="1">
      <c r="A22" s="454"/>
      <c r="B22" s="657" t="s">
        <v>729</v>
      </c>
      <c r="C22" s="662"/>
      <c r="D22" s="662"/>
      <c r="E22" s="662">
        <v>11</v>
      </c>
      <c r="F22" s="501">
        <f>5+1+1</f>
        <v>7</v>
      </c>
      <c r="G22" s="501">
        <f>5+1+1</f>
        <v>7</v>
      </c>
      <c r="H22" s="642">
        <f>H21</f>
        <v>4.75</v>
      </c>
      <c r="I22" s="499"/>
      <c r="J22" s="507">
        <f>IF(I22=0,1,I22)*IF(H22=0,1,H22)*IF(G22=0,1,G22)*IF(F22=0,1,F22)*IF(E22=0,1,E22)*IF(D22=0,1,D22)*IF(C22=0,1,C22)</f>
        <v>2560.25</v>
      </c>
      <c r="K22" s="455"/>
      <c r="L22" s="510" t="s">
        <v>301</v>
      </c>
      <c r="M22" s="722"/>
      <c r="N22" s="722">
        <v>-700000</v>
      </c>
      <c r="O22" s="722"/>
      <c r="P22" s="722"/>
      <c r="Q22" s="611"/>
      <c r="R22" s="611"/>
      <c r="S22" s="624"/>
      <c r="T22" s="625"/>
      <c r="U22" s="626"/>
      <c r="V22" s="624"/>
      <c r="W22" s="624"/>
      <c r="X22" s="624"/>
      <c r="Y22" s="624"/>
      <c r="Z22" s="624"/>
      <c r="AA22" s="624"/>
      <c r="AB22" s="624"/>
      <c r="AC22" s="624"/>
      <c r="AD22" s="624"/>
      <c r="AE22" s="624"/>
      <c r="AF22" s="471"/>
      <c r="AG22" s="473"/>
      <c r="AH22" s="471"/>
      <c r="AI22" s="471"/>
      <c r="AJ22" s="471"/>
      <c r="AM22" s="404"/>
      <c r="AP22" s="404"/>
      <c r="AQ22" s="404"/>
    </row>
    <row r="23" spans="1:48" s="390" customFormat="1" ht="22.75" customHeight="1">
      <c r="A23" s="454"/>
      <c r="B23" s="657" t="s">
        <v>728</v>
      </c>
      <c r="C23" s="662"/>
      <c r="D23" s="662"/>
      <c r="E23" s="662">
        <v>3</v>
      </c>
      <c r="F23" s="501">
        <f>5.5+1+1</f>
        <v>7.5</v>
      </c>
      <c r="G23" s="501">
        <f>5.5+1+1</f>
        <v>7.5</v>
      </c>
      <c r="H23" s="642">
        <f>H22</f>
        <v>4.75</v>
      </c>
      <c r="I23" s="499"/>
      <c r="J23" s="507">
        <f>IF(I23=0,1,I23)*IF(H23=0,1,H23)*IF(G23=0,1,G23)*IF(F23=0,1,F23)*IF(E23=0,1,E23)*IF(D23=0,1,D23)*IF(C23=0,1,C23)</f>
        <v>801.5625</v>
      </c>
      <c r="K23" s="455"/>
      <c r="L23" s="510" t="s">
        <v>301</v>
      </c>
      <c r="M23" s="722"/>
      <c r="N23" s="722">
        <v>-85000</v>
      </c>
      <c r="O23" s="722"/>
      <c r="P23" s="722"/>
      <c r="Q23" s="611"/>
      <c r="R23" s="611"/>
      <c r="S23" s="624"/>
      <c r="T23" s="625"/>
      <c r="U23" s="626"/>
      <c r="V23" s="624"/>
      <c r="W23" s="624"/>
      <c r="X23" s="624"/>
      <c r="Y23" s="624"/>
      <c r="Z23" s="624"/>
      <c r="AA23" s="624"/>
      <c r="AB23" s="624"/>
      <c r="AC23" s="624"/>
      <c r="AD23" s="624"/>
      <c r="AE23" s="624"/>
      <c r="AF23" s="471"/>
      <c r="AG23" s="473"/>
      <c r="AH23" s="471"/>
      <c r="AI23" s="471"/>
      <c r="AJ23" s="471"/>
      <c r="AM23" s="404"/>
      <c r="AP23" s="404"/>
      <c r="AQ23" s="404"/>
    </row>
    <row r="24" spans="1:48" s="390" customFormat="1" ht="22.75" customHeight="1">
      <c r="A24" s="454"/>
      <c r="B24" s="657"/>
      <c r="C24" s="662"/>
      <c r="D24" s="662"/>
      <c r="E24" s="937">
        <f>SUM(E20:E23)</f>
        <v>23</v>
      </c>
      <c r="F24" s="501"/>
      <c r="G24" s="501"/>
      <c r="H24" s="642"/>
      <c r="I24" s="499"/>
      <c r="J24" s="507"/>
      <c r="K24" s="455">
        <f>SUM(J19:J24)</f>
        <v>4587.3125</v>
      </c>
      <c r="L24" s="510" t="s">
        <v>301</v>
      </c>
      <c r="M24" s="722"/>
      <c r="N24" s="722">
        <f>SUM(N20:N23)</f>
        <v>1151250</v>
      </c>
      <c r="O24" s="722"/>
      <c r="P24" s="722"/>
      <c r="Q24" s="611"/>
      <c r="R24" s="611"/>
      <c r="S24" s="624"/>
      <c r="T24" s="625"/>
      <c r="U24" s="626"/>
      <c r="V24" s="624"/>
      <c r="W24" s="624"/>
      <c r="X24" s="624"/>
      <c r="Y24" s="624"/>
      <c r="Z24" s="624"/>
      <c r="AA24" s="624"/>
      <c r="AB24" s="624"/>
      <c r="AC24" s="624"/>
      <c r="AD24" s="624"/>
      <c r="AE24" s="624"/>
      <c r="AF24" s="471"/>
      <c r="AG24" s="473"/>
      <c r="AH24" s="471"/>
      <c r="AI24" s="471"/>
      <c r="AJ24" s="471"/>
      <c r="AM24" s="404"/>
      <c r="AP24" s="404"/>
      <c r="AQ24" s="404"/>
    </row>
    <row r="25" spans="1:48" s="390" customFormat="1" ht="22.25" customHeight="1">
      <c r="A25" s="454"/>
      <c r="B25" s="659" t="s">
        <v>349</v>
      </c>
      <c r="C25" s="662"/>
      <c r="D25" s="662"/>
      <c r="E25" s="662"/>
      <c r="F25" s="498"/>
      <c r="G25" s="642"/>
      <c r="H25" s="642"/>
      <c r="I25" s="501"/>
      <c r="J25" s="507"/>
      <c r="K25" s="455"/>
      <c r="L25" s="312"/>
      <c r="M25" s="726"/>
      <c r="N25" s="726"/>
      <c r="O25" s="726"/>
      <c r="P25" s="726"/>
      <c r="Q25" s="611"/>
      <c r="R25" s="611"/>
      <c r="S25" s="611"/>
      <c r="T25" s="626"/>
      <c r="U25" s="624"/>
      <c r="V25" s="624"/>
      <c r="W25" s="624">
        <f t="shared" si="0"/>
        <v>0</v>
      </c>
      <c r="X25" s="624">
        <f t="shared" si="1"/>
        <v>0</v>
      </c>
      <c r="Y25" s="624">
        <f t="shared" si="2"/>
        <v>0</v>
      </c>
      <c r="Z25" s="624">
        <f t="shared" si="2"/>
        <v>0</v>
      </c>
      <c r="AA25" s="624">
        <f t="shared" si="2"/>
        <v>0</v>
      </c>
      <c r="AB25" s="624">
        <f t="shared" si="2"/>
        <v>0</v>
      </c>
      <c r="AC25" s="624">
        <f t="shared" si="2"/>
        <v>0</v>
      </c>
      <c r="AD25" s="624">
        <f t="shared" si="2"/>
        <v>0</v>
      </c>
      <c r="AE25" s="624">
        <f t="shared" si="2"/>
        <v>0</v>
      </c>
      <c r="AF25" s="404"/>
      <c r="AG25" s="471"/>
      <c r="AH25" s="471"/>
      <c r="AI25" s="471"/>
      <c r="AJ25" s="471"/>
      <c r="AM25" s="404"/>
      <c r="AP25" s="404"/>
      <c r="AQ25" s="404"/>
    </row>
    <row r="26" spans="1:48" s="390" customFormat="1" ht="22.25" customHeight="1">
      <c r="A26" s="454"/>
      <c r="B26" s="657" t="s">
        <v>305</v>
      </c>
      <c r="C26" s="662"/>
      <c r="D26" s="662"/>
      <c r="E26" s="662">
        <v>1</v>
      </c>
      <c r="F26" s="498">
        <f>35-0.5*F21-2.5*F22</f>
        <v>14.5</v>
      </c>
      <c r="G26" s="642">
        <v>1.67</v>
      </c>
      <c r="H26" s="642">
        <v>3</v>
      </c>
      <c r="I26" s="499"/>
      <c r="J26" s="507">
        <f>IF(I26=0,1,I26)*IF(H26=0,1,H26)*IF(G26=0,1,G26)*IF(F26=0,1,F26)*IF(E26=0,1,E26)*IF(D26=0,1,D26)*IF(C26=0,1,C26)</f>
        <v>72.644999999999996</v>
      </c>
      <c r="K26" s="455"/>
      <c r="L26" s="510" t="s">
        <v>301</v>
      </c>
      <c r="M26" s="726"/>
      <c r="N26" s="722"/>
      <c r="O26" s="722"/>
      <c r="P26" s="722"/>
      <c r="Q26" s="611"/>
      <c r="R26" s="611"/>
      <c r="S26" s="611"/>
      <c r="T26" s="611"/>
      <c r="U26" s="611"/>
      <c r="V26" s="624"/>
      <c r="W26" s="624">
        <f t="shared" si="0"/>
        <v>0</v>
      </c>
      <c r="X26" s="624">
        <f t="shared" si="1"/>
        <v>0</v>
      </c>
      <c r="Y26" s="624">
        <f t="shared" si="2"/>
        <v>0</v>
      </c>
      <c r="Z26" s="624">
        <f t="shared" si="2"/>
        <v>0</v>
      </c>
      <c r="AA26" s="624">
        <f t="shared" si="2"/>
        <v>0</v>
      </c>
      <c r="AB26" s="624">
        <f t="shared" si="2"/>
        <v>0</v>
      </c>
      <c r="AC26" s="624">
        <f t="shared" si="2"/>
        <v>0</v>
      </c>
      <c r="AD26" s="624">
        <f t="shared" si="2"/>
        <v>0</v>
      </c>
      <c r="AE26" s="624">
        <f t="shared" si="2"/>
        <v>0</v>
      </c>
      <c r="AF26" s="471">
        <f>14*0.75*1*2</f>
        <v>21</v>
      </c>
      <c r="AG26" s="473"/>
      <c r="AH26" s="471"/>
      <c r="AI26" s="471"/>
      <c r="AJ26" s="471"/>
      <c r="AM26" s="404"/>
      <c r="AP26" s="404"/>
      <c r="AQ26" s="404"/>
    </row>
    <row r="27" spans="1:48" s="390" customFormat="1" ht="22.25" customHeight="1">
      <c r="A27" s="454"/>
      <c r="B27" s="657" t="s">
        <v>567</v>
      </c>
      <c r="C27" s="662"/>
      <c r="D27" s="662"/>
      <c r="E27" s="662">
        <v>1</v>
      </c>
      <c r="F27" s="498">
        <f>5-0.5*F20-0.5*F21</f>
        <v>-0.5</v>
      </c>
      <c r="G27" s="642">
        <f>G26</f>
        <v>1.67</v>
      </c>
      <c r="H27" s="642">
        <f>H26</f>
        <v>3</v>
      </c>
      <c r="I27" s="499"/>
      <c r="J27" s="507"/>
      <c r="K27" s="455"/>
      <c r="L27" s="510" t="s">
        <v>301</v>
      </c>
      <c r="M27" s="726"/>
      <c r="N27" s="722"/>
      <c r="O27" s="722"/>
      <c r="P27" s="722"/>
      <c r="Q27" s="611"/>
      <c r="R27" s="611"/>
      <c r="S27" s="624"/>
      <c r="T27" s="625"/>
      <c r="U27" s="626"/>
      <c r="V27" s="624"/>
      <c r="W27" s="624">
        <f t="shared" si="0"/>
        <v>0</v>
      </c>
      <c r="X27" s="624">
        <f t="shared" si="1"/>
        <v>0</v>
      </c>
      <c r="Y27" s="624">
        <f t="shared" si="2"/>
        <v>0</v>
      </c>
      <c r="Z27" s="624">
        <f t="shared" si="2"/>
        <v>0</v>
      </c>
      <c r="AA27" s="624">
        <f t="shared" si="2"/>
        <v>0</v>
      </c>
      <c r="AB27" s="624">
        <f t="shared" si="2"/>
        <v>0</v>
      </c>
      <c r="AC27" s="624">
        <f t="shared" si="2"/>
        <v>0</v>
      </c>
      <c r="AD27" s="624">
        <f t="shared" si="2"/>
        <v>0</v>
      </c>
      <c r="AE27" s="624">
        <f t="shared" si="2"/>
        <v>0</v>
      </c>
      <c r="AF27" s="471"/>
      <c r="AG27" s="473"/>
      <c r="AH27" s="471"/>
      <c r="AI27" s="471"/>
      <c r="AJ27" s="471"/>
      <c r="AM27" s="404"/>
      <c r="AP27" s="404"/>
      <c r="AQ27" s="404"/>
    </row>
    <row r="28" spans="1:48" s="390" customFormat="1" ht="22.25" customHeight="1">
      <c r="A28" s="454"/>
      <c r="B28" s="657" t="s">
        <v>471</v>
      </c>
      <c r="C28" s="662"/>
      <c r="D28" s="662"/>
      <c r="E28" s="662">
        <v>1</v>
      </c>
      <c r="F28" s="498">
        <f>35+5-0.5*F20-1*F21-2.5*F22</f>
        <v>14</v>
      </c>
      <c r="G28" s="642">
        <f t="shared" ref="G28:H37" si="3">G27</f>
        <v>1.67</v>
      </c>
      <c r="H28" s="642">
        <f t="shared" si="3"/>
        <v>3</v>
      </c>
      <c r="I28" s="499"/>
      <c r="J28" s="507">
        <f t="shared" ref="J28:J36" si="4">IF(I28=0,1,I28)*IF(H28=0,1,H28)*IF(G28=0,1,G28)*IF(F28=0,1,F28)*IF(E28=0,1,E28)*IF(D28=0,1,D28)*IF(C28=0,1,C28)</f>
        <v>70.14</v>
      </c>
      <c r="K28" s="455"/>
      <c r="L28" s="510" t="s">
        <v>301</v>
      </c>
      <c r="M28" s="726"/>
      <c r="N28" s="722">
        <f>16.5*2</f>
        <v>33</v>
      </c>
      <c r="O28" s="722"/>
      <c r="P28" s="722"/>
      <c r="Q28" s="611"/>
      <c r="R28" s="611"/>
      <c r="S28" s="624"/>
      <c r="T28" s="625"/>
      <c r="U28" s="626"/>
      <c r="V28" s="624"/>
      <c r="W28" s="624">
        <f t="shared" si="0"/>
        <v>0</v>
      </c>
      <c r="X28" s="624">
        <f t="shared" si="1"/>
        <v>0</v>
      </c>
      <c r="Y28" s="624">
        <f t="shared" si="2"/>
        <v>0</v>
      </c>
      <c r="Z28" s="624">
        <f t="shared" si="2"/>
        <v>0</v>
      </c>
      <c r="AA28" s="624">
        <f t="shared" si="2"/>
        <v>0</v>
      </c>
      <c r="AB28" s="624">
        <f t="shared" si="2"/>
        <v>0</v>
      </c>
      <c r="AC28" s="624">
        <f t="shared" si="2"/>
        <v>0</v>
      </c>
      <c r="AD28" s="624">
        <f t="shared" si="2"/>
        <v>0</v>
      </c>
      <c r="AE28" s="624">
        <f t="shared" si="2"/>
        <v>0</v>
      </c>
      <c r="AF28" s="471"/>
      <c r="AG28" s="473"/>
      <c r="AH28" s="471"/>
      <c r="AI28" s="471"/>
      <c r="AJ28" s="471"/>
      <c r="AM28" s="404"/>
      <c r="AP28" s="404"/>
      <c r="AQ28" s="404"/>
    </row>
    <row r="29" spans="1:48" s="390" customFormat="1" ht="22.25" customHeight="1">
      <c r="A29" s="454"/>
      <c r="B29" s="657" t="s">
        <v>732</v>
      </c>
      <c r="C29" s="662"/>
      <c r="D29" s="662"/>
      <c r="E29" s="662">
        <v>2</v>
      </c>
      <c r="F29" s="498">
        <f>14.5-1*G29</f>
        <v>12.83</v>
      </c>
      <c r="G29" s="642">
        <f t="shared" si="3"/>
        <v>1.67</v>
      </c>
      <c r="H29" s="642">
        <f t="shared" si="3"/>
        <v>3</v>
      </c>
      <c r="I29" s="499"/>
      <c r="J29" s="507">
        <f t="shared" si="4"/>
        <v>128.5566</v>
      </c>
      <c r="K29" s="455"/>
      <c r="L29" s="510" t="s">
        <v>301</v>
      </c>
      <c r="M29" s="726"/>
      <c r="N29" s="722">
        <v>300000</v>
      </c>
      <c r="O29" s="722"/>
      <c r="P29" s="722"/>
      <c r="Q29" s="611"/>
      <c r="R29" s="611"/>
      <c r="S29" s="624"/>
      <c r="T29" s="625"/>
      <c r="U29" s="626"/>
      <c r="V29" s="624"/>
      <c r="W29" s="624">
        <f t="shared" si="0"/>
        <v>0</v>
      </c>
      <c r="X29" s="624">
        <f t="shared" si="1"/>
        <v>0</v>
      </c>
      <c r="Y29" s="624">
        <f t="shared" ref="Y29:AE41" si="5">IF($R29=Y$5,$V29,0)</f>
        <v>0</v>
      </c>
      <c r="Z29" s="624">
        <f t="shared" si="5"/>
        <v>0</v>
      </c>
      <c r="AA29" s="624">
        <f t="shared" si="5"/>
        <v>0</v>
      </c>
      <c r="AB29" s="624">
        <f t="shared" si="5"/>
        <v>0</v>
      </c>
      <c r="AC29" s="624">
        <f t="shared" si="5"/>
        <v>0</v>
      </c>
      <c r="AD29" s="624">
        <f t="shared" si="5"/>
        <v>0</v>
      </c>
      <c r="AE29" s="624">
        <f t="shared" si="5"/>
        <v>0</v>
      </c>
      <c r="AF29" s="471"/>
      <c r="AG29" s="473"/>
      <c r="AH29" s="471"/>
      <c r="AI29" s="471"/>
      <c r="AJ29" s="471"/>
      <c r="AM29" s="404"/>
      <c r="AP29" s="404"/>
      <c r="AQ29" s="404"/>
    </row>
    <row r="30" spans="1:48" s="390" customFormat="1" ht="22.25" customHeight="1">
      <c r="A30" s="454"/>
      <c r="B30" s="657" t="s">
        <v>474</v>
      </c>
      <c r="C30" s="662"/>
      <c r="D30" s="662"/>
      <c r="E30" s="662">
        <v>1</v>
      </c>
      <c r="F30" s="498">
        <f>35-2*G22-1*G23</f>
        <v>13.5</v>
      </c>
      <c r="G30" s="642">
        <f t="shared" si="3"/>
        <v>1.67</v>
      </c>
      <c r="H30" s="642">
        <f t="shared" si="3"/>
        <v>3</v>
      </c>
      <c r="I30" s="499"/>
      <c r="J30" s="507">
        <f t="shared" si="4"/>
        <v>67.634999999999991</v>
      </c>
      <c r="K30" s="455"/>
      <c r="L30" s="510" t="s">
        <v>301</v>
      </c>
      <c r="M30" s="726"/>
      <c r="N30" s="722">
        <f>N29/N28</f>
        <v>9090.9090909090901</v>
      </c>
      <c r="O30" s="722"/>
      <c r="P30" s="722"/>
      <c r="Q30" s="611"/>
      <c r="R30" s="611"/>
      <c r="S30" s="624"/>
      <c r="T30" s="625"/>
      <c r="U30" s="626"/>
      <c r="V30" s="624"/>
      <c r="W30" s="624">
        <f t="shared" si="0"/>
        <v>0</v>
      </c>
      <c r="X30" s="624">
        <f t="shared" si="1"/>
        <v>0</v>
      </c>
      <c r="Y30" s="624">
        <f t="shared" si="5"/>
        <v>0</v>
      </c>
      <c r="Z30" s="624">
        <f t="shared" si="5"/>
        <v>0</v>
      </c>
      <c r="AA30" s="624">
        <f t="shared" si="5"/>
        <v>0</v>
      </c>
      <c r="AB30" s="624">
        <f t="shared" si="5"/>
        <v>0</v>
      </c>
      <c r="AC30" s="624">
        <f t="shared" si="5"/>
        <v>0</v>
      </c>
      <c r="AD30" s="624">
        <f t="shared" si="5"/>
        <v>0</v>
      </c>
      <c r="AE30" s="624">
        <f t="shared" si="5"/>
        <v>0</v>
      </c>
      <c r="AF30" s="471"/>
      <c r="AG30" s="473"/>
      <c r="AH30" s="471"/>
      <c r="AI30" s="471"/>
      <c r="AJ30" s="471"/>
      <c r="AM30" s="404"/>
      <c r="AP30" s="404"/>
      <c r="AQ30" s="404"/>
    </row>
    <row r="31" spans="1:48" s="390" customFormat="1" ht="22.25" customHeight="1">
      <c r="A31" s="454"/>
      <c r="B31" s="657" t="s">
        <v>733</v>
      </c>
      <c r="C31" s="662"/>
      <c r="D31" s="662"/>
      <c r="E31" s="662">
        <v>1</v>
      </c>
      <c r="F31" s="498">
        <f>35-2*F22-1*F23</f>
        <v>13.5</v>
      </c>
      <c r="G31" s="642">
        <f t="shared" si="3"/>
        <v>1.67</v>
      </c>
      <c r="H31" s="642">
        <f t="shared" si="3"/>
        <v>3</v>
      </c>
      <c r="I31" s="499"/>
      <c r="J31" s="507">
        <f t="shared" si="4"/>
        <v>67.634999999999991</v>
      </c>
      <c r="K31" s="455"/>
      <c r="L31" s="510" t="s">
        <v>301</v>
      </c>
      <c r="M31" s="726"/>
      <c r="N31" s="722"/>
      <c r="O31" s="722"/>
      <c r="P31" s="722"/>
      <c r="Q31" s="611"/>
      <c r="R31" s="611"/>
      <c r="S31" s="624"/>
      <c r="T31" s="625"/>
      <c r="U31" s="626"/>
      <c r="V31" s="624"/>
      <c r="W31" s="624">
        <f t="shared" si="0"/>
        <v>0</v>
      </c>
      <c r="X31" s="624">
        <f t="shared" si="1"/>
        <v>0</v>
      </c>
      <c r="Y31" s="624">
        <f t="shared" si="5"/>
        <v>0</v>
      </c>
      <c r="Z31" s="624">
        <f t="shared" si="5"/>
        <v>0</v>
      </c>
      <c r="AA31" s="624">
        <f t="shared" si="5"/>
        <v>0</v>
      </c>
      <c r="AB31" s="624">
        <f t="shared" si="5"/>
        <v>0</v>
      </c>
      <c r="AC31" s="624">
        <f t="shared" si="5"/>
        <v>0</v>
      </c>
      <c r="AD31" s="624">
        <f t="shared" si="5"/>
        <v>0</v>
      </c>
      <c r="AE31" s="624">
        <f t="shared" si="5"/>
        <v>0</v>
      </c>
      <c r="AF31" s="471"/>
      <c r="AG31" s="473"/>
      <c r="AH31" s="471"/>
      <c r="AI31" s="471"/>
      <c r="AJ31" s="471"/>
      <c r="AM31" s="404"/>
      <c r="AP31" s="404"/>
      <c r="AQ31" s="404"/>
    </row>
    <row r="32" spans="1:48" s="390" customFormat="1" ht="22.25" customHeight="1">
      <c r="A32" s="454"/>
      <c r="B32" s="657" t="s">
        <v>734</v>
      </c>
      <c r="C32" s="662"/>
      <c r="D32" s="662"/>
      <c r="E32" s="662">
        <v>1</v>
      </c>
      <c r="F32" s="498">
        <f>9.5-1*F20</f>
        <v>4.5</v>
      </c>
      <c r="G32" s="642">
        <f t="shared" si="3"/>
        <v>1.67</v>
      </c>
      <c r="H32" s="642">
        <f t="shared" si="3"/>
        <v>3</v>
      </c>
      <c r="I32" s="499"/>
      <c r="J32" s="507">
        <f t="shared" si="4"/>
        <v>22.544999999999998</v>
      </c>
      <c r="K32" s="455"/>
      <c r="L32" s="510" t="s">
        <v>301</v>
      </c>
      <c r="M32" s="726"/>
      <c r="N32" s="722"/>
      <c r="O32" s="722"/>
      <c r="P32" s="722"/>
      <c r="Q32" s="611"/>
      <c r="R32" s="611"/>
      <c r="S32" s="624"/>
      <c r="T32" s="625"/>
      <c r="U32" s="626"/>
      <c r="V32" s="624"/>
      <c r="W32" s="624">
        <f t="shared" si="0"/>
        <v>0</v>
      </c>
      <c r="X32" s="624">
        <f t="shared" si="1"/>
        <v>0</v>
      </c>
      <c r="Y32" s="624">
        <f t="shared" si="5"/>
        <v>0</v>
      </c>
      <c r="Z32" s="624">
        <f t="shared" si="5"/>
        <v>0</v>
      </c>
      <c r="AA32" s="624">
        <f t="shared" si="5"/>
        <v>0</v>
      </c>
      <c r="AB32" s="624">
        <f t="shared" si="5"/>
        <v>0</v>
      </c>
      <c r="AC32" s="624">
        <f t="shared" si="5"/>
        <v>0</v>
      </c>
      <c r="AD32" s="624">
        <f t="shared" si="5"/>
        <v>0</v>
      </c>
      <c r="AE32" s="624">
        <f t="shared" si="5"/>
        <v>0</v>
      </c>
      <c r="AF32" s="471"/>
      <c r="AG32" s="473"/>
      <c r="AH32" s="471"/>
      <c r="AI32" s="471"/>
      <c r="AJ32" s="471"/>
      <c r="AM32" s="404"/>
      <c r="AP32" s="404"/>
      <c r="AQ32" s="404"/>
    </row>
    <row r="33" spans="1:48" s="390" customFormat="1" ht="22.25" customHeight="1">
      <c r="A33" s="454"/>
      <c r="B33" s="657" t="s">
        <v>539</v>
      </c>
      <c r="C33" s="662"/>
      <c r="D33" s="662"/>
      <c r="E33" s="662">
        <v>1</v>
      </c>
      <c r="F33" s="498">
        <f>45-2*F22-1*F23</f>
        <v>23.5</v>
      </c>
      <c r="G33" s="642">
        <f t="shared" si="3"/>
        <v>1.67</v>
      </c>
      <c r="H33" s="642">
        <f t="shared" si="3"/>
        <v>3</v>
      </c>
      <c r="I33" s="499"/>
      <c r="J33" s="507">
        <f t="shared" si="4"/>
        <v>117.735</v>
      </c>
      <c r="K33" s="455"/>
      <c r="L33" s="510" t="s">
        <v>301</v>
      </c>
      <c r="M33" s="726"/>
      <c r="N33" s="722"/>
      <c r="O33" s="722"/>
      <c r="P33" s="722"/>
      <c r="Q33" s="611"/>
      <c r="R33" s="611"/>
      <c r="S33" s="624"/>
      <c r="T33" s="625"/>
      <c r="U33" s="626"/>
      <c r="V33" s="624"/>
      <c r="W33" s="624">
        <f t="shared" si="0"/>
        <v>0</v>
      </c>
      <c r="X33" s="624">
        <f t="shared" si="1"/>
        <v>0</v>
      </c>
      <c r="Y33" s="624">
        <f t="shared" si="5"/>
        <v>0</v>
      </c>
      <c r="Z33" s="624">
        <f t="shared" si="5"/>
        <v>0</v>
      </c>
      <c r="AA33" s="624">
        <f t="shared" si="5"/>
        <v>0</v>
      </c>
      <c r="AB33" s="624">
        <f t="shared" si="5"/>
        <v>0</v>
      </c>
      <c r="AC33" s="624">
        <f t="shared" si="5"/>
        <v>0</v>
      </c>
      <c r="AD33" s="624">
        <f t="shared" si="5"/>
        <v>0</v>
      </c>
      <c r="AE33" s="624">
        <f t="shared" si="5"/>
        <v>0</v>
      </c>
      <c r="AF33" s="471"/>
      <c r="AG33" s="473"/>
      <c r="AH33" s="471"/>
      <c r="AI33" s="471"/>
      <c r="AJ33" s="471"/>
      <c r="AM33" s="404"/>
      <c r="AP33" s="404"/>
      <c r="AQ33" s="404"/>
    </row>
    <row r="34" spans="1:48" s="390" customFormat="1" ht="22.25" customHeight="1">
      <c r="A34" s="454"/>
      <c r="B34" s="657" t="s">
        <v>555</v>
      </c>
      <c r="C34" s="662"/>
      <c r="D34" s="662"/>
      <c r="E34" s="662">
        <v>2</v>
      </c>
      <c r="F34" s="498">
        <f>7.83-1*G34</f>
        <v>6.16</v>
      </c>
      <c r="G34" s="642">
        <f t="shared" si="3"/>
        <v>1.67</v>
      </c>
      <c r="H34" s="642">
        <f t="shared" si="3"/>
        <v>3</v>
      </c>
      <c r="I34" s="499"/>
      <c r="J34" s="507">
        <f>IF(I34=0,1,I34)*IF(H34=0,1,H34)*IF(G34=0,1,G34)*IF(F34=0,1,F34)*IF(E34=0,1,E34)*IF(D34=0,1,D34)*IF(C34=0,1,C34)</f>
        <v>61.723199999999999</v>
      </c>
      <c r="K34" s="455"/>
      <c r="L34" s="510" t="s">
        <v>301</v>
      </c>
      <c r="M34" s="726"/>
      <c r="N34" s="722"/>
      <c r="O34" s="722"/>
      <c r="P34" s="722"/>
      <c r="Q34" s="611"/>
      <c r="R34" s="611"/>
      <c r="S34" s="624"/>
      <c r="T34" s="625"/>
      <c r="U34" s="626"/>
      <c r="V34" s="624"/>
      <c r="W34" s="624">
        <f t="shared" si="0"/>
        <v>0</v>
      </c>
      <c r="X34" s="624">
        <f t="shared" si="1"/>
        <v>0</v>
      </c>
      <c r="Y34" s="624">
        <f t="shared" si="5"/>
        <v>0</v>
      </c>
      <c r="Z34" s="624">
        <f t="shared" si="5"/>
        <v>0</v>
      </c>
      <c r="AA34" s="624">
        <f t="shared" si="5"/>
        <v>0</v>
      </c>
      <c r="AB34" s="624">
        <f t="shared" si="5"/>
        <v>0</v>
      </c>
      <c r="AC34" s="624">
        <f t="shared" si="5"/>
        <v>0</v>
      </c>
      <c r="AD34" s="624">
        <f t="shared" si="5"/>
        <v>0</v>
      </c>
      <c r="AE34" s="624">
        <f t="shared" si="5"/>
        <v>0</v>
      </c>
      <c r="AF34" s="471"/>
      <c r="AG34" s="473"/>
      <c r="AH34" s="471"/>
      <c r="AI34" s="471"/>
      <c r="AJ34" s="471"/>
      <c r="AM34" s="404"/>
      <c r="AP34" s="404"/>
      <c r="AQ34" s="404"/>
    </row>
    <row r="35" spans="1:48" s="390" customFormat="1" ht="22.25" customHeight="1">
      <c r="A35" s="454"/>
      <c r="B35" s="657" t="s">
        <v>559</v>
      </c>
      <c r="C35" s="662"/>
      <c r="D35" s="662"/>
      <c r="E35" s="662">
        <v>1</v>
      </c>
      <c r="F35" s="498">
        <f>5-0.5*F20-0.5*G35</f>
        <v>1.665</v>
      </c>
      <c r="G35" s="642">
        <f>G34</f>
        <v>1.67</v>
      </c>
      <c r="H35" s="642">
        <f>H34</f>
        <v>3</v>
      </c>
      <c r="I35" s="499"/>
      <c r="J35" s="507">
        <f t="shared" si="4"/>
        <v>8.3416499999999996</v>
      </c>
      <c r="K35" s="455"/>
      <c r="L35" s="510" t="s">
        <v>301</v>
      </c>
      <c r="M35" s="726"/>
      <c r="N35" s="722"/>
      <c r="O35" s="722"/>
      <c r="P35" s="722"/>
      <c r="Q35" s="611"/>
      <c r="R35" s="611"/>
      <c r="S35" s="624"/>
      <c r="T35" s="625"/>
      <c r="U35" s="626"/>
      <c r="V35" s="624"/>
      <c r="W35" s="624">
        <f t="shared" si="0"/>
        <v>0</v>
      </c>
      <c r="X35" s="624">
        <f t="shared" si="1"/>
        <v>0</v>
      </c>
      <c r="Y35" s="624">
        <f t="shared" si="5"/>
        <v>0</v>
      </c>
      <c r="Z35" s="624">
        <f t="shared" si="5"/>
        <v>0</v>
      </c>
      <c r="AA35" s="624">
        <f t="shared" si="5"/>
        <v>0</v>
      </c>
      <c r="AB35" s="624">
        <f t="shared" si="5"/>
        <v>0</v>
      </c>
      <c r="AC35" s="624">
        <f t="shared" si="5"/>
        <v>0</v>
      </c>
      <c r="AD35" s="624">
        <f t="shared" si="5"/>
        <v>0</v>
      </c>
      <c r="AE35" s="624">
        <f t="shared" si="5"/>
        <v>0</v>
      </c>
      <c r="AF35" s="471"/>
      <c r="AG35" s="473"/>
      <c r="AH35" s="471"/>
      <c r="AI35" s="471"/>
      <c r="AJ35" s="471"/>
      <c r="AM35" s="404"/>
      <c r="AP35" s="404"/>
      <c r="AQ35" s="404"/>
    </row>
    <row r="36" spans="1:48" s="390" customFormat="1" ht="22.25" customHeight="1">
      <c r="A36" s="454"/>
      <c r="B36" s="657" t="s">
        <v>472</v>
      </c>
      <c r="C36" s="662"/>
      <c r="D36" s="662"/>
      <c r="E36" s="662">
        <v>1</v>
      </c>
      <c r="F36" s="498">
        <f>45+5-0.5*F20-1*F21-2*F22-0.5*F23</f>
        <v>23.75</v>
      </c>
      <c r="G36" s="642">
        <f t="shared" si="3"/>
        <v>1.67</v>
      </c>
      <c r="H36" s="642">
        <f>H35</f>
        <v>3</v>
      </c>
      <c r="I36" s="513"/>
      <c r="J36" s="507">
        <f t="shared" si="4"/>
        <v>118.9875</v>
      </c>
      <c r="K36" s="455"/>
      <c r="L36" s="510" t="s">
        <v>301</v>
      </c>
      <c r="M36" s="726"/>
      <c r="N36" s="722"/>
      <c r="O36" s="722"/>
      <c r="P36" s="722"/>
      <c r="Q36" s="611"/>
      <c r="R36" s="611"/>
      <c r="S36" s="624"/>
      <c r="T36" s="625"/>
      <c r="U36" s="626"/>
      <c r="V36" s="641"/>
      <c r="W36" s="624">
        <f t="shared" si="0"/>
        <v>0</v>
      </c>
      <c r="X36" s="624">
        <f t="shared" si="1"/>
        <v>0</v>
      </c>
      <c r="Y36" s="624">
        <f t="shared" si="5"/>
        <v>0</v>
      </c>
      <c r="Z36" s="624">
        <f t="shared" si="5"/>
        <v>0</v>
      </c>
      <c r="AA36" s="624">
        <f t="shared" si="5"/>
        <v>0</v>
      </c>
      <c r="AB36" s="624">
        <f t="shared" si="5"/>
        <v>0</v>
      </c>
      <c r="AC36" s="624">
        <f t="shared" si="5"/>
        <v>0</v>
      </c>
      <c r="AD36" s="624">
        <f t="shared" si="5"/>
        <v>0</v>
      </c>
      <c r="AE36" s="624">
        <f t="shared" si="5"/>
        <v>0</v>
      </c>
      <c r="AF36" s="471"/>
      <c r="AG36" s="473"/>
      <c r="AH36" s="471"/>
      <c r="AI36" s="471"/>
      <c r="AJ36" s="471"/>
      <c r="AM36" s="404"/>
      <c r="AP36" s="404"/>
      <c r="AQ36" s="404"/>
    </row>
    <row r="37" spans="1:48" s="390" customFormat="1" ht="22.25" customHeight="1">
      <c r="A37" s="454"/>
      <c r="B37" s="657" t="s">
        <v>608</v>
      </c>
      <c r="C37" s="662"/>
      <c r="D37" s="662"/>
      <c r="E37" s="662">
        <v>1</v>
      </c>
      <c r="F37" s="498">
        <f>5-1*G37</f>
        <v>3.33</v>
      </c>
      <c r="G37" s="642">
        <f t="shared" si="3"/>
        <v>1.67</v>
      </c>
      <c r="H37" s="642">
        <f>H36</f>
        <v>3</v>
      </c>
      <c r="I37" s="499"/>
      <c r="J37" s="507">
        <f>IF(I37=0,1,I37)*IF(H37=0,1,H37)*IF(G37=0,1,G37)*IF(F37=0,1,F37)*IF(E37=0,1,E37)*IF(D37=0,1,D37)*IF(C37=0,1,C37)</f>
        <v>16.683299999999999</v>
      </c>
      <c r="K37" s="455"/>
      <c r="L37" s="510" t="s">
        <v>301</v>
      </c>
      <c r="M37" s="726"/>
      <c r="N37" s="722"/>
      <c r="O37" s="722"/>
      <c r="P37" s="722"/>
      <c r="Q37" s="611"/>
      <c r="R37" s="611"/>
      <c r="S37" s="624"/>
      <c r="T37" s="625"/>
      <c r="U37" s="626"/>
      <c r="V37" s="624"/>
      <c r="W37" s="624">
        <f t="shared" si="0"/>
        <v>0</v>
      </c>
      <c r="X37" s="624">
        <f t="shared" si="1"/>
        <v>0</v>
      </c>
      <c r="Y37" s="624">
        <f t="shared" si="5"/>
        <v>0</v>
      </c>
      <c r="Z37" s="624">
        <f t="shared" si="5"/>
        <v>0</v>
      </c>
      <c r="AA37" s="624">
        <f t="shared" si="5"/>
        <v>0</v>
      </c>
      <c r="AB37" s="624">
        <f t="shared" si="5"/>
        <v>0</v>
      </c>
      <c r="AC37" s="624">
        <f t="shared" si="5"/>
        <v>0</v>
      </c>
      <c r="AD37" s="624">
        <f t="shared" si="5"/>
        <v>0</v>
      </c>
      <c r="AE37" s="624">
        <f t="shared" si="5"/>
        <v>0</v>
      </c>
      <c r="AF37" s="471"/>
      <c r="AG37" s="473"/>
      <c r="AH37" s="471"/>
      <c r="AI37" s="471"/>
      <c r="AJ37" s="471"/>
      <c r="AM37" s="404"/>
      <c r="AP37" s="404"/>
      <c r="AQ37" s="404"/>
    </row>
    <row r="38" spans="1:48" s="390" customFormat="1" ht="22.25" customHeight="1">
      <c r="A38" s="454"/>
      <c r="B38" s="657" t="s">
        <v>473</v>
      </c>
      <c r="C38" s="662"/>
      <c r="D38" s="662"/>
      <c r="E38" s="662">
        <v>1</v>
      </c>
      <c r="F38" s="498">
        <f>45+5+5-1*F20-4*F22</f>
        <v>22</v>
      </c>
      <c r="G38" s="642">
        <f>G37</f>
        <v>1.67</v>
      </c>
      <c r="H38" s="642">
        <f>H37</f>
        <v>3</v>
      </c>
      <c r="I38" s="499"/>
      <c r="J38" s="507">
        <f>IF(I38=0,1,I38)*IF(H38=0,1,H38)*IF(G38=0,1,G38)*IF(F38=0,1,F38)*IF(E38=0,1,E38)*IF(D38=0,1,D38)*IF(C38=0,1,C38)</f>
        <v>110.22</v>
      </c>
      <c r="K38" s="455"/>
      <c r="L38" s="510" t="s">
        <v>301</v>
      </c>
      <c r="M38" s="726"/>
      <c r="N38" s="722"/>
      <c r="O38" s="722"/>
      <c r="P38" s="722"/>
      <c r="Q38" s="611"/>
      <c r="R38" s="611"/>
      <c r="S38" s="624"/>
      <c r="T38" s="625"/>
      <c r="U38" s="626"/>
      <c r="V38" s="624"/>
      <c r="W38" s="624"/>
      <c r="X38" s="624"/>
      <c r="Y38" s="624"/>
      <c r="Z38" s="624"/>
      <c r="AA38" s="624"/>
      <c r="AB38" s="624"/>
      <c r="AC38" s="624"/>
      <c r="AD38" s="624"/>
      <c r="AE38" s="624"/>
      <c r="AF38" s="471"/>
      <c r="AG38" s="473"/>
      <c r="AH38" s="471"/>
      <c r="AI38" s="471"/>
      <c r="AJ38" s="471"/>
      <c r="AM38" s="404"/>
      <c r="AP38" s="404"/>
      <c r="AQ38" s="404"/>
    </row>
    <row r="39" spans="1:48" s="390" customFormat="1" ht="22.25" customHeight="1">
      <c r="A39" s="454"/>
      <c r="B39" s="657" t="s">
        <v>609</v>
      </c>
      <c r="C39" s="662"/>
      <c r="D39" s="662"/>
      <c r="E39" s="662">
        <v>1</v>
      </c>
      <c r="F39" s="498">
        <f>15-1*G39</f>
        <v>13.33</v>
      </c>
      <c r="G39" s="642">
        <f>G38</f>
        <v>1.67</v>
      </c>
      <c r="H39" s="642">
        <f>H38</f>
        <v>3</v>
      </c>
      <c r="I39" s="499"/>
      <c r="J39" s="507">
        <f>IF(I39=0,1,I39)*IF(H39=0,1,H39)*IF(G39=0,1,G39)*IF(F39=0,1,F39)*IF(E39=0,1,E39)*IF(D39=0,1,D39)*IF(C39=0,1,C39)</f>
        <v>66.783299999999997</v>
      </c>
      <c r="K39" s="455"/>
      <c r="L39" s="510" t="s">
        <v>301</v>
      </c>
      <c r="M39" s="726"/>
      <c r="N39" s="722"/>
      <c r="O39" s="722"/>
      <c r="P39" s="722"/>
      <c r="Q39" s="611"/>
      <c r="R39" s="611"/>
      <c r="S39" s="624"/>
      <c r="T39" s="625"/>
      <c r="U39" s="626"/>
      <c r="V39" s="624"/>
      <c r="W39" s="624"/>
      <c r="X39" s="624"/>
      <c r="Y39" s="624"/>
      <c r="Z39" s="624"/>
      <c r="AA39" s="624"/>
      <c r="AB39" s="624"/>
      <c r="AC39" s="624"/>
      <c r="AD39" s="624"/>
      <c r="AE39" s="624"/>
      <c r="AF39" s="471"/>
      <c r="AG39" s="473"/>
      <c r="AH39" s="471"/>
      <c r="AI39" s="471"/>
      <c r="AJ39" s="471"/>
      <c r="AM39" s="404"/>
      <c r="AP39" s="404"/>
      <c r="AQ39" s="404"/>
    </row>
    <row r="40" spans="1:48" s="390" customFormat="1" ht="22.25" customHeight="1">
      <c r="A40" s="454"/>
      <c r="B40" s="657" t="s">
        <v>540</v>
      </c>
      <c r="C40" s="662"/>
      <c r="D40" s="662"/>
      <c r="E40" s="662">
        <v>1</v>
      </c>
      <c r="F40" s="498">
        <f>45-1.5*F21-1.5*F22-1*F23</f>
        <v>18</v>
      </c>
      <c r="G40" s="642">
        <f>G39</f>
        <v>1.67</v>
      </c>
      <c r="H40" s="642">
        <f>H39</f>
        <v>3</v>
      </c>
      <c r="I40" s="499"/>
      <c r="J40" s="507">
        <f>IF(I40=0,1,I40)*IF(H40=0,1,H40)*IF(G40=0,1,G40)*IF(F40=0,1,F40)*IF(E40=0,1,E40)*IF(D40=0,1,D40)*IF(C40=0,1,C40)</f>
        <v>90.179999999999993</v>
      </c>
      <c r="K40" s="455"/>
      <c r="L40" s="510" t="s">
        <v>301</v>
      </c>
      <c r="M40" s="726"/>
      <c r="N40" s="722"/>
      <c r="O40" s="722"/>
      <c r="P40" s="722"/>
      <c r="Q40" s="611"/>
      <c r="R40" s="611"/>
      <c r="S40" s="624"/>
      <c r="T40" s="625"/>
      <c r="U40" s="626"/>
      <c r="V40" s="624"/>
      <c r="W40" s="624"/>
      <c r="X40" s="624"/>
      <c r="Y40" s="624"/>
      <c r="Z40" s="624"/>
      <c r="AA40" s="624"/>
      <c r="AB40" s="624"/>
      <c r="AC40" s="624"/>
      <c r="AD40" s="624"/>
      <c r="AE40" s="624"/>
      <c r="AF40" s="471"/>
      <c r="AG40" s="473"/>
      <c r="AH40" s="471"/>
      <c r="AI40" s="471"/>
      <c r="AJ40" s="471"/>
      <c r="AM40" s="404"/>
      <c r="AP40" s="404"/>
      <c r="AQ40" s="404"/>
    </row>
    <row r="41" spans="1:48" s="390" customFormat="1" ht="22.25" customHeight="1" thickBot="1">
      <c r="A41" s="454"/>
      <c r="B41" s="657"/>
      <c r="C41" s="662"/>
      <c r="D41" s="662"/>
      <c r="E41" s="662"/>
      <c r="F41" s="498"/>
      <c r="G41" s="642"/>
      <c r="H41" s="642"/>
      <c r="I41" s="784" t="str">
        <f>B25</f>
        <v>Retaining Wall</v>
      </c>
      <c r="J41" s="507"/>
      <c r="K41" s="455">
        <f>SUM(J25:J41)</f>
        <v>1019.8105499999998</v>
      </c>
      <c r="L41" s="510" t="s">
        <v>301</v>
      </c>
      <c r="M41" s="722">
        <f>[4]Detail!$K$60</f>
        <v>184.14299999999997</v>
      </c>
      <c r="N41" s="722">
        <f>M41-K41</f>
        <v>-835.66754999999989</v>
      </c>
      <c r="O41" s="722"/>
      <c r="P41" s="722"/>
      <c r="Q41" s="611"/>
      <c r="R41" s="611"/>
      <c r="S41" s="624"/>
      <c r="T41" s="625"/>
      <c r="U41" s="626"/>
      <c r="V41" s="624"/>
      <c r="W41" s="624">
        <f t="shared" si="0"/>
        <v>0</v>
      </c>
      <c r="X41" s="624">
        <f t="shared" si="1"/>
        <v>0</v>
      </c>
      <c r="Y41" s="624">
        <f t="shared" si="5"/>
        <v>0</v>
      </c>
      <c r="Z41" s="624">
        <f t="shared" si="5"/>
        <v>0</v>
      </c>
      <c r="AA41" s="624">
        <f t="shared" si="5"/>
        <v>0</v>
      </c>
      <c r="AB41" s="624">
        <f t="shared" si="5"/>
        <v>0</v>
      </c>
      <c r="AC41" s="624">
        <f t="shared" si="5"/>
        <v>0</v>
      </c>
      <c r="AD41" s="624">
        <f t="shared" si="5"/>
        <v>0</v>
      </c>
      <c r="AE41" s="624">
        <f t="shared" si="5"/>
        <v>0</v>
      </c>
      <c r="AF41" s="471"/>
      <c r="AG41" s="473"/>
      <c r="AH41" s="471"/>
      <c r="AI41" s="471"/>
      <c r="AJ41" s="471"/>
      <c r="AM41" s="404"/>
      <c r="AP41" s="404"/>
      <c r="AQ41" s="404"/>
    </row>
    <row r="42" spans="1:48" s="390" customFormat="1" ht="22.25" customHeight="1" thickBot="1">
      <c r="A42" s="454"/>
      <c r="B42" s="657"/>
      <c r="C42" s="662"/>
      <c r="D42" s="662"/>
      <c r="E42" s="662"/>
      <c r="F42" s="498"/>
      <c r="G42" s="642"/>
      <c r="H42" s="642"/>
      <c r="I42" s="499"/>
      <c r="J42" s="511"/>
      <c r="K42" s="509">
        <f>SUM(K20:K41)</f>
        <v>5607.1230500000001</v>
      </c>
      <c r="L42" s="509" t="s">
        <v>301</v>
      </c>
      <c r="M42" s="722"/>
      <c r="N42" s="722"/>
      <c r="O42" s="722"/>
      <c r="P42" s="722"/>
      <c r="Q42" s="611"/>
      <c r="R42" s="611"/>
      <c r="S42" s="624"/>
      <c r="T42" s="625"/>
      <c r="U42" s="626"/>
      <c r="V42" s="624"/>
      <c r="W42" s="624">
        <f t="shared" ref="W42:W76" si="6">IF($R42=W$5,$V42,0)</f>
        <v>0</v>
      </c>
      <c r="X42" s="624">
        <f t="shared" si="1"/>
        <v>0</v>
      </c>
      <c r="Y42" s="624">
        <f t="shared" ref="Y42:AE44" si="7">IF($R42=Y$5,$V42,0)</f>
        <v>0</v>
      </c>
      <c r="Z42" s="624">
        <f t="shared" si="7"/>
        <v>0</v>
      </c>
      <c r="AA42" s="624">
        <f t="shared" si="7"/>
        <v>0</v>
      </c>
      <c r="AB42" s="624">
        <f t="shared" si="7"/>
        <v>0</v>
      </c>
      <c r="AC42" s="624">
        <f t="shared" si="7"/>
        <v>0</v>
      </c>
      <c r="AD42" s="624">
        <f t="shared" si="7"/>
        <v>0</v>
      </c>
      <c r="AE42" s="624">
        <f t="shared" si="7"/>
        <v>0</v>
      </c>
      <c r="AF42" s="471"/>
      <c r="AG42" s="473"/>
      <c r="AH42" s="471"/>
      <c r="AI42" s="471"/>
      <c r="AJ42" s="471"/>
      <c r="AM42" s="404"/>
      <c r="AP42" s="404"/>
      <c r="AQ42" s="404"/>
    </row>
    <row r="43" spans="1:48" s="423" customFormat="1" ht="22.25" customHeight="1" thickBot="1">
      <c r="A43" s="454"/>
      <c r="B43" s="655"/>
      <c r="C43" s="662"/>
      <c r="D43" s="663"/>
      <c r="E43" s="663"/>
      <c r="F43" s="512"/>
      <c r="G43" s="644"/>
      <c r="H43" s="649"/>
      <c r="I43" s="513"/>
      <c r="J43" s="513"/>
      <c r="K43" s="502">
        <f>K42/100</f>
        <v>56.071230499999999</v>
      </c>
      <c r="L43" s="503" t="s">
        <v>316</v>
      </c>
      <c r="M43" s="723"/>
      <c r="N43" s="723"/>
      <c r="O43" s="723"/>
      <c r="P43" s="723"/>
      <c r="Q43" s="611"/>
      <c r="R43" s="611"/>
      <c r="S43" s="611"/>
      <c r="T43" s="611"/>
      <c r="U43" s="624"/>
      <c r="V43" s="624"/>
      <c r="W43" s="624">
        <f t="shared" si="6"/>
        <v>0</v>
      </c>
      <c r="X43" s="624">
        <f t="shared" si="1"/>
        <v>0</v>
      </c>
      <c r="Y43" s="624">
        <f t="shared" si="7"/>
        <v>0</v>
      </c>
      <c r="Z43" s="624">
        <f t="shared" si="7"/>
        <v>0</v>
      </c>
      <c r="AA43" s="624">
        <f t="shared" si="7"/>
        <v>0</v>
      </c>
      <c r="AB43" s="624">
        <f t="shared" si="7"/>
        <v>0</v>
      </c>
      <c r="AC43" s="624">
        <f t="shared" si="7"/>
        <v>0</v>
      </c>
      <c r="AD43" s="624">
        <f t="shared" si="7"/>
        <v>0</v>
      </c>
      <c r="AE43" s="624">
        <f t="shared" si="7"/>
        <v>0</v>
      </c>
      <c r="AF43" s="472"/>
      <c r="AG43" s="472"/>
      <c r="AH43" s="472"/>
      <c r="AI43" s="472"/>
      <c r="AJ43" s="472"/>
      <c r="AK43" s="472"/>
      <c r="AL43" s="472"/>
      <c r="AM43" s="472"/>
      <c r="AN43" s="472"/>
      <c r="AO43" s="472"/>
      <c r="AR43" s="427"/>
      <c r="AU43" s="427"/>
      <c r="AV43" s="427"/>
    </row>
    <row r="44" spans="1:48" s="390" customFormat="1" ht="19.25" customHeight="1" thickTop="1">
      <c r="A44" s="454"/>
      <c r="B44" s="655"/>
      <c r="C44" s="662"/>
      <c r="D44" s="662"/>
      <c r="E44" s="662"/>
      <c r="F44" s="504"/>
      <c r="G44" s="643"/>
      <c r="H44" s="648"/>
      <c r="I44" s="501"/>
      <c r="J44" s="455"/>
      <c r="K44" s="455"/>
      <c r="L44" s="457"/>
      <c r="M44" s="723"/>
      <c r="N44" s="723"/>
      <c r="O44" s="723"/>
      <c r="P44" s="723"/>
      <c r="Q44" s="611"/>
      <c r="R44" s="611"/>
      <c r="S44" s="611"/>
      <c r="T44" s="611"/>
      <c r="U44" s="624"/>
      <c r="V44" s="624"/>
      <c r="W44" s="624">
        <f t="shared" si="6"/>
        <v>0</v>
      </c>
      <c r="X44" s="624">
        <f t="shared" si="1"/>
        <v>0</v>
      </c>
      <c r="Y44" s="624">
        <f t="shared" si="7"/>
        <v>0</v>
      </c>
      <c r="Z44" s="624">
        <f t="shared" si="7"/>
        <v>0</v>
      </c>
      <c r="AA44" s="624">
        <f t="shared" si="7"/>
        <v>0</v>
      </c>
      <c r="AB44" s="624">
        <f t="shared" si="7"/>
        <v>0</v>
      </c>
      <c r="AC44" s="624">
        <f t="shared" si="7"/>
        <v>0</v>
      </c>
      <c r="AD44" s="624">
        <f t="shared" si="7"/>
        <v>0</v>
      </c>
      <c r="AE44" s="624">
        <f t="shared" si="7"/>
        <v>0</v>
      </c>
      <c r="AF44" s="472"/>
      <c r="AG44" s="472"/>
      <c r="AH44" s="472"/>
      <c r="AI44" s="472"/>
      <c r="AJ44" s="472"/>
      <c r="AK44" s="472"/>
      <c r="AL44" s="472"/>
      <c r="AM44" s="472"/>
      <c r="AN44" s="471"/>
      <c r="AO44" s="471"/>
      <c r="AR44" s="404"/>
      <c r="AU44" s="404"/>
      <c r="AV44" s="404"/>
    </row>
    <row r="45" spans="1:48" s="390" customFormat="1" ht="22.25" customHeight="1">
      <c r="A45" s="454">
        <v>4</v>
      </c>
      <c r="B45" s="656" t="s">
        <v>351</v>
      </c>
      <c r="C45" s="664"/>
      <c r="D45" s="664"/>
      <c r="E45" s="664"/>
      <c r="F45" s="504"/>
      <c r="G45" s="643"/>
      <c r="H45" s="650"/>
      <c r="I45" s="514"/>
      <c r="J45" s="455"/>
      <c r="K45" s="455"/>
      <c r="L45" s="312"/>
      <c r="M45" s="726"/>
      <c r="N45" s="726"/>
      <c r="O45" s="726"/>
      <c r="P45" s="726"/>
      <c r="Q45" s="611"/>
      <c r="R45" s="611"/>
      <c r="S45" s="611"/>
      <c r="T45" s="611"/>
      <c r="U45" s="624"/>
      <c r="V45" s="624"/>
      <c r="W45" s="624">
        <f t="shared" si="6"/>
        <v>0</v>
      </c>
      <c r="X45" s="624">
        <f t="shared" si="1"/>
        <v>0</v>
      </c>
      <c r="Y45" s="624">
        <f t="shared" ref="Y45:AE46" si="8">IF($R45=Y$5,$V45,0)</f>
        <v>0</v>
      </c>
      <c r="Z45" s="624">
        <f t="shared" si="8"/>
        <v>0</v>
      </c>
      <c r="AA45" s="624">
        <f t="shared" si="8"/>
        <v>0</v>
      </c>
      <c r="AB45" s="624">
        <f t="shared" si="8"/>
        <v>0</v>
      </c>
      <c r="AC45" s="624">
        <f t="shared" si="8"/>
        <v>0</v>
      </c>
      <c r="AD45" s="624">
        <f t="shared" si="8"/>
        <v>0</v>
      </c>
      <c r="AE45" s="624">
        <f t="shared" si="8"/>
        <v>0</v>
      </c>
      <c r="AF45" s="471"/>
      <c r="AG45" s="471"/>
      <c r="AH45" s="471"/>
      <c r="AI45" s="471"/>
      <c r="AJ45" s="471"/>
      <c r="AM45" s="404"/>
      <c r="AP45" s="404"/>
      <c r="AQ45" s="404"/>
    </row>
    <row r="46" spans="1:48" s="390" customFormat="1" ht="22.25" customHeight="1">
      <c r="A46" s="454"/>
      <c r="B46" s="659" t="s">
        <v>352</v>
      </c>
      <c r="C46" s="662"/>
      <c r="D46" s="662"/>
      <c r="E46" s="662"/>
      <c r="F46" s="504"/>
      <c r="G46" s="643"/>
      <c r="H46" s="648"/>
      <c r="I46" s="501"/>
      <c r="J46" s="455"/>
      <c r="K46" s="455"/>
      <c r="L46" s="312"/>
      <c r="M46" s="726"/>
      <c r="N46" s="726"/>
      <c r="O46" s="726"/>
      <c r="P46" s="726"/>
      <c r="Q46" s="611"/>
      <c r="R46" s="611"/>
      <c r="S46" s="611"/>
      <c r="T46" s="611"/>
      <c r="U46" s="624"/>
      <c r="V46" s="624"/>
      <c r="W46" s="624">
        <f t="shared" si="6"/>
        <v>0</v>
      </c>
      <c r="X46" s="624">
        <f t="shared" si="1"/>
        <v>0</v>
      </c>
      <c r="Y46" s="624">
        <f t="shared" si="8"/>
        <v>0</v>
      </c>
      <c r="Z46" s="624">
        <f t="shared" si="8"/>
        <v>0</v>
      </c>
      <c r="AA46" s="624">
        <f t="shared" si="8"/>
        <v>0</v>
      </c>
      <c r="AB46" s="624">
        <f t="shared" si="8"/>
        <v>0</v>
      </c>
      <c r="AC46" s="624">
        <f t="shared" si="8"/>
        <v>0</v>
      </c>
      <c r="AD46" s="624">
        <f t="shared" si="8"/>
        <v>0</v>
      </c>
      <c r="AE46" s="624">
        <f t="shared" si="8"/>
        <v>0</v>
      </c>
      <c r="AF46" s="404"/>
      <c r="AG46" s="471"/>
      <c r="AH46" s="471"/>
      <c r="AI46" s="471"/>
      <c r="AJ46" s="471"/>
      <c r="AM46" s="404"/>
      <c r="AP46" s="404"/>
      <c r="AQ46" s="404"/>
    </row>
    <row r="47" spans="1:48" s="390" customFormat="1" ht="22.25" customHeight="1">
      <c r="A47" s="454"/>
      <c r="B47" s="659" t="s">
        <v>353</v>
      </c>
      <c r="C47" s="662"/>
      <c r="D47" s="662"/>
      <c r="E47" s="662"/>
      <c r="F47" s="498"/>
      <c r="G47" s="642"/>
      <c r="H47" s="648"/>
      <c r="I47" s="501"/>
      <c r="J47" s="455"/>
      <c r="K47" s="455"/>
      <c r="L47" s="312"/>
      <c r="M47" s="726"/>
      <c r="N47" s="726"/>
      <c r="O47" s="726"/>
      <c r="P47" s="726"/>
      <c r="Q47" s="611"/>
      <c r="R47" s="611"/>
      <c r="S47" s="624"/>
      <c r="T47" s="625"/>
      <c r="U47" s="626"/>
      <c r="V47" s="624"/>
      <c r="W47" s="624">
        <f t="shared" si="6"/>
        <v>0</v>
      </c>
      <c r="X47" s="624">
        <f t="shared" si="1"/>
        <v>0</v>
      </c>
      <c r="Y47" s="624">
        <f t="shared" ref="Y47:AE52" si="9">IF($R47=Y$5,$V47,0)</f>
        <v>0</v>
      </c>
      <c r="Z47" s="624">
        <f t="shared" si="9"/>
        <v>0</v>
      </c>
      <c r="AA47" s="624">
        <f t="shared" si="9"/>
        <v>0</v>
      </c>
      <c r="AB47" s="624">
        <f t="shared" si="9"/>
        <v>0</v>
      </c>
      <c r="AC47" s="624">
        <f t="shared" si="9"/>
        <v>0</v>
      </c>
      <c r="AD47" s="624">
        <f t="shared" si="9"/>
        <v>0</v>
      </c>
      <c r="AE47" s="624">
        <f t="shared" si="9"/>
        <v>0</v>
      </c>
      <c r="AF47" s="404"/>
      <c r="AG47" s="471"/>
      <c r="AH47" s="471"/>
      <c r="AI47" s="471"/>
      <c r="AJ47" s="471"/>
      <c r="AM47" s="404"/>
      <c r="AP47" s="404"/>
      <c r="AQ47" s="404"/>
    </row>
    <row r="48" spans="1:48" s="390" customFormat="1" ht="24" customHeight="1">
      <c r="A48" s="454"/>
      <c r="B48" s="657" t="str">
        <f>B20</f>
        <v>F1 (3'-0"x3'-0"x0'-9")</v>
      </c>
      <c r="C48" s="662"/>
      <c r="D48" s="662"/>
      <c r="E48" s="662">
        <f>E20</f>
        <v>6</v>
      </c>
      <c r="F48" s="498">
        <f>F192*2+G192*2</f>
        <v>12</v>
      </c>
      <c r="G48" s="642"/>
      <c r="H48" s="642">
        <v>0.25</v>
      </c>
      <c r="I48" s="501"/>
      <c r="J48" s="507">
        <f>IF(I48=0,1,I48)*IF(H48=0,1,H48)*IF(G48=0,1,G48)*IF(F48=0,1,F48)*IF(E48=0,1,E48)*IF(D48=0,1,D48)*IF(C48=0,1,C48)</f>
        <v>18</v>
      </c>
      <c r="K48" s="455"/>
      <c r="L48" s="312"/>
      <c r="M48" s="726"/>
      <c r="N48" s="726"/>
      <c r="O48" s="726"/>
      <c r="P48" s="726"/>
      <c r="Q48" s="611"/>
      <c r="R48" s="611"/>
      <c r="S48" s="624"/>
      <c r="T48" s="626"/>
      <c r="U48" s="626"/>
      <c r="V48" s="624"/>
      <c r="W48" s="624">
        <f t="shared" si="6"/>
        <v>0</v>
      </c>
      <c r="X48" s="624">
        <f t="shared" si="1"/>
        <v>0</v>
      </c>
      <c r="Y48" s="624">
        <f t="shared" si="9"/>
        <v>0</v>
      </c>
      <c r="Z48" s="624">
        <f t="shared" si="9"/>
        <v>0</v>
      </c>
      <c r="AA48" s="624">
        <f t="shared" si="9"/>
        <v>0</v>
      </c>
      <c r="AB48" s="624">
        <f t="shared" si="9"/>
        <v>0</v>
      </c>
      <c r="AC48" s="624">
        <f t="shared" si="9"/>
        <v>0</v>
      </c>
      <c r="AD48" s="624">
        <f t="shared" si="9"/>
        <v>0</v>
      </c>
      <c r="AE48" s="624">
        <f t="shared" si="9"/>
        <v>0</v>
      </c>
      <c r="AF48" s="404"/>
      <c r="AG48" s="471"/>
      <c r="AH48" s="471"/>
      <c r="AI48" s="471"/>
      <c r="AJ48" s="471"/>
      <c r="AM48" s="404"/>
      <c r="AP48" s="404"/>
      <c r="AQ48" s="404"/>
    </row>
    <row r="49" spans="1:43" s="390" customFormat="1" ht="24" customHeight="1">
      <c r="A49" s="454"/>
      <c r="B49" s="657" t="str">
        <f>B21</f>
        <v>F2 (4'-0"x4'-0"x0'-9")</v>
      </c>
      <c r="C49" s="662"/>
      <c r="D49" s="662"/>
      <c r="E49" s="662">
        <f>E21</f>
        <v>3</v>
      </c>
      <c r="F49" s="498">
        <f>F193*2+G193*2</f>
        <v>16</v>
      </c>
      <c r="G49" s="642"/>
      <c r="H49" s="642">
        <f>H48</f>
        <v>0.25</v>
      </c>
      <c r="I49" s="501"/>
      <c r="J49" s="507">
        <f>IF(I49=0,1,I49)*IF(H49=0,1,H49)*IF(G49=0,1,G49)*IF(F49=0,1,F49)*IF(E49=0,1,E49)*IF(D49=0,1,D49)*IF(C49=0,1,C49)</f>
        <v>12</v>
      </c>
      <c r="K49" s="455"/>
      <c r="L49" s="312"/>
      <c r="M49" s="726"/>
      <c r="N49" s="726"/>
      <c r="O49" s="726"/>
      <c r="P49" s="726"/>
      <c r="Q49" s="611"/>
      <c r="R49" s="611"/>
      <c r="S49" s="624"/>
      <c r="T49" s="626"/>
      <c r="U49" s="626"/>
      <c r="V49" s="624"/>
      <c r="W49" s="624">
        <f t="shared" si="6"/>
        <v>0</v>
      </c>
      <c r="X49" s="624">
        <f t="shared" si="1"/>
        <v>0</v>
      </c>
      <c r="Y49" s="624">
        <f t="shared" si="9"/>
        <v>0</v>
      </c>
      <c r="Z49" s="624">
        <f t="shared" si="9"/>
        <v>0</v>
      </c>
      <c r="AA49" s="624">
        <f t="shared" si="9"/>
        <v>0</v>
      </c>
      <c r="AB49" s="624">
        <f t="shared" si="9"/>
        <v>0</v>
      </c>
      <c r="AC49" s="624">
        <f t="shared" si="9"/>
        <v>0</v>
      </c>
      <c r="AD49" s="624">
        <f t="shared" si="9"/>
        <v>0</v>
      </c>
      <c r="AE49" s="624">
        <f t="shared" si="9"/>
        <v>0</v>
      </c>
      <c r="AF49" s="404"/>
      <c r="AG49" s="471"/>
      <c r="AH49" s="471"/>
      <c r="AI49" s="471"/>
      <c r="AJ49" s="471"/>
      <c r="AM49" s="404"/>
      <c r="AP49" s="404"/>
      <c r="AQ49" s="404"/>
    </row>
    <row r="50" spans="1:43" s="390" customFormat="1" ht="24" customHeight="1">
      <c r="A50" s="454"/>
      <c r="B50" s="657" t="str">
        <f>B22</f>
        <v>F3 (5'-0"x5'-0"x0'-10")</v>
      </c>
      <c r="C50" s="662"/>
      <c r="D50" s="662"/>
      <c r="E50" s="662">
        <f>E22</f>
        <v>11</v>
      </c>
      <c r="F50" s="498">
        <f>F194*2+G194*2</f>
        <v>20</v>
      </c>
      <c r="G50" s="642"/>
      <c r="H50" s="642">
        <f>H49</f>
        <v>0.25</v>
      </c>
      <c r="I50" s="501"/>
      <c r="J50" s="507">
        <f>IF(I50=0,1,I50)*IF(H50=0,1,H50)*IF(G50=0,1,G50)*IF(F50=0,1,F50)*IF(E50=0,1,E50)*IF(D50=0,1,D50)*IF(C50=0,1,C50)</f>
        <v>55</v>
      </c>
      <c r="K50" s="455"/>
      <c r="L50" s="312"/>
      <c r="M50" s="726"/>
      <c r="N50" s="726"/>
      <c r="O50" s="726"/>
      <c r="P50" s="726"/>
      <c r="Q50" s="611"/>
      <c r="R50" s="611"/>
      <c r="S50" s="624"/>
      <c r="T50" s="626"/>
      <c r="U50" s="626"/>
      <c r="V50" s="624"/>
      <c r="W50" s="624"/>
      <c r="X50" s="624"/>
      <c r="Y50" s="624"/>
      <c r="Z50" s="624"/>
      <c r="AA50" s="624"/>
      <c r="AB50" s="624"/>
      <c r="AC50" s="624"/>
      <c r="AD50" s="624"/>
      <c r="AE50" s="624"/>
      <c r="AF50" s="404"/>
      <c r="AG50" s="471"/>
      <c r="AH50" s="471"/>
      <c r="AI50" s="471"/>
      <c r="AJ50" s="471"/>
      <c r="AM50" s="404"/>
      <c r="AP50" s="404"/>
      <c r="AQ50" s="404"/>
    </row>
    <row r="51" spans="1:43" s="390" customFormat="1" ht="24" customHeight="1">
      <c r="A51" s="454"/>
      <c r="B51" s="657" t="str">
        <f>B23</f>
        <v>F4 (5'-6"x5'-6"x1'-0")</v>
      </c>
      <c r="C51" s="662"/>
      <c r="D51" s="662"/>
      <c r="E51" s="662">
        <f>E23</f>
        <v>3</v>
      </c>
      <c r="F51" s="498">
        <f>F195*2+G195*2</f>
        <v>22</v>
      </c>
      <c r="G51" s="642"/>
      <c r="H51" s="642">
        <f>H50</f>
        <v>0.25</v>
      </c>
      <c r="I51" s="501"/>
      <c r="J51" s="507">
        <f>IF(I51=0,1,I51)*IF(H51=0,1,H51)*IF(G51=0,1,G51)*IF(F51=0,1,F51)*IF(E51=0,1,E51)*IF(D51=0,1,D51)*IF(C51=0,1,C51)</f>
        <v>16.5</v>
      </c>
      <c r="K51" s="455"/>
      <c r="L51" s="312"/>
      <c r="M51" s="726"/>
      <c r="N51" s="726"/>
      <c r="O51" s="726"/>
      <c r="P51" s="726"/>
      <c r="Q51" s="611"/>
      <c r="R51" s="611"/>
      <c r="S51" s="624"/>
      <c r="T51" s="626"/>
      <c r="U51" s="626"/>
      <c r="V51" s="624"/>
      <c r="W51" s="624"/>
      <c r="X51" s="624"/>
      <c r="Y51" s="624"/>
      <c r="Z51" s="624"/>
      <c r="AA51" s="624"/>
      <c r="AB51" s="624"/>
      <c r="AC51" s="624"/>
      <c r="AD51" s="624"/>
      <c r="AE51" s="624"/>
      <c r="AF51" s="404"/>
      <c r="AG51" s="471"/>
      <c r="AH51" s="471"/>
      <c r="AI51" s="471"/>
      <c r="AJ51" s="471"/>
      <c r="AM51" s="404"/>
      <c r="AP51" s="404"/>
      <c r="AQ51" s="404"/>
    </row>
    <row r="52" spans="1:43" s="390" customFormat="1" ht="26.25" customHeight="1">
      <c r="A52" s="454"/>
      <c r="B52" s="660"/>
      <c r="C52" s="662"/>
      <c r="D52" s="662"/>
      <c r="E52" s="662"/>
      <c r="F52" s="498"/>
      <c r="G52" s="642"/>
      <c r="H52" s="642"/>
      <c r="I52" s="513" t="str">
        <f>B47</f>
        <v>Footing</v>
      </c>
      <c r="J52" s="455"/>
      <c r="K52" s="455">
        <f>SUM(J47:J52)</f>
        <v>101.5</v>
      </c>
      <c r="L52" s="312" t="s">
        <v>45</v>
      </c>
      <c r="M52" s="722">
        <f>[4]Detail!$K$47</f>
        <v>37.74</v>
      </c>
      <c r="N52" s="726"/>
      <c r="O52" s="726"/>
      <c r="P52" s="726"/>
      <c r="Q52" s="611"/>
      <c r="R52" s="611"/>
      <c r="S52" s="611"/>
      <c r="T52" s="626"/>
      <c r="U52" s="624"/>
      <c r="V52" s="624"/>
      <c r="W52" s="624">
        <f t="shared" si="6"/>
        <v>0</v>
      </c>
      <c r="X52" s="624">
        <f t="shared" si="1"/>
        <v>0</v>
      </c>
      <c r="Y52" s="624">
        <f t="shared" si="9"/>
        <v>0</v>
      </c>
      <c r="Z52" s="624">
        <f t="shared" si="9"/>
        <v>0</v>
      </c>
      <c r="AA52" s="624">
        <f t="shared" si="9"/>
        <v>0</v>
      </c>
      <c r="AB52" s="624">
        <f t="shared" si="9"/>
        <v>0</v>
      </c>
      <c r="AC52" s="624">
        <f t="shared" si="9"/>
        <v>0</v>
      </c>
      <c r="AD52" s="624">
        <f t="shared" si="9"/>
        <v>0</v>
      </c>
      <c r="AE52" s="624">
        <f t="shared" si="9"/>
        <v>0</v>
      </c>
      <c r="AF52" s="404"/>
      <c r="AG52" s="471"/>
      <c r="AH52" s="471"/>
      <c r="AI52" s="471"/>
      <c r="AJ52" s="471"/>
      <c r="AM52" s="404"/>
      <c r="AP52" s="404"/>
      <c r="AQ52" s="404"/>
    </row>
    <row r="53" spans="1:43" s="390" customFormat="1" ht="22.25" customHeight="1">
      <c r="A53" s="454"/>
      <c r="B53" s="659" t="s">
        <v>349</v>
      </c>
      <c r="C53" s="662"/>
      <c r="D53" s="662"/>
      <c r="E53" s="662"/>
      <c r="F53" s="498"/>
      <c r="G53" s="642"/>
      <c r="H53" s="642"/>
      <c r="I53" s="501"/>
      <c r="J53" s="507"/>
      <c r="K53" s="455"/>
      <c r="L53" s="312"/>
      <c r="M53" s="726"/>
      <c r="N53" s="726"/>
      <c r="O53" s="726"/>
      <c r="P53" s="726"/>
      <c r="Q53" s="611"/>
      <c r="R53" s="611"/>
      <c r="S53" s="611"/>
      <c r="T53" s="626"/>
      <c r="U53" s="624"/>
      <c r="V53" s="624"/>
      <c r="W53" s="624">
        <f t="shared" si="6"/>
        <v>0</v>
      </c>
      <c r="X53" s="624">
        <f t="shared" ref="X53:X89" si="10">IF($R53=X$5,$V53,0)</f>
        <v>0</v>
      </c>
      <c r="Y53" s="624">
        <f t="shared" ref="Y53:AE54" si="11">IF($R53=Y$5,$V53,0)</f>
        <v>0</v>
      </c>
      <c r="Z53" s="624">
        <f t="shared" si="11"/>
        <v>0</v>
      </c>
      <c r="AA53" s="624">
        <f t="shared" si="11"/>
        <v>0</v>
      </c>
      <c r="AB53" s="624">
        <f t="shared" si="11"/>
        <v>0</v>
      </c>
      <c r="AC53" s="624">
        <f t="shared" si="11"/>
        <v>0</v>
      </c>
      <c r="AD53" s="624">
        <f t="shared" si="11"/>
        <v>0</v>
      </c>
      <c r="AE53" s="624">
        <f t="shared" si="11"/>
        <v>0</v>
      </c>
      <c r="AF53" s="404"/>
      <c r="AG53" s="471"/>
      <c r="AH53" s="471"/>
      <c r="AI53" s="471"/>
      <c r="AJ53" s="471"/>
      <c r="AM53" s="404"/>
      <c r="AP53" s="404"/>
      <c r="AQ53" s="404"/>
    </row>
    <row r="54" spans="1:43" s="390" customFormat="1" ht="22.25" customHeight="1">
      <c r="A54" s="454"/>
      <c r="B54" s="657" t="str">
        <f t="shared" ref="B54:B68" si="12">B26</f>
        <v>Line A</v>
      </c>
      <c r="C54" s="662"/>
      <c r="D54" s="662">
        <v>2</v>
      </c>
      <c r="E54" s="662">
        <f t="shared" ref="E54:E68" si="13">E26</f>
        <v>1</v>
      </c>
      <c r="F54" s="498">
        <f>35-3*0.83</f>
        <v>32.51</v>
      </c>
      <c r="G54" s="642"/>
      <c r="H54" s="642">
        <v>0.5</v>
      </c>
      <c r="I54" s="499"/>
      <c r="J54" s="507">
        <f>IF(I54=0,1,I54)*IF(H54=0,1,H54)*IF(G54=0,1,G54)*IF(F54=0,1,F54)*IF(E54=0,1,E54)*IF(D54=0,1,D54)*IF(C54=0,1,C54)</f>
        <v>32.51</v>
      </c>
      <c r="K54" s="455"/>
      <c r="L54" s="312" t="s">
        <v>45</v>
      </c>
      <c r="M54" s="726"/>
      <c r="N54" s="722"/>
      <c r="O54" s="722"/>
      <c r="P54" s="722"/>
      <c r="Q54" s="611"/>
      <c r="R54" s="611"/>
      <c r="S54" s="611"/>
      <c r="T54" s="611"/>
      <c r="U54" s="611"/>
      <c r="V54" s="624"/>
      <c r="W54" s="624">
        <f t="shared" si="6"/>
        <v>0</v>
      </c>
      <c r="X54" s="624">
        <f t="shared" si="10"/>
        <v>0</v>
      </c>
      <c r="Y54" s="624">
        <f t="shared" si="11"/>
        <v>0</v>
      </c>
      <c r="Z54" s="624">
        <f t="shared" si="11"/>
        <v>0</v>
      </c>
      <c r="AA54" s="624">
        <f t="shared" si="11"/>
        <v>0</v>
      </c>
      <c r="AB54" s="624">
        <f t="shared" si="11"/>
        <v>0</v>
      </c>
      <c r="AC54" s="624">
        <f t="shared" si="11"/>
        <v>0</v>
      </c>
      <c r="AD54" s="624">
        <f t="shared" si="11"/>
        <v>0</v>
      </c>
      <c r="AE54" s="624">
        <f t="shared" si="11"/>
        <v>0</v>
      </c>
      <c r="AF54" s="471">
        <f>14*0.75*1*2</f>
        <v>21</v>
      </c>
      <c r="AG54" s="473"/>
      <c r="AH54" s="471"/>
      <c r="AI54" s="471"/>
      <c r="AJ54" s="471"/>
      <c r="AM54" s="404"/>
      <c r="AP54" s="404"/>
      <c r="AQ54" s="404"/>
    </row>
    <row r="55" spans="1:43" s="390" customFormat="1" ht="22.25" customHeight="1">
      <c r="A55" s="454"/>
      <c r="B55" s="657" t="str">
        <f t="shared" si="12"/>
        <v>Line A'</v>
      </c>
      <c r="C55" s="662"/>
      <c r="D55" s="662">
        <f>D54</f>
        <v>2</v>
      </c>
      <c r="E55" s="662">
        <f t="shared" si="13"/>
        <v>1</v>
      </c>
      <c r="F55" s="498">
        <f>5-1*0.83</f>
        <v>4.17</v>
      </c>
      <c r="G55" s="642"/>
      <c r="H55" s="642">
        <f t="shared" ref="H55:H68" si="14">H54</f>
        <v>0.5</v>
      </c>
      <c r="I55" s="499"/>
      <c r="J55" s="507">
        <f>IF(I55=0,1,I55)*IF(H55=0,1,H55)*IF(G55=0,1,G55)*IF(F55=0,1,F55)*IF(E55=0,1,E55)*IF(D55=0,1,D55)*IF(C55=0,1,C55)</f>
        <v>4.17</v>
      </c>
      <c r="K55" s="455"/>
      <c r="L55" s="312" t="s">
        <v>45</v>
      </c>
      <c r="M55" s="726"/>
      <c r="N55" s="722"/>
      <c r="O55" s="722"/>
      <c r="P55" s="722"/>
      <c r="Q55" s="611"/>
      <c r="R55" s="611"/>
      <c r="S55" s="624"/>
      <c r="T55" s="625"/>
      <c r="U55" s="626"/>
      <c r="V55" s="624"/>
      <c r="W55" s="624">
        <f t="shared" si="6"/>
        <v>0</v>
      </c>
      <c r="X55" s="624">
        <f t="shared" si="10"/>
        <v>0</v>
      </c>
      <c r="Y55" s="624">
        <f t="shared" ref="Y55:AE69" si="15">IF($R55=Y$5,$V55,0)</f>
        <v>0</v>
      </c>
      <c r="Z55" s="624">
        <f t="shared" si="15"/>
        <v>0</v>
      </c>
      <c r="AA55" s="624">
        <f t="shared" si="15"/>
        <v>0</v>
      </c>
      <c r="AB55" s="624">
        <f t="shared" si="15"/>
        <v>0</v>
      </c>
      <c r="AC55" s="624">
        <f t="shared" si="15"/>
        <v>0</v>
      </c>
      <c r="AD55" s="624">
        <f t="shared" si="15"/>
        <v>0</v>
      </c>
      <c r="AE55" s="624">
        <f t="shared" si="15"/>
        <v>0</v>
      </c>
      <c r="AF55" s="471"/>
      <c r="AG55" s="473"/>
      <c r="AH55" s="471"/>
      <c r="AI55" s="471"/>
      <c r="AJ55" s="471"/>
      <c r="AM55" s="404"/>
      <c r="AP55" s="404"/>
      <c r="AQ55" s="404"/>
    </row>
    <row r="56" spans="1:43" s="390" customFormat="1" ht="22.25" customHeight="1">
      <c r="A56" s="454"/>
      <c r="B56" s="657" t="str">
        <f t="shared" si="12"/>
        <v>Line B</v>
      </c>
      <c r="C56" s="662"/>
      <c r="D56" s="662">
        <f t="shared" ref="D56:D68" si="16">D55</f>
        <v>2</v>
      </c>
      <c r="E56" s="662">
        <f t="shared" si="13"/>
        <v>1</v>
      </c>
      <c r="F56" s="498">
        <f>35+5-4*0.83</f>
        <v>36.68</v>
      </c>
      <c r="G56" s="642"/>
      <c r="H56" s="642">
        <f t="shared" si="14"/>
        <v>0.5</v>
      </c>
      <c r="I56" s="499"/>
      <c r="J56" s="507">
        <f t="shared" ref="J56:J64" si="17">IF(I56=0,1,I56)*IF(H56=0,1,H56)*IF(G56=0,1,G56)*IF(F56=0,1,F56)*IF(E56=0,1,E56)*IF(D56=0,1,D56)*IF(C56=0,1,C56)</f>
        <v>36.68</v>
      </c>
      <c r="K56" s="455"/>
      <c r="L56" s="312" t="s">
        <v>45</v>
      </c>
      <c r="M56" s="726"/>
      <c r="N56" s="722">
        <f>16.5*2</f>
        <v>33</v>
      </c>
      <c r="O56" s="722"/>
      <c r="P56" s="722"/>
      <c r="Q56" s="611"/>
      <c r="R56" s="611"/>
      <c r="S56" s="624"/>
      <c r="T56" s="625"/>
      <c r="U56" s="626"/>
      <c r="V56" s="624"/>
      <c r="W56" s="624">
        <f t="shared" si="6"/>
        <v>0</v>
      </c>
      <c r="X56" s="624">
        <f t="shared" si="10"/>
        <v>0</v>
      </c>
      <c r="Y56" s="624">
        <f t="shared" si="15"/>
        <v>0</v>
      </c>
      <c r="Z56" s="624">
        <f t="shared" si="15"/>
        <v>0</v>
      </c>
      <c r="AA56" s="624">
        <f t="shared" si="15"/>
        <v>0</v>
      </c>
      <c r="AB56" s="624">
        <f t="shared" si="15"/>
        <v>0</v>
      </c>
      <c r="AC56" s="624">
        <f t="shared" si="15"/>
        <v>0</v>
      </c>
      <c r="AD56" s="624">
        <f t="shared" si="15"/>
        <v>0</v>
      </c>
      <c r="AE56" s="624">
        <f t="shared" si="15"/>
        <v>0</v>
      </c>
      <c r="AF56" s="471"/>
      <c r="AG56" s="473"/>
      <c r="AH56" s="471"/>
      <c r="AI56" s="471"/>
      <c r="AJ56" s="471"/>
      <c r="AM56" s="404"/>
      <c r="AP56" s="404"/>
      <c r="AQ56" s="404"/>
    </row>
    <row r="57" spans="1:43" s="390" customFormat="1" ht="22.25" customHeight="1">
      <c r="A57" s="454"/>
      <c r="B57" s="657" t="str">
        <f t="shared" si="12"/>
        <v>Line B',C'</v>
      </c>
      <c r="C57" s="662"/>
      <c r="D57" s="662">
        <f t="shared" si="16"/>
        <v>2</v>
      </c>
      <c r="E57" s="662">
        <f t="shared" si="13"/>
        <v>2</v>
      </c>
      <c r="F57" s="498">
        <f>14.5-1*$G$29</f>
        <v>12.83</v>
      </c>
      <c r="G57" s="642"/>
      <c r="H57" s="642">
        <f t="shared" si="14"/>
        <v>0.5</v>
      </c>
      <c r="I57" s="499"/>
      <c r="J57" s="507">
        <f t="shared" si="17"/>
        <v>25.66</v>
      </c>
      <c r="K57" s="455"/>
      <c r="L57" s="312" t="s">
        <v>45</v>
      </c>
      <c r="M57" s="726"/>
      <c r="N57" s="722">
        <v>300000</v>
      </c>
      <c r="O57" s="722"/>
      <c r="P57" s="722"/>
      <c r="Q57" s="611"/>
      <c r="R57" s="611"/>
      <c r="S57" s="624"/>
      <c r="T57" s="625"/>
      <c r="U57" s="626"/>
      <c r="V57" s="624"/>
      <c r="W57" s="624">
        <f t="shared" si="6"/>
        <v>0</v>
      </c>
      <c r="X57" s="624">
        <f t="shared" si="10"/>
        <v>0</v>
      </c>
      <c r="Y57" s="624">
        <f t="shared" si="15"/>
        <v>0</v>
      </c>
      <c r="Z57" s="624">
        <f t="shared" si="15"/>
        <v>0</v>
      </c>
      <c r="AA57" s="624">
        <f t="shared" si="15"/>
        <v>0</v>
      </c>
      <c r="AB57" s="624">
        <f t="shared" si="15"/>
        <v>0</v>
      </c>
      <c r="AC57" s="624">
        <f t="shared" si="15"/>
        <v>0</v>
      </c>
      <c r="AD57" s="624">
        <f t="shared" si="15"/>
        <v>0</v>
      </c>
      <c r="AE57" s="624">
        <f t="shared" si="15"/>
        <v>0</v>
      </c>
      <c r="AF57" s="471"/>
      <c r="AG57" s="473"/>
      <c r="AH57" s="471"/>
      <c r="AI57" s="471"/>
      <c r="AJ57" s="471"/>
      <c r="AM57" s="404"/>
      <c r="AP57" s="404"/>
      <c r="AQ57" s="404"/>
    </row>
    <row r="58" spans="1:43" s="390" customFormat="1" ht="22.25" customHeight="1">
      <c r="A58" s="454"/>
      <c r="B58" s="657" t="str">
        <f t="shared" si="12"/>
        <v>Line C</v>
      </c>
      <c r="C58" s="662"/>
      <c r="D58" s="662">
        <f t="shared" si="16"/>
        <v>2</v>
      </c>
      <c r="E58" s="662">
        <f t="shared" si="13"/>
        <v>1</v>
      </c>
      <c r="F58" s="498">
        <f>35-1.5*1-1.5*0.83</f>
        <v>32.255000000000003</v>
      </c>
      <c r="G58" s="642"/>
      <c r="H58" s="642">
        <f t="shared" si="14"/>
        <v>0.5</v>
      </c>
      <c r="I58" s="499"/>
      <c r="J58" s="507">
        <f t="shared" si="17"/>
        <v>32.255000000000003</v>
      </c>
      <c r="K58" s="455"/>
      <c r="L58" s="312" t="s">
        <v>45</v>
      </c>
      <c r="M58" s="726"/>
      <c r="N58" s="722">
        <f>N57/N56</f>
        <v>9090.9090909090901</v>
      </c>
      <c r="O58" s="722"/>
      <c r="P58" s="722"/>
      <c r="Q58" s="611"/>
      <c r="R58" s="611"/>
      <c r="S58" s="624"/>
      <c r="T58" s="625"/>
      <c r="U58" s="626"/>
      <c r="V58" s="624"/>
      <c r="W58" s="624">
        <f t="shared" si="6"/>
        <v>0</v>
      </c>
      <c r="X58" s="624">
        <f t="shared" si="10"/>
        <v>0</v>
      </c>
      <c r="Y58" s="624">
        <f t="shared" si="15"/>
        <v>0</v>
      </c>
      <c r="Z58" s="624">
        <f t="shared" si="15"/>
        <v>0</v>
      </c>
      <c r="AA58" s="624">
        <f t="shared" si="15"/>
        <v>0</v>
      </c>
      <c r="AB58" s="624">
        <f t="shared" si="15"/>
        <v>0</v>
      </c>
      <c r="AC58" s="624">
        <f t="shared" si="15"/>
        <v>0</v>
      </c>
      <c r="AD58" s="624">
        <f t="shared" si="15"/>
        <v>0</v>
      </c>
      <c r="AE58" s="624">
        <f t="shared" si="15"/>
        <v>0</v>
      </c>
      <c r="AF58" s="471"/>
      <c r="AG58" s="473"/>
      <c r="AH58" s="471"/>
      <c r="AI58" s="471"/>
      <c r="AJ58" s="471"/>
      <c r="AM58" s="404"/>
      <c r="AP58" s="404"/>
      <c r="AQ58" s="404"/>
    </row>
    <row r="59" spans="1:43" s="390" customFormat="1" ht="22.25" customHeight="1">
      <c r="A59" s="454"/>
      <c r="B59" s="657" t="str">
        <f t="shared" si="12"/>
        <v>Line D</v>
      </c>
      <c r="C59" s="662"/>
      <c r="D59" s="662">
        <f t="shared" si="16"/>
        <v>2</v>
      </c>
      <c r="E59" s="662">
        <f t="shared" si="13"/>
        <v>1</v>
      </c>
      <c r="F59" s="498">
        <f>35-2.5*1-0.5*0.83</f>
        <v>32.085000000000001</v>
      </c>
      <c r="G59" s="642"/>
      <c r="H59" s="642">
        <f t="shared" si="14"/>
        <v>0.5</v>
      </c>
      <c r="I59" s="499"/>
      <c r="J59" s="507">
        <f t="shared" si="17"/>
        <v>32.085000000000001</v>
      </c>
      <c r="K59" s="455"/>
      <c r="L59" s="312" t="s">
        <v>45</v>
      </c>
      <c r="M59" s="726"/>
      <c r="N59" s="722"/>
      <c r="O59" s="722"/>
      <c r="P59" s="722"/>
      <c r="Q59" s="611"/>
      <c r="R59" s="611"/>
      <c r="S59" s="624"/>
      <c r="T59" s="625"/>
      <c r="U59" s="626"/>
      <c r="V59" s="624"/>
      <c r="W59" s="624">
        <f t="shared" si="6"/>
        <v>0</v>
      </c>
      <c r="X59" s="624">
        <f t="shared" si="10"/>
        <v>0</v>
      </c>
      <c r="Y59" s="624">
        <f t="shared" si="15"/>
        <v>0</v>
      </c>
      <c r="Z59" s="624">
        <f t="shared" si="15"/>
        <v>0</v>
      </c>
      <c r="AA59" s="624">
        <f t="shared" si="15"/>
        <v>0</v>
      </c>
      <c r="AB59" s="624">
        <f t="shared" si="15"/>
        <v>0</v>
      </c>
      <c r="AC59" s="624">
        <f t="shared" si="15"/>
        <v>0</v>
      </c>
      <c r="AD59" s="624">
        <f t="shared" si="15"/>
        <v>0</v>
      </c>
      <c r="AE59" s="624">
        <f t="shared" si="15"/>
        <v>0</v>
      </c>
      <c r="AF59" s="471"/>
      <c r="AG59" s="473"/>
      <c r="AH59" s="471"/>
      <c r="AI59" s="471"/>
      <c r="AJ59" s="471"/>
      <c r="AM59" s="404"/>
      <c r="AP59" s="404"/>
      <c r="AQ59" s="404"/>
    </row>
    <row r="60" spans="1:43" s="390" customFormat="1" ht="22.25" customHeight="1">
      <c r="A60" s="454"/>
      <c r="B60" s="657" t="str">
        <f t="shared" si="12"/>
        <v>Line D'</v>
      </c>
      <c r="C60" s="662"/>
      <c r="D60" s="662">
        <f t="shared" si="16"/>
        <v>2</v>
      </c>
      <c r="E60" s="662">
        <f t="shared" si="13"/>
        <v>1</v>
      </c>
      <c r="F60" s="498">
        <f>9.5-1*0.83</f>
        <v>8.67</v>
      </c>
      <c r="G60" s="642"/>
      <c r="H60" s="642">
        <f t="shared" si="14"/>
        <v>0.5</v>
      </c>
      <c r="I60" s="499"/>
      <c r="J60" s="507">
        <f t="shared" si="17"/>
        <v>8.67</v>
      </c>
      <c r="K60" s="455"/>
      <c r="L60" s="312" t="s">
        <v>45</v>
      </c>
      <c r="M60" s="726"/>
      <c r="N60" s="722"/>
      <c r="O60" s="722"/>
      <c r="P60" s="722"/>
      <c r="Q60" s="611"/>
      <c r="R60" s="611"/>
      <c r="S60" s="624"/>
      <c r="T60" s="625"/>
      <c r="U60" s="626"/>
      <c r="V60" s="624"/>
      <c r="W60" s="624">
        <f t="shared" si="6"/>
        <v>0</v>
      </c>
      <c r="X60" s="624">
        <f t="shared" si="10"/>
        <v>0</v>
      </c>
      <c r="Y60" s="624">
        <f t="shared" si="15"/>
        <v>0</v>
      </c>
      <c r="Z60" s="624">
        <f t="shared" si="15"/>
        <v>0</v>
      </c>
      <c r="AA60" s="624">
        <f t="shared" si="15"/>
        <v>0</v>
      </c>
      <c r="AB60" s="624">
        <f t="shared" si="15"/>
        <v>0</v>
      </c>
      <c r="AC60" s="624">
        <f t="shared" si="15"/>
        <v>0</v>
      </c>
      <c r="AD60" s="624">
        <f t="shared" si="15"/>
        <v>0</v>
      </c>
      <c r="AE60" s="624">
        <f t="shared" si="15"/>
        <v>0</v>
      </c>
      <c r="AF60" s="471"/>
      <c r="AG60" s="473"/>
      <c r="AH60" s="471"/>
      <c r="AI60" s="471"/>
      <c r="AJ60" s="471"/>
      <c r="AM60" s="404"/>
      <c r="AP60" s="404"/>
      <c r="AQ60" s="404"/>
    </row>
    <row r="61" spans="1:43" s="390" customFormat="1" ht="22.25" customHeight="1">
      <c r="A61" s="454"/>
      <c r="B61" s="657" t="str">
        <f t="shared" si="12"/>
        <v>Line 1</v>
      </c>
      <c r="C61" s="662"/>
      <c r="D61" s="662">
        <f t="shared" si="16"/>
        <v>2</v>
      </c>
      <c r="E61" s="662">
        <f t="shared" si="13"/>
        <v>1</v>
      </c>
      <c r="F61" s="498">
        <f>45-1.5*1-1.5*0.83</f>
        <v>42.255000000000003</v>
      </c>
      <c r="G61" s="642"/>
      <c r="H61" s="642">
        <f t="shared" si="14"/>
        <v>0.5</v>
      </c>
      <c r="I61" s="499"/>
      <c r="J61" s="507">
        <f t="shared" si="17"/>
        <v>42.255000000000003</v>
      </c>
      <c r="K61" s="455"/>
      <c r="L61" s="312" t="s">
        <v>45</v>
      </c>
      <c r="M61" s="726"/>
      <c r="N61" s="722"/>
      <c r="O61" s="722"/>
      <c r="P61" s="722"/>
      <c r="Q61" s="611"/>
      <c r="R61" s="611"/>
      <c r="S61" s="624"/>
      <c r="T61" s="625"/>
      <c r="U61" s="626"/>
      <c r="V61" s="624"/>
      <c r="W61" s="624">
        <f t="shared" si="6"/>
        <v>0</v>
      </c>
      <c r="X61" s="624">
        <f t="shared" si="10"/>
        <v>0</v>
      </c>
      <c r="Y61" s="624">
        <f t="shared" si="15"/>
        <v>0</v>
      </c>
      <c r="Z61" s="624">
        <f t="shared" si="15"/>
        <v>0</v>
      </c>
      <c r="AA61" s="624">
        <f t="shared" si="15"/>
        <v>0</v>
      </c>
      <c r="AB61" s="624">
        <f t="shared" si="15"/>
        <v>0</v>
      </c>
      <c r="AC61" s="624">
        <f t="shared" si="15"/>
        <v>0</v>
      </c>
      <c r="AD61" s="624">
        <f t="shared" si="15"/>
        <v>0</v>
      </c>
      <c r="AE61" s="624">
        <f t="shared" si="15"/>
        <v>0</v>
      </c>
      <c r="AF61" s="471"/>
      <c r="AG61" s="473"/>
      <c r="AH61" s="471"/>
      <c r="AI61" s="471"/>
      <c r="AJ61" s="471"/>
      <c r="AM61" s="404"/>
      <c r="AP61" s="404"/>
      <c r="AQ61" s="404"/>
    </row>
    <row r="62" spans="1:43" s="390" customFormat="1" ht="22.25" customHeight="1">
      <c r="A62" s="454"/>
      <c r="B62" s="657" t="str">
        <f t="shared" si="12"/>
        <v>Line 1'</v>
      </c>
      <c r="C62" s="662"/>
      <c r="D62" s="662">
        <f t="shared" si="16"/>
        <v>2</v>
      </c>
      <c r="E62" s="662">
        <f t="shared" si="13"/>
        <v>2</v>
      </c>
      <c r="F62" s="498">
        <f>7.83-1*$G$34</f>
        <v>6.16</v>
      </c>
      <c r="G62" s="642"/>
      <c r="H62" s="642">
        <f t="shared" si="14"/>
        <v>0.5</v>
      </c>
      <c r="I62" s="499"/>
      <c r="J62" s="507">
        <f>IF(I62=0,1,I62)*IF(H62=0,1,H62)*IF(G62=0,1,G62)*IF(F62=0,1,F62)*IF(E62=0,1,E62)*IF(D62=0,1,D62)*IF(C62=0,1,C62)</f>
        <v>12.32</v>
      </c>
      <c r="K62" s="455"/>
      <c r="L62" s="312" t="s">
        <v>45</v>
      </c>
      <c r="M62" s="726"/>
      <c r="N62" s="722"/>
      <c r="O62" s="722"/>
      <c r="P62" s="722"/>
      <c r="Q62" s="611"/>
      <c r="R62" s="611"/>
      <c r="S62" s="624"/>
      <c r="T62" s="625"/>
      <c r="U62" s="626"/>
      <c r="V62" s="624"/>
      <c r="W62" s="624">
        <f t="shared" si="6"/>
        <v>0</v>
      </c>
      <c r="X62" s="624">
        <f t="shared" si="10"/>
        <v>0</v>
      </c>
      <c r="Y62" s="624">
        <f t="shared" si="15"/>
        <v>0</v>
      </c>
      <c r="Z62" s="624">
        <f t="shared" si="15"/>
        <v>0</v>
      </c>
      <c r="AA62" s="624">
        <f t="shared" si="15"/>
        <v>0</v>
      </c>
      <c r="AB62" s="624">
        <f t="shared" si="15"/>
        <v>0</v>
      </c>
      <c r="AC62" s="624">
        <f t="shared" si="15"/>
        <v>0</v>
      </c>
      <c r="AD62" s="624">
        <f t="shared" si="15"/>
        <v>0</v>
      </c>
      <c r="AE62" s="624">
        <f t="shared" si="15"/>
        <v>0</v>
      </c>
      <c r="AF62" s="471"/>
      <c r="AG62" s="473"/>
      <c r="AH62" s="471"/>
      <c r="AI62" s="471"/>
      <c r="AJ62" s="471"/>
      <c r="AM62" s="404"/>
      <c r="AP62" s="404"/>
      <c r="AQ62" s="404"/>
    </row>
    <row r="63" spans="1:43" s="390" customFormat="1" ht="22.25" customHeight="1">
      <c r="A63" s="454"/>
      <c r="B63" s="657" t="str">
        <f t="shared" si="12"/>
        <v>Line 1"</v>
      </c>
      <c r="C63" s="662"/>
      <c r="D63" s="662">
        <f>D62</f>
        <v>2</v>
      </c>
      <c r="E63" s="662">
        <f t="shared" si="13"/>
        <v>1</v>
      </c>
      <c r="F63" s="498">
        <f>5-0.5*0.83-0.5*$G$35</f>
        <v>3.75</v>
      </c>
      <c r="G63" s="642"/>
      <c r="H63" s="642">
        <f t="shared" si="14"/>
        <v>0.5</v>
      </c>
      <c r="I63" s="499"/>
      <c r="J63" s="507">
        <f t="shared" si="17"/>
        <v>3.75</v>
      </c>
      <c r="K63" s="455"/>
      <c r="L63" s="312" t="s">
        <v>45</v>
      </c>
      <c r="M63" s="726"/>
      <c r="N63" s="722"/>
      <c r="O63" s="722"/>
      <c r="P63" s="722"/>
      <c r="Q63" s="611"/>
      <c r="R63" s="611"/>
      <c r="S63" s="624"/>
      <c r="T63" s="625"/>
      <c r="U63" s="626"/>
      <c r="V63" s="624"/>
      <c r="W63" s="624">
        <f t="shared" si="6"/>
        <v>0</v>
      </c>
      <c r="X63" s="624">
        <f t="shared" si="10"/>
        <v>0</v>
      </c>
      <c r="Y63" s="624">
        <f t="shared" si="15"/>
        <v>0</v>
      </c>
      <c r="Z63" s="624">
        <f t="shared" si="15"/>
        <v>0</v>
      </c>
      <c r="AA63" s="624">
        <f t="shared" si="15"/>
        <v>0</v>
      </c>
      <c r="AB63" s="624">
        <f t="shared" si="15"/>
        <v>0</v>
      </c>
      <c r="AC63" s="624">
        <f t="shared" si="15"/>
        <v>0</v>
      </c>
      <c r="AD63" s="624">
        <f t="shared" si="15"/>
        <v>0</v>
      </c>
      <c r="AE63" s="624">
        <f t="shared" si="15"/>
        <v>0</v>
      </c>
      <c r="AF63" s="471"/>
      <c r="AG63" s="473"/>
      <c r="AH63" s="471"/>
      <c r="AI63" s="471"/>
      <c r="AJ63" s="471"/>
      <c r="AM63" s="404"/>
      <c r="AP63" s="404"/>
      <c r="AQ63" s="404"/>
    </row>
    <row r="64" spans="1:43" s="390" customFormat="1" ht="22.25" customHeight="1">
      <c r="A64" s="454"/>
      <c r="B64" s="657" t="str">
        <f t="shared" si="12"/>
        <v>Line 2</v>
      </c>
      <c r="C64" s="662"/>
      <c r="D64" s="662">
        <f t="shared" si="16"/>
        <v>2</v>
      </c>
      <c r="E64" s="662">
        <f t="shared" si="13"/>
        <v>1</v>
      </c>
      <c r="F64" s="498">
        <f>45+5-1.5*1-2.5*0.83</f>
        <v>46.424999999999997</v>
      </c>
      <c r="G64" s="642"/>
      <c r="H64" s="642">
        <f t="shared" si="14"/>
        <v>0.5</v>
      </c>
      <c r="I64" s="513"/>
      <c r="J64" s="507">
        <f t="shared" si="17"/>
        <v>46.424999999999997</v>
      </c>
      <c r="K64" s="455"/>
      <c r="L64" s="312" t="s">
        <v>45</v>
      </c>
      <c r="M64" s="726"/>
      <c r="N64" s="722"/>
      <c r="O64" s="722"/>
      <c r="P64" s="722"/>
      <c r="Q64" s="611"/>
      <c r="R64" s="611"/>
      <c r="S64" s="624"/>
      <c r="T64" s="625"/>
      <c r="U64" s="626"/>
      <c r="V64" s="641"/>
      <c r="W64" s="624">
        <f t="shared" si="6"/>
        <v>0</v>
      </c>
      <c r="X64" s="624">
        <f t="shared" si="10"/>
        <v>0</v>
      </c>
      <c r="Y64" s="624">
        <f t="shared" si="15"/>
        <v>0</v>
      </c>
      <c r="Z64" s="624">
        <f t="shared" si="15"/>
        <v>0</v>
      </c>
      <c r="AA64" s="624">
        <f t="shared" si="15"/>
        <v>0</v>
      </c>
      <c r="AB64" s="624">
        <f t="shared" si="15"/>
        <v>0</v>
      </c>
      <c r="AC64" s="624">
        <f t="shared" si="15"/>
        <v>0</v>
      </c>
      <c r="AD64" s="624">
        <f t="shared" si="15"/>
        <v>0</v>
      </c>
      <c r="AE64" s="624">
        <f t="shared" si="15"/>
        <v>0</v>
      </c>
      <c r="AF64" s="471"/>
      <c r="AG64" s="473"/>
      <c r="AH64" s="471"/>
      <c r="AI64" s="471"/>
      <c r="AJ64" s="471"/>
      <c r="AM64" s="404"/>
      <c r="AP64" s="404"/>
      <c r="AQ64" s="404"/>
    </row>
    <row r="65" spans="1:43" s="390" customFormat="1" ht="22.25" customHeight="1">
      <c r="A65" s="454"/>
      <c r="B65" s="657" t="str">
        <f t="shared" si="12"/>
        <v>Line 2'</v>
      </c>
      <c r="C65" s="662"/>
      <c r="D65" s="662">
        <f t="shared" si="16"/>
        <v>2</v>
      </c>
      <c r="E65" s="662">
        <f t="shared" si="13"/>
        <v>1</v>
      </c>
      <c r="F65" s="498">
        <f>5-1*$G$37</f>
        <v>3.33</v>
      </c>
      <c r="G65" s="642"/>
      <c r="H65" s="642">
        <f t="shared" si="14"/>
        <v>0.5</v>
      </c>
      <c r="I65" s="513"/>
      <c r="J65" s="507">
        <f>IF(I65=0,1,I65)*IF(H65=0,1,H65)*IF(G65=0,1,G65)*IF(F65=0,1,F65)*IF(E65=0,1,E65)*IF(D65=0,1,D65)*IF(C65=0,1,C65)</f>
        <v>3.33</v>
      </c>
      <c r="K65" s="455"/>
      <c r="L65" s="312" t="s">
        <v>45</v>
      </c>
      <c r="M65" s="726"/>
      <c r="N65" s="722"/>
      <c r="O65" s="722"/>
      <c r="P65" s="722"/>
      <c r="Q65" s="611"/>
      <c r="R65" s="611"/>
      <c r="S65" s="624"/>
      <c r="T65" s="625"/>
      <c r="U65" s="626"/>
      <c r="V65" s="641"/>
      <c r="W65" s="624">
        <f t="shared" si="6"/>
        <v>0</v>
      </c>
      <c r="X65" s="624">
        <f t="shared" si="10"/>
        <v>0</v>
      </c>
      <c r="Y65" s="624">
        <f t="shared" si="15"/>
        <v>0</v>
      </c>
      <c r="Z65" s="624">
        <f t="shared" si="15"/>
        <v>0</v>
      </c>
      <c r="AA65" s="624">
        <f t="shared" si="15"/>
        <v>0</v>
      </c>
      <c r="AB65" s="624">
        <f t="shared" si="15"/>
        <v>0</v>
      </c>
      <c r="AC65" s="624">
        <f t="shared" si="15"/>
        <v>0</v>
      </c>
      <c r="AD65" s="624">
        <f t="shared" si="15"/>
        <v>0</v>
      </c>
      <c r="AE65" s="624">
        <f t="shared" si="15"/>
        <v>0</v>
      </c>
      <c r="AF65" s="471"/>
      <c r="AG65" s="473"/>
      <c r="AH65" s="471"/>
      <c r="AI65" s="471"/>
      <c r="AJ65" s="471"/>
      <c r="AM65" s="404"/>
      <c r="AP65" s="404"/>
      <c r="AQ65" s="404"/>
    </row>
    <row r="66" spans="1:43" s="390" customFormat="1" ht="22.25" customHeight="1">
      <c r="A66" s="454"/>
      <c r="B66" s="657" t="str">
        <f t="shared" si="12"/>
        <v>Line 3</v>
      </c>
      <c r="C66" s="662"/>
      <c r="D66" s="662">
        <f t="shared" si="16"/>
        <v>2</v>
      </c>
      <c r="E66" s="662">
        <f t="shared" si="13"/>
        <v>1</v>
      </c>
      <c r="F66" s="498">
        <f>45+5+5-1*1-4*0.83</f>
        <v>50.68</v>
      </c>
      <c r="G66" s="642"/>
      <c r="H66" s="642">
        <f t="shared" si="14"/>
        <v>0.5</v>
      </c>
      <c r="I66" s="513"/>
      <c r="J66" s="507">
        <f>IF(I66=0,1,I66)*IF(H66=0,1,H66)*IF(G66=0,1,G66)*IF(F66=0,1,F66)*IF(E66=0,1,E66)*IF(D66=0,1,D66)*IF(C66=0,1,C66)</f>
        <v>50.68</v>
      </c>
      <c r="K66" s="455"/>
      <c r="L66" s="312" t="s">
        <v>45</v>
      </c>
      <c r="M66" s="726"/>
      <c r="N66" s="722"/>
      <c r="O66" s="722"/>
      <c r="P66" s="722"/>
      <c r="Q66" s="611"/>
      <c r="R66" s="611"/>
      <c r="S66" s="624"/>
      <c r="T66" s="625"/>
      <c r="U66" s="626"/>
      <c r="V66" s="641"/>
      <c r="W66" s="624"/>
      <c r="X66" s="624"/>
      <c r="Y66" s="624"/>
      <c r="Z66" s="624"/>
      <c r="AA66" s="624"/>
      <c r="AB66" s="624"/>
      <c r="AC66" s="624"/>
      <c r="AD66" s="624"/>
      <c r="AE66" s="624"/>
      <c r="AF66" s="471"/>
      <c r="AG66" s="473"/>
      <c r="AH66" s="471"/>
      <c r="AI66" s="471"/>
      <c r="AJ66" s="471"/>
      <c r="AM66" s="404"/>
      <c r="AP66" s="404"/>
      <c r="AQ66" s="404"/>
    </row>
    <row r="67" spans="1:43" s="390" customFormat="1" ht="22.25" customHeight="1">
      <c r="A67" s="454"/>
      <c r="B67" s="657" t="str">
        <f t="shared" si="12"/>
        <v>Line 3'</v>
      </c>
      <c r="C67" s="662"/>
      <c r="D67" s="662">
        <f t="shared" si="16"/>
        <v>2</v>
      </c>
      <c r="E67" s="662">
        <f t="shared" si="13"/>
        <v>1</v>
      </c>
      <c r="F67" s="498">
        <f>15-1*$G$39</f>
        <v>13.33</v>
      </c>
      <c r="G67" s="642"/>
      <c r="H67" s="642">
        <f t="shared" si="14"/>
        <v>0.5</v>
      </c>
      <c r="I67" s="513"/>
      <c r="J67" s="507">
        <f>IF(I67=0,1,I67)*IF(H67=0,1,H67)*IF(G67=0,1,G67)*IF(F67=0,1,F67)*IF(E67=0,1,E67)*IF(D67=0,1,D67)*IF(C67=0,1,C67)</f>
        <v>13.33</v>
      </c>
      <c r="K67" s="455"/>
      <c r="L67" s="312" t="s">
        <v>45</v>
      </c>
      <c r="M67" s="726"/>
      <c r="N67" s="722"/>
      <c r="O67" s="722"/>
      <c r="P67" s="722"/>
      <c r="Q67" s="611"/>
      <c r="R67" s="611"/>
      <c r="S67" s="624"/>
      <c r="T67" s="625"/>
      <c r="U67" s="626"/>
      <c r="V67" s="641"/>
      <c r="W67" s="624"/>
      <c r="X67" s="624"/>
      <c r="Y67" s="624"/>
      <c r="Z67" s="624"/>
      <c r="AA67" s="624"/>
      <c r="AB67" s="624"/>
      <c r="AC67" s="624"/>
      <c r="AD67" s="624"/>
      <c r="AE67" s="624"/>
      <c r="AF67" s="471"/>
      <c r="AG67" s="473"/>
      <c r="AH67" s="471"/>
      <c r="AI67" s="471"/>
      <c r="AJ67" s="471"/>
      <c r="AM67" s="404"/>
      <c r="AP67" s="404"/>
      <c r="AQ67" s="404"/>
    </row>
    <row r="68" spans="1:43" s="390" customFormat="1" ht="22.25" customHeight="1">
      <c r="A68" s="454"/>
      <c r="B68" s="657" t="str">
        <f t="shared" si="12"/>
        <v>Line 4</v>
      </c>
      <c r="C68" s="662"/>
      <c r="D68" s="662">
        <f t="shared" si="16"/>
        <v>2</v>
      </c>
      <c r="E68" s="662">
        <f t="shared" si="13"/>
        <v>1</v>
      </c>
      <c r="F68" s="498">
        <f>45-4*0.83</f>
        <v>41.68</v>
      </c>
      <c r="G68" s="642"/>
      <c r="H68" s="642">
        <f t="shared" si="14"/>
        <v>0.5</v>
      </c>
      <c r="I68" s="513"/>
      <c r="J68" s="507">
        <f>IF(I68=0,1,I68)*IF(H68=0,1,H68)*IF(G68=0,1,G68)*IF(F68=0,1,F68)*IF(E68=0,1,E68)*IF(D68=0,1,D68)*IF(C68=0,1,C68)</f>
        <v>41.68</v>
      </c>
      <c r="K68" s="455"/>
      <c r="L68" s="312" t="s">
        <v>45</v>
      </c>
      <c r="M68" s="726"/>
      <c r="N68" s="722"/>
      <c r="O68" s="722"/>
      <c r="P68" s="722"/>
      <c r="Q68" s="611"/>
      <c r="R68" s="611"/>
      <c r="S68" s="624"/>
      <c r="T68" s="625"/>
      <c r="U68" s="626"/>
      <c r="V68" s="641"/>
      <c r="W68" s="624"/>
      <c r="X68" s="624"/>
      <c r="Y68" s="624"/>
      <c r="Z68" s="624"/>
      <c r="AA68" s="624"/>
      <c r="AB68" s="624"/>
      <c r="AC68" s="624"/>
      <c r="AD68" s="624"/>
      <c r="AE68" s="624"/>
      <c r="AF68" s="471"/>
      <c r="AG68" s="473"/>
      <c r="AH68" s="471"/>
      <c r="AI68" s="471"/>
      <c r="AJ68" s="471"/>
      <c r="AM68" s="404"/>
      <c r="AP68" s="404"/>
      <c r="AQ68" s="404"/>
    </row>
    <row r="69" spans="1:43" s="390" customFormat="1" ht="22.25" customHeight="1">
      <c r="A69" s="454"/>
      <c r="B69" s="657"/>
      <c r="C69" s="662"/>
      <c r="D69" s="662"/>
      <c r="E69" s="662"/>
      <c r="F69" s="498"/>
      <c r="G69" s="642"/>
      <c r="H69" s="642"/>
      <c r="I69" s="784" t="str">
        <f>B53</f>
        <v>Retaining Wall</v>
      </c>
      <c r="J69" s="507"/>
      <c r="K69" s="455">
        <f>SUM(J53:J69)</f>
        <v>385.79999999999995</v>
      </c>
      <c r="L69" s="312" t="s">
        <v>45</v>
      </c>
      <c r="M69" s="722">
        <f>[4]Detail!$K$60</f>
        <v>184.14299999999997</v>
      </c>
      <c r="N69" s="722">
        <f>M69-K69</f>
        <v>-201.65699999999998</v>
      </c>
      <c r="O69" s="722"/>
      <c r="P69" s="722"/>
      <c r="Q69" s="611"/>
      <c r="R69" s="611"/>
      <c r="S69" s="624"/>
      <c r="T69" s="625"/>
      <c r="U69" s="626"/>
      <c r="V69" s="624"/>
      <c r="W69" s="624">
        <f t="shared" si="6"/>
        <v>0</v>
      </c>
      <c r="X69" s="624">
        <f t="shared" si="10"/>
        <v>0</v>
      </c>
      <c r="Y69" s="624">
        <f t="shared" si="15"/>
        <v>0</v>
      </c>
      <c r="Z69" s="624">
        <f t="shared" si="15"/>
        <v>0</v>
      </c>
      <c r="AA69" s="624">
        <f t="shared" si="15"/>
        <v>0</v>
      </c>
      <c r="AB69" s="624">
        <f t="shared" si="15"/>
        <v>0</v>
      </c>
      <c r="AC69" s="624">
        <f t="shared" si="15"/>
        <v>0</v>
      </c>
      <c r="AD69" s="624">
        <f t="shared" si="15"/>
        <v>0</v>
      </c>
      <c r="AE69" s="624">
        <f t="shared" si="15"/>
        <v>0</v>
      </c>
      <c r="AF69" s="471"/>
      <c r="AG69" s="473"/>
      <c r="AH69" s="471"/>
      <c r="AI69" s="471"/>
      <c r="AJ69" s="471"/>
      <c r="AM69" s="404"/>
      <c r="AP69" s="404"/>
      <c r="AQ69" s="404"/>
    </row>
    <row r="70" spans="1:43" s="390" customFormat="1" ht="22.25" customHeight="1">
      <c r="A70" s="454"/>
      <c r="B70" s="659" t="s">
        <v>354</v>
      </c>
      <c r="C70" s="662"/>
      <c r="D70" s="662"/>
      <c r="E70" s="662"/>
      <c r="F70" s="498"/>
      <c r="G70" s="642"/>
      <c r="H70" s="642"/>
      <c r="I70" s="501"/>
      <c r="J70" s="507"/>
      <c r="K70" s="455"/>
      <c r="L70" s="312"/>
      <c r="M70" s="726"/>
      <c r="N70" s="726"/>
      <c r="O70" s="726"/>
      <c r="P70" s="726"/>
      <c r="Q70" s="611"/>
      <c r="R70" s="611"/>
      <c r="S70" s="611"/>
      <c r="T70" s="626"/>
      <c r="U70" s="624"/>
      <c r="V70" s="624"/>
      <c r="W70" s="624">
        <f t="shared" si="6"/>
        <v>0</v>
      </c>
      <c r="X70" s="624">
        <f t="shared" si="10"/>
        <v>0</v>
      </c>
      <c r="Y70" s="624">
        <f t="shared" ref="Y70:AE76" si="18">IF($R70=Y$5,$V70,0)</f>
        <v>0</v>
      </c>
      <c r="Z70" s="624">
        <f t="shared" si="18"/>
        <v>0</v>
      </c>
      <c r="AA70" s="624">
        <f t="shared" si="18"/>
        <v>0</v>
      </c>
      <c r="AB70" s="624">
        <f t="shared" si="18"/>
        <v>0</v>
      </c>
      <c r="AC70" s="624">
        <f t="shared" si="18"/>
        <v>0</v>
      </c>
      <c r="AD70" s="624">
        <f t="shared" si="18"/>
        <v>0</v>
      </c>
      <c r="AE70" s="624">
        <f t="shared" si="18"/>
        <v>0</v>
      </c>
      <c r="AF70" s="404"/>
      <c r="AG70" s="471"/>
      <c r="AH70" s="471"/>
      <c r="AI70" s="471"/>
      <c r="AJ70" s="471"/>
      <c r="AM70" s="404"/>
      <c r="AP70" s="404"/>
      <c r="AQ70" s="404"/>
    </row>
    <row r="71" spans="1:43" s="390" customFormat="1" ht="21.9" customHeight="1">
      <c r="A71" s="454"/>
      <c r="B71" s="659" t="s">
        <v>353</v>
      </c>
      <c r="C71" s="662"/>
      <c r="D71" s="662"/>
      <c r="E71" s="662"/>
      <c r="F71" s="498"/>
      <c r="G71" s="642"/>
      <c r="H71" s="648"/>
      <c r="I71" s="501"/>
      <c r="J71" s="455"/>
      <c r="K71" s="455"/>
      <c r="L71" s="312"/>
      <c r="M71" s="726"/>
      <c r="N71" s="726"/>
      <c r="O71" s="726"/>
      <c r="P71" s="726"/>
      <c r="Q71" s="611"/>
      <c r="R71" s="611"/>
      <c r="S71" s="611"/>
      <c r="T71" s="611"/>
      <c r="U71" s="624"/>
      <c r="V71" s="624"/>
      <c r="W71" s="624">
        <f t="shared" si="6"/>
        <v>0</v>
      </c>
      <c r="X71" s="624">
        <f t="shared" si="10"/>
        <v>0</v>
      </c>
      <c r="Y71" s="624">
        <f t="shared" si="18"/>
        <v>0</v>
      </c>
      <c r="Z71" s="624">
        <f t="shared" si="18"/>
        <v>0</v>
      </c>
      <c r="AA71" s="624">
        <f t="shared" si="18"/>
        <v>0</v>
      </c>
      <c r="AB71" s="624">
        <f t="shared" si="18"/>
        <v>0</v>
      </c>
      <c r="AC71" s="624">
        <f t="shared" si="18"/>
        <v>0</v>
      </c>
      <c r="AD71" s="624">
        <f t="shared" si="18"/>
        <v>0</v>
      </c>
      <c r="AE71" s="624">
        <f t="shared" si="18"/>
        <v>0</v>
      </c>
      <c r="AF71" s="404"/>
      <c r="AG71" s="471"/>
      <c r="AH71" s="471"/>
      <c r="AI71" s="471"/>
      <c r="AJ71" s="471"/>
      <c r="AM71" s="404"/>
      <c r="AP71" s="404"/>
      <c r="AQ71" s="404"/>
    </row>
    <row r="72" spans="1:43" s="390" customFormat="1" ht="24" customHeight="1">
      <c r="A72" s="454"/>
      <c r="B72" s="657" t="str">
        <f>B48</f>
        <v>F1 (3'-0"x3'-0"x0'-9")</v>
      </c>
      <c r="C72" s="662"/>
      <c r="D72" s="662"/>
      <c r="E72" s="662">
        <f t="shared" ref="E72:F75" si="19">E48</f>
        <v>6</v>
      </c>
      <c r="F72" s="498">
        <f t="shared" si="19"/>
        <v>12</v>
      </c>
      <c r="G72" s="642"/>
      <c r="H72" s="642">
        <v>0.75</v>
      </c>
      <c r="I72" s="501"/>
      <c r="J72" s="507">
        <f>IF(I72=0,1,I72)*IF(H72=0,1,H72)*IF(G72=0,1,G72)*IF(F72=0,1,F72)*IF(E72=0,1,E72)*IF(D72=0,1,D72)*IF(C72=0,1,C72)</f>
        <v>54</v>
      </c>
      <c r="K72" s="455"/>
      <c r="L72" s="312"/>
      <c r="M72" s="726"/>
      <c r="N72" s="726"/>
      <c r="O72" s="726"/>
      <c r="P72" s="726"/>
      <c r="Q72" s="611"/>
      <c r="R72" s="611"/>
      <c r="S72" s="624"/>
      <c r="T72" s="626"/>
      <c r="U72" s="626"/>
      <c r="V72" s="624"/>
      <c r="W72" s="624">
        <f t="shared" si="6"/>
        <v>0</v>
      </c>
      <c r="X72" s="624">
        <f t="shared" si="10"/>
        <v>0</v>
      </c>
      <c r="Y72" s="624">
        <f t="shared" si="18"/>
        <v>0</v>
      </c>
      <c r="Z72" s="624">
        <f t="shared" si="18"/>
        <v>0</v>
      </c>
      <c r="AA72" s="624">
        <f t="shared" si="18"/>
        <v>0</v>
      </c>
      <c r="AB72" s="624">
        <f t="shared" si="18"/>
        <v>0</v>
      </c>
      <c r="AC72" s="624">
        <f t="shared" si="18"/>
        <v>0</v>
      </c>
      <c r="AD72" s="624">
        <f t="shared" si="18"/>
        <v>0</v>
      </c>
      <c r="AE72" s="624">
        <f t="shared" si="18"/>
        <v>0</v>
      </c>
      <c r="AF72" s="404"/>
      <c r="AG72" s="471"/>
      <c r="AH72" s="471"/>
      <c r="AI72" s="471"/>
      <c r="AJ72" s="471"/>
      <c r="AM72" s="404"/>
      <c r="AP72" s="404"/>
      <c r="AQ72" s="404"/>
    </row>
    <row r="73" spans="1:43" s="390" customFormat="1" ht="24" customHeight="1">
      <c r="A73" s="454"/>
      <c r="B73" s="657" t="str">
        <f>B49</f>
        <v>F2 (4'-0"x4'-0"x0'-9")</v>
      </c>
      <c r="C73" s="662"/>
      <c r="D73" s="662"/>
      <c r="E73" s="662">
        <f t="shared" si="19"/>
        <v>3</v>
      </c>
      <c r="F73" s="498">
        <f t="shared" si="19"/>
        <v>16</v>
      </c>
      <c r="G73" s="642"/>
      <c r="H73" s="642">
        <v>0.75</v>
      </c>
      <c r="I73" s="501"/>
      <c r="J73" s="507">
        <f>IF(I73=0,1,I73)*IF(H73=0,1,H73)*IF(G73=0,1,G73)*IF(F73=0,1,F73)*IF(E73=0,1,E73)*IF(D73=0,1,D73)*IF(C73=0,1,C73)</f>
        <v>36</v>
      </c>
      <c r="K73" s="455"/>
      <c r="L73" s="312"/>
      <c r="M73" s="726"/>
      <c r="N73" s="726"/>
      <c r="O73" s="726"/>
      <c r="P73" s="726"/>
      <c r="Q73" s="611"/>
      <c r="R73" s="611"/>
      <c r="S73" s="624"/>
      <c r="T73" s="626"/>
      <c r="U73" s="626"/>
      <c r="V73" s="624"/>
      <c r="W73" s="624">
        <f t="shared" si="6"/>
        <v>0</v>
      </c>
      <c r="X73" s="624">
        <f t="shared" si="10"/>
        <v>0</v>
      </c>
      <c r="Y73" s="624">
        <f t="shared" si="18"/>
        <v>0</v>
      </c>
      <c r="Z73" s="624">
        <f t="shared" si="18"/>
        <v>0</v>
      </c>
      <c r="AA73" s="624">
        <f t="shared" si="18"/>
        <v>0</v>
      </c>
      <c r="AB73" s="624">
        <f t="shared" si="18"/>
        <v>0</v>
      </c>
      <c r="AC73" s="624">
        <f t="shared" si="18"/>
        <v>0</v>
      </c>
      <c r="AD73" s="624">
        <f t="shared" si="18"/>
        <v>0</v>
      </c>
      <c r="AE73" s="624">
        <f t="shared" si="18"/>
        <v>0</v>
      </c>
      <c r="AF73" s="404"/>
      <c r="AG73" s="471"/>
      <c r="AH73" s="471"/>
      <c r="AI73" s="471"/>
      <c r="AJ73" s="471"/>
      <c r="AM73" s="404"/>
      <c r="AP73" s="404"/>
      <c r="AQ73" s="404"/>
    </row>
    <row r="74" spans="1:43" s="390" customFormat="1" ht="24" customHeight="1">
      <c r="A74" s="454"/>
      <c r="B74" s="657" t="str">
        <f>B50</f>
        <v>F3 (5'-0"x5'-0"x0'-10")</v>
      </c>
      <c r="C74" s="662"/>
      <c r="D74" s="662"/>
      <c r="E74" s="662">
        <f t="shared" si="19"/>
        <v>11</v>
      </c>
      <c r="F74" s="498">
        <f t="shared" si="19"/>
        <v>20</v>
      </c>
      <c r="G74" s="642"/>
      <c r="H74" s="642">
        <v>0.83</v>
      </c>
      <c r="I74" s="501"/>
      <c r="J74" s="507">
        <f>IF(I74=0,1,I74)*IF(H74=0,1,H74)*IF(G74=0,1,G74)*IF(F74=0,1,F74)*IF(E74=0,1,E74)*IF(D74=0,1,D74)*IF(C74=0,1,C74)</f>
        <v>182.59999999999997</v>
      </c>
      <c r="K74" s="455"/>
      <c r="L74" s="312"/>
      <c r="M74" s="726"/>
      <c r="N74" s="726"/>
      <c r="O74" s="726"/>
      <c r="P74" s="726"/>
      <c r="Q74" s="611"/>
      <c r="R74" s="611"/>
      <c r="S74" s="624"/>
      <c r="T74" s="626"/>
      <c r="U74" s="626"/>
      <c r="V74" s="624"/>
      <c r="W74" s="624"/>
      <c r="X74" s="624"/>
      <c r="Y74" s="624"/>
      <c r="Z74" s="624"/>
      <c r="AA74" s="624"/>
      <c r="AB74" s="624"/>
      <c r="AC74" s="624"/>
      <c r="AD74" s="624"/>
      <c r="AE74" s="624"/>
      <c r="AF74" s="404"/>
      <c r="AG74" s="471"/>
      <c r="AH74" s="471"/>
      <c r="AI74" s="471"/>
      <c r="AJ74" s="471"/>
      <c r="AM74" s="404"/>
      <c r="AP74" s="404"/>
      <c r="AQ74" s="404"/>
    </row>
    <row r="75" spans="1:43" s="390" customFormat="1" ht="24" customHeight="1">
      <c r="A75" s="454"/>
      <c r="B75" s="657" t="str">
        <f>B51</f>
        <v>F4 (5'-6"x5'-6"x1'-0")</v>
      </c>
      <c r="C75" s="662"/>
      <c r="D75" s="662"/>
      <c r="E75" s="662">
        <f t="shared" si="19"/>
        <v>3</v>
      </c>
      <c r="F75" s="498">
        <f t="shared" si="19"/>
        <v>22</v>
      </c>
      <c r="G75" s="642"/>
      <c r="H75" s="642">
        <v>1</v>
      </c>
      <c r="I75" s="501"/>
      <c r="J75" s="507">
        <f>IF(I75=0,1,I75)*IF(H75=0,1,H75)*IF(G75=0,1,G75)*IF(F75=0,1,F75)*IF(E75=0,1,E75)*IF(D75=0,1,D75)*IF(C75=0,1,C75)</f>
        <v>66</v>
      </c>
      <c r="K75" s="455"/>
      <c r="L75" s="312"/>
      <c r="M75" s="726"/>
      <c r="N75" s="726"/>
      <c r="O75" s="726"/>
      <c r="P75" s="726"/>
      <c r="Q75" s="611"/>
      <c r="R75" s="611"/>
      <c r="S75" s="624"/>
      <c r="T75" s="626"/>
      <c r="U75" s="626"/>
      <c r="V75" s="624"/>
      <c r="W75" s="624"/>
      <c r="X75" s="624"/>
      <c r="Y75" s="624"/>
      <c r="Z75" s="624"/>
      <c r="AA75" s="624"/>
      <c r="AB75" s="624"/>
      <c r="AC75" s="624"/>
      <c r="AD75" s="624"/>
      <c r="AE75" s="624"/>
      <c r="AF75" s="404"/>
      <c r="AG75" s="471"/>
      <c r="AH75" s="471"/>
      <c r="AI75" s="471"/>
      <c r="AJ75" s="471"/>
      <c r="AM75" s="404"/>
      <c r="AP75" s="404"/>
      <c r="AQ75" s="404"/>
    </row>
    <row r="76" spans="1:43" s="390" customFormat="1" ht="26.25" customHeight="1">
      <c r="A76" s="454"/>
      <c r="B76" s="660"/>
      <c r="C76" s="662"/>
      <c r="D76" s="662"/>
      <c r="E76" s="662"/>
      <c r="F76" s="498"/>
      <c r="G76" s="642"/>
      <c r="H76" s="642"/>
      <c r="I76" s="458" t="str">
        <f>B71</f>
        <v>Footing</v>
      </c>
      <c r="J76" s="455"/>
      <c r="K76" s="455">
        <f>SUM(J71:J76)</f>
        <v>338.59999999999997</v>
      </c>
      <c r="L76" s="312" t="s">
        <v>45</v>
      </c>
      <c r="M76" s="722">
        <f>[4]Detail!$K$65</f>
        <v>588</v>
      </c>
      <c r="N76" s="726"/>
      <c r="O76" s="726"/>
      <c r="P76" s="726"/>
      <c r="Q76" s="611"/>
      <c r="R76" s="611"/>
      <c r="S76" s="611"/>
      <c r="T76" s="626"/>
      <c r="U76" s="624"/>
      <c r="V76" s="624"/>
      <c r="W76" s="624">
        <f t="shared" si="6"/>
        <v>0</v>
      </c>
      <c r="X76" s="624">
        <f t="shared" si="10"/>
        <v>0</v>
      </c>
      <c r="Y76" s="624">
        <f t="shared" si="18"/>
        <v>0</v>
      </c>
      <c r="Z76" s="624">
        <f t="shared" si="18"/>
        <v>0</v>
      </c>
      <c r="AA76" s="624">
        <f t="shared" si="18"/>
        <v>0</v>
      </c>
      <c r="AB76" s="624">
        <f t="shared" si="18"/>
        <v>0</v>
      </c>
      <c r="AC76" s="624">
        <f t="shared" si="18"/>
        <v>0</v>
      </c>
      <c r="AD76" s="624">
        <f t="shared" si="18"/>
        <v>0</v>
      </c>
      <c r="AE76" s="624">
        <f t="shared" si="18"/>
        <v>0</v>
      </c>
      <c r="AF76" s="404"/>
      <c r="AG76" s="471"/>
      <c r="AH76" s="471"/>
      <c r="AI76" s="471"/>
      <c r="AJ76" s="471"/>
      <c r="AM76" s="404"/>
      <c r="AP76" s="404"/>
      <c r="AQ76" s="404"/>
    </row>
    <row r="77" spans="1:43" s="390" customFormat="1" ht="22.25" customHeight="1">
      <c r="A77" s="454"/>
      <c r="B77" s="872" t="s">
        <v>538</v>
      </c>
      <c r="C77" s="662"/>
      <c r="D77" s="662"/>
      <c r="E77" s="662"/>
      <c r="F77" s="498"/>
      <c r="G77" s="642"/>
      <c r="H77" s="642"/>
      <c r="I77" s="501"/>
      <c r="J77" s="507"/>
      <c r="K77" s="455"/>
      <c r="L77" s="312"/>
      <c r="M77" s="726"/>
      <c r="N77" s="726"/>
      <c r="O77" s="726"/>
      <c r="P77" s="726"/>
      <c r="Q77" s="611"/>
      <c r="R77" s="611"/>
      <c r="S77" s="611"/>
      <c r="T77" s="611"/>
      <c r="U77" s="624"/>
      <c r="V77" s="624"/>
      <c r="W77" s="624">
        <f t="shared" ref="W77:W118" si="20">IF($R77=W$5,$V77,0)</f>
        <v>0</v>
      </c>
      <c r="X77" s="624">
        <f t="shared" si="10"/>
        <v>0</v>
      </c>
      <c r="Y77" s="624">
        <f t="shared" ref="Y77:AE77" si="21">IF($R77=Y$5,$V77,0)</f>
        <v>0</v>
      </c>
      <c r="Z77" s="624">
        <f t="shared" si="21"/>
        <v>0</v>
      </c>
      <c r="AA77" s="624">
        <f t="shared" si="21"/>
        <v>0</v>
      </c>
      <c r="AB77" s="624">
        <f t="shared" si="21"/>
        <v>0</v>
      </c>
      <c r="AC77" s="624">
        <f t="shared" si="21"/>
        <v>0</v>
      </c>
      <c r="AD77" s="624">
        <f t="shared" si="21"/>
        <v>0</v>
      </c>
      <c r="AE77" s="624">
        <f t="shared" si="21"/>
        <v>0</v>
      </c>
      <c r="AF77" s="404"/>
      <c r="AG77" s="471"/>
      <c r="AH77" s="471"/>
      <c r="AI77" s="471"/>
      <c r="AJ77" s="471"/>
      <c r="AM77" s="404"/>
      <c r="AP77" s="404"/>
      <c r="AQ77" s="404"/>
    </row>
    <row r="78" spans="1:43" s="390" customFormat="1" ht="22.25" customHeight="1">
      <c r="A78" s="454"/>
      <c r="B78" s="660" t="s">
        <v>607</v>
      </c>
      <c r="C78" s="662"/>
      <c r="D78" s="662"/>
      <c r="E78" s="662">
        <v>3</v>
      </c>
      <c r="F78" s="498">
        <f>1*4</f>
        <v>4</v>
      </c>
      <c r="G78" s="642"/>
      <c r="H78" s="642">
        <f>4+3-$H$74</f>
        <v>6.17</v>
      </c>
      <c r="I78" s="501"/>
      <c r="J78" s="507">
        <f t="shared" ref="J78:J83" si="22">IF(I78=0,1,I78)*IF(H78=0,1,H78)*IF(G78=0,1,G78)*IF(F78=0,1,F78)*IF(E78=0,1,E78)*IF(D78=0,1,D78)*IF(C78=0,1,C78)</f>
        <v>74.039999999999992</v>
      </c>
      <c r="K78" s="455"/>
      <c r="L78" s="312" t="s">
        <v>45</v>
      </c>
      <c r="M78" s="726"/>
      <c r="N78" s="726"/>
      <c r="O78" s="726"/>
      <c r="P78" s="726"/>
      <c r="Q78" s="611"/>
      <c r="R78" s="611"/>
      <c r="S78" s="624"/>
      <c r="T78" s="625"/>
      <c r="U78" s="626"/>
      <c r="V78" s="624"/>
      <c r="W78" s="624">
        <f t="shared" si="20"/>
        <v>0</v>
      </c>
      <c r="X78" s="624">
        <f t="shared" si="10"/>
        <v>0</v>
      </c>
      <c r="Y78" s="624">
        <f t="shared" ref="Y78:AE78" si="23">IF($R78=Y$5,$V78,0)</f>
        <v>0</v>
      </c>
      <c r="Z78" s="624">
        <f t="shared" si="23"/>
        <v>0</v>
      </c>
      <c r="AA78" s="624">
        <f t="shared" si="23"/>
        <v>0</v>
      </c>
      <c r="AB78" s="624">
        <f t="shared" si="23"/>
        <v>0</v>
      </c>
      <c r="AC78" s="624">
        <f t="shared" si="23"/>
        <v>0</v>
      </c>
      <c r="AD78" s="624">
        <f t="shared" si="23"/>
        <v>0</v>
      </c>
      <c r="AE78" s="624">
        <f t="shared" si="23"/>
        <v>0</v>
      </c>
      <c r="AF78" s="404">
        <f>381+609</f>
        <v>990</v>
      </c>
      <c r="AG78" s="471">
        <f>9.9/3.281</f>
        <v>3.0173727522096923</v>
      </c>
      <c r="AH78" s="873">
        <f>1.25+9+3</f>
        <v>13.25</v>
      </c>
      <c r="AI78" s="471"/>
      <c r="AJ78" s="471"/>
      <c r="AM78" s="404"/>
      <c r="AP78" s="404"/>
      <c r="AQ78" s="404"/>
    </row>
    <row r="79" spans="1:43" s="390" customFormat="1" ht="22.25" customHeight="1">
      <c r="A79" s="454"/>
      <c r="B79" s="660" t="s">
        <v>736</v>
      </c>
      <c r="C79" s="662"/>
      <c r="D79" s="662"/>
      <c r="E79" s="662">
        <v>2</v>
      </c>
      <c r="F79" s="498">
        <f>1*4</f>
        <v>4</v>
      </c>
      <c r="G79" s="642"/>
      <c r="H79" s="642">
        <f>4+3-$H$75</f>
        <v>6</v>
      </c>
      <c r="I79" s="501"/>
      <c r="J79" s="507">
        <f t="shared" si="22"/>
        <v>48</v>
      </c>
      <c r="K79" s="455"/>
      <c r="L79" s="312" t="s">
        <v>45</v>
      </c>
      <c r="M79" s="726"/>
      <c r="N79" s="726"/>
      <c r="O79" s="726"/>
      <c r="P79" s="726"/>
      <c r="Q79" s="611"/>
      <c r="R79" s="611"/>
      <c r="S79" s="624"/>
      <c r="T79" s="625"/>
      <c r="U79" s="626"/>
      <c r="V79" s="624"/>
      <c r="W79" s="624"/>
      <c r="X79" s="624"/>
      <c r="Y79" s="624"/>
      <c r="Z79" s="624"/>
      <c r="AA79" s="624"/>
      <c r="AB79" s="624"/>
      <c r="AC79" s="624"/>
      <c r="AD79" s="624"/>
      <c r="AE79" s="624"/>
      <c r="AF79" s="404"/>
      <c r="AG79" s="471"/>
      <c r="AH79" s="874"/>
      <c r="AI79" s="471"/>
      <c r="AJ79" s="471"/>
      <c r="AM79" s="404"/>
      <c r="AP79" s="404"/>
      <c r="AQ79" s="404"/>
    </row>
    <row r="80" spans="1:43" s="390" customFormat="1" ht="22.25" customHeight="1">
      <c r="A80" s="454"/>
      <c r="B80" s="660" t="s">
        <v>738</v>
      </c>
      <c r="C80" s="662"/>
      <c r="D80" s="662"/>
      <c r="E80" s="662">
        <f>$E$72</f>
        <v>6</v>
      </c>
      <c r="F80" s="498">
        <f>0.83*4</f>
        <v>3.32</v>
      </c>
      <c r="G80" s="642"/>
      <c r="H80" s="642">
        <f>4+3-$H$72</f>
        <v>6.25</v>
      </c>
      <c r="I80" s="501"/>
      <c r="J80" s="507">
        <f t="shared" si="22"/>
        <v>124.5</v>
      </c>
      <c r="K80" s="455"/>
      <c r="L80" s="312" t="s">
        <v>45</v>
      </c>
      <c r="M80" s="726"/>
      <c r="N80" s="726"/>
      <c r="O80" s="726"/>
      <c r="P80" s="726"/>
      <c r="Q80" s="611"/>
      <c r="R80" s="611"/>
      <c r="S80" s="624"/>
      <c r="T80" s="625"/>
      <c r="U80" s="626"/>
      <c r="V80" s="624"/>
      <c r="W80" s="624"/>
      <c r="X80" s="624"/>
      <c r="Y80" s="624"/>
      <c r="Z80" s="624"/>
      <c r="AA80" s="624"/>
      <c r="AB80" s="624"/>
      <c r="AC80" s="624"/>
      <c r="AD80" s="624"/>
      <c r="AE80" s="624"/>
      <c r="AF80" s="404"/>
      <c r="AG80" s="471"/>
      <c r="AH80" s="874"/>
      <c r="AI80" s="471"/>
      <c r="AJ80" s="471"/>
      <c r="AM80" s="404"/>
      <c r="AP80" s="404"/>
      <c r="AQ80" s="404"/>
    </row>
    <row r="81" spans="1:43" s="390" customFormat="1" ht="22.25" customHeight="1">
      <c r="A81" s="454"/>
      <c r="B81" s="660" t="s">
        <v>739</v>
      </c>
      <c r="C81" s="662"/>
      <c r="D81" s="662"/>
      <c r="E81" s="662">
        <f>$E$73</f>
        <v>3</v>
      </c>
      <c r="F81" s="498">
        <f>0.83*4</f>
        <v>3.32</v>
      </c>
      <c r="G81" s="642"/>
      <c r="H81" s="642">
        <f>4+3-$H$73</f>
        <v>6.25</v>
      </c>
      <c r="I81" s="501"/>
      <c r="J81" s="507">
        <f t="shared" si="22"/>
        <v>62.25</v>
      </c>
      <c r="K81" s="455"/>
      <c r="L81" s="312" t="s">
        <v>45</v>
      </c>
      <c r="M81" s="726"/>
      <c r="N81" s="726"/>
      <c r="O81" s="726"/>
      <c r="P81" s="726"/>
      <c r="Q81" s="611"/>
      <c r="R81" s="611"/>
      <c r="S81" s="624"/>
      <c r="T81" s="625"/>
      <c r="U81" s="626"/>
      <c r="V81" s="624"/>
      <c r="W81" s="624"/>
      <c r="X81" s="624"/>
      <c r="Y81" s="624"/>
      <c r="Z81" s="624"/>
      <c r="AA81" s="624"/>
      <c r="AB81" s="624"/>
      <c r="AC81" s="624"/>
      <c r="AD81" s="624"/>
      <c r="AE81" s="624"/>
      <c r="AF81" s="404"/>
      <c r="AG81" s="471"/>
      <c r="AH81" s="874"/>
      <c r="AI81" s="471"/>
      <c r="AJ81" s="471"/>
      <c r="AM81" s="404"/>
      <c r="AP81" s="404"/>
      <c r="AQ81" s="404"/>
    </row>
    <row r="82" spans="1:43" s="390" customFormat="1" ht="22.25" customHeight="1">
      <c r="A82" s="454"/>
      <c r="B82" s="660" t="s">
        <v>737</v>
      </c>
      <c r="C82" s="662"/>
      <c r="D82" s="662"/>
      <c r="E82" s="662">
        <f>$E$74-$E$78</f>
        <v>8</v>
      </c>
      <c r="F82" s="498">
        <f>0.83*4</f>
        <v>3.32</v>
      </c>
      <c r="G82" s="642"/>
      <c r="H82" s="642">
        <f>4+3-$H$74</f>
        <v>6.17</v>
      </c>
      <c r="I82" s="501"/>
      <c r="J82" s="507">
        <f t="shared" si="22"/>
        <v>163.87519999999998</v>
      </c>
      <c r="K82" s="455"/>
      <c r="L82" s="312" t="s">
        <v>45</v>
      </c>
      <c r="M82" s="726"/>
      <c r="N82" s="726"/>
      <c r="O82" s="726"/>
      <c r="P82" s="726"/>
      <c r="Q82" s="611"/>
      <c r="R82" s="611"/>
      <c r="S82" s="624"/>
      <c r="T82" s="625"/>
      <c r="U82" s="626"/>
      <c r="V82" s="624"/>
      <c r="W82" s="624"/>
      <c r="X82" s="624"/>
      <c r="Y82" s="624"/>
      <c r="Z82" s="624"/>
      <c r="AA82" s="624"/>
      <c r="AB82" s="624"/>
      <c r="AC82" s="624"/>
      <c r="AD82" s="624"/>
      <c r="AE82" s="624"/>
      <c r="AF82" s="404"/>
      <c r="AG82" s="471"/>
      <c r="AH82" s="874"/>
      <c r="AI82" s="471"/>
      <c r="AJ82" s="471"/>
      <c r="AM82" s="404"/>
      <c r="AP82" s="404"/>
      <c r="AQ82" s="404"/>
    </row>
    <row r="83" spans="1:43" s="390" customFormat="1" ht="22.25" customHeight="1">
      <c r="A83" s="454"/>
      <c r="B83" s="660" t="s">
        <v>740</v>
      </c>
      <c r="C83" s="662"/>
      <c r="D83" s="662"/>
      <c r="E83" s="662">
        <f>$E$75-$E$79</f>
        <v>1</v>
      </c>
      <c r="F83" s="498">
        <f>0.83*4</f>
        <v>3.32</v>
      </c>
      <c r="G83" s="642"/>
      <c r="H83" s="642">
        <f>4+3-$H$75</f>
        <v>6</v>
      </c>
      <c r="I83" s="501"/>
      <c r="J83" s="507">
        <f t="shared" si="22"/>
        <v>19.919999999999998</v>
      </c>
      <c r="K83" s="455"/>
      <c r="L83" s="312" t="s">
        <v>45</v>
      </c>
      <c r="M83" s="726"/>
      <c r="N83" s="726"/>
      <c r="O83" s="726"/>
      <c r="P83" s="726"/>
      <c r="Q83" s="611"/>
      <c r="R83" s="611"/>
      <c r="S83" s="624"/>
      <c r="T83" s="625"/>
      <c r="U83" s="626"/>
      <c r="V83" s="624"/>
      <c r="W83" s="624"/>
      <c r="X83" s="624"/>
      <c r="Y83" s="624"/>
      <c r="Z83" s="624"/>
      <c r="AA83" s="624"/>
      <c r="AB83" s="624"/>
      <c r="AC83" s="624"/>
      <c r="AD83" s="624"/>
      <c r="AE83" s="624"/>
      <c r="AF83" s="404"/>
      <c r="AG83" s="471"/>
      <c r="AH83" s="874"/>
      <c r="AI83" s="471"/>
      <c r="AJ83" s="471"/>
      <c r="AM83" s="404"/>
      <c r="AP83" s="404"/>
      <c r="AQ83" s="404"/>
    </row>
    <row r="84" spans="1:43" s="390" customFormat="1" ht="26.25" customHeight="1">
      <c r="A84" s="454"/>
      <c r="B84" s="660"/>
      <c r="C84" s="662"/>
      <c r="D84" s="662"/>
      <c r="E84" s="662"/>
      <c r="F84" s="498"/>
      <c r="G84" s="642"/>
      <c r="H84" s="642"/>
      <c r="I84" s="458" t="str">
        <f>B77</f>
        <v>Short Column</v>
      </c>
      <c r="J84" s="455"/>
      <c r="K84" s="455">
        <f>SUM(J77:J84)</f>
        <v>492.58519999999993</v>
      </c>
      <c r="L84" s="312" t="s">
        <v>45</v>
      </c>
      <c r="M84" s="722">
        <f>[4]Detail!$K$72</f>
        <v>287.76</v>
      </c>
      <c r="N84" s="726"/>
      <c r="O84" s="726"/>
      <c r="P84" s="726"/>
      <c r="Q84" s="611"/>
      <c r="R84" s="611"/>
      <c r="S84" s="611"/>
      <c r="T84" s="626"/>
      <c r="U84" s="624"/>
      <c r="V84" s="624"/>
      <c r="W84" s="624">
        <f t="shared" si="20"/>
        <v>0</v>
      </c>
      <c r="X84" s="624">
        <f t="shared" si="10"/>
        <v>0</v>
      </c>
      <c r="Y84" s="624">
        <f t="shared" ref="Y84:AE85" si="24">IF($R84=Y$5,$V84,0)</f>
        <v>0</v>
      </c>
      <c r="Z84" s="624">
        <f t="shared" si="24"/>
        <v>0</v>
      </c>
      <c r="AA84" s="624">
        <f t="shared" si="24"/>
        <v>0</v>
      </c>
      <c r="AB84" s="624">
        <f t="shared" si="24"/>
        <v>0</v>
      </c>
      <c r="AC84" s="624">
        <f t="shared" si="24"/>
        <v>0</v>
      </c>
      <c r="AD84" s="624">
        <f t="shared" si="24"/>
        <v>0</v>
      </c>
      <c r="AE84" s="624">
        <f t="shared" si="24"/>
        <v>0</v>
      </c>
      <c r="AF84" s="404"/>
      <c r="AG84" s="471"/>
      <c r="AH84" s="471"/>
      <c r="AI84" s="471"/>
      <c r="AJ84" s="471"/>
      <c r="AM84" s="404"/>
      <c r="AP84" s="404"/>
      <c r="AQ84" s="404"/>
    </row>
    <row r="85" spans="1:43" s="390" customFormat="1" ht="22.25" customHeight="1">
      <c r="A85" s="454"/>
      <c r="B85" s="872" t="s">
        <v>561</v>
      </c>
      <c r="C85" s="662"/>
      <c r="D85" s="662"/>
      <c r="E85" s="662"/>
      <c r="F85" s="498"/>
      <c r="G85" s="642"/>
      <c r="H85" s="642"/>
      <c r="I85" s="501"/>
      <c r="J85" s="507"/>
      <c r="K85" s="455"/>
      <c r="L85" s="312"/>
      <c r="M85" s="726"/>
      <c r="N85" s="726"/>
      <c r="O85" s="726"/>
      <c r="P85" s="726"/>
      <c r="Q85" s="611"/>
      <c r="R85" s="611"/>
      <c r="S85" s="611"/>
      <c r="T85" s="611"/>
      <c r="U85" s="624"/>
      <c r="V85" s="624"/>
      <c r="W85" s="624">
        <f t="shared" si="20"/>
        <v>0</v>
      </c>
      <c r="X85" s="624">
        <f t="shared" si="10"/>
        <v>0</v>
      </c>
      <c r="Y85" s="624">
        <f t="shared" si="24"/>
        <v>0</v>
      </c>
      <c r="Z85" s="624">
        <f t="shared" si="24"/>
        <v>0</v>
      </c>
      <c r="AA85" s="624">
        <f t="shared" si="24"/>
        <v>0</v>
      </c>
      <c r="AB85" s="624">
        <f t="shared" si="24"/>
        <v>0</v>
      </c>
      <c r="AC85" s="624">
        <f t="shared" si="24"/>
        <v>0</v>
      </c>
      <c r="AD85" s="624">
        <f t="shared" si="24"/>
        <v>0</v>
      </c>
      <c r="AE85" s="624">
        <f t="shared" si="24"/>
        <v>0</v>
      </c>
      <c r="AF85" s="404"/>
      <c r="AG85" s="471"/>
      <c r="AH85" s="471"/>
      <c r="AI85" s="471"/>
      <c r="AJ85" s="471"/>
      <c r="AM85" s="404"/>
      <c r="AP85" s="404"/>
      <c r="AQ85" s="404"/>
    </row>
    <row r="86" spans="1:43" s="390" customFormat="1" ht="22.25" customHeight="1">
      <c r="A86" s="454"/>
      <c r="B86" s="660" t="s">
        <v>741</v>
      </c>
      <c r="C86" s="662"/>
      <c r="D86" s="662"/>
      <c r="E86" s="662">
        <v>23</v>
      </c>
      <c r="F86" s="498">
        <f>F289*2+G289*2</f>
        <v>3.32</v>
      </c>
      <c r="G86" s="642"/>
      <c r="H86" s="642">
        <v>13</v>
      </c>
      <c r="I86" s="501"/>
      <c r="J86" s="507">
        <f>IF(I86=0,1,I86)*IF(H86=0,1,H86)*IF(G86=0,1,G86)*IF(F86=0,1,F86)*IF(E86=0,1,E86)*IF(D86=0,1,D86)*IF(C86=0,1,C86)</f>
        <v>992.68</v>
      </c>
      <c r="K86" s="455"/>
      <c r="L86" s="312" t="s">
        <v>45</v>
      </c>
      <c r="M86" s="726"/>
      <c r="N86" s="726"/>
      <c r="O86" s="726"/>
      <c r="P86" s="726"/>
      <c r="Q86" s="611"/>
      <c r="R86" s="611"/>
      <c r="S86" s="624"/>
      <c r="T86" s="625"/>
      <c r="U86" s="626"/>
      <c r="V86" s="624"/>
      <c r="W86" s="624">
        <f t="shared" si="20"/>
        <v>0</v>
      </c>
      <c r="X86" s="624">
        <f t="shared" si="10"/>
        <v>0</v>
      </c>
      <c r="Y86" s="624">
        <f t="shared" ref="Y86:AE89" si="25">IF($R86=Y$5,$V86,0)</f>
        <v>0</v>
      </c>
      <c r="Z86" s="624">
        <f t="shared" si="25"/>
        <v>0</v>
      </c>
      <c r="AA86" s="624">
        <f t="shared" si="25"/>
        <v>0</v>
      </c>
      <c r="AB86" s="624">
        <f t="shared" si="25"/>
        <v>0</v>
      </c>
      <c r="AC86" s="624">
        <f t="shared" si="25"/>
        <v>0</v>
      </c>
      <c r="AD86" s="624">
        <f t="shared" si="25"/>
        <v>0</v>
      </c>
      <c r="AE86" s="624">
        <f t="shared" si="25"/>
        <v>0</v>
      </c>
      <c r="AF86" s="404">
        <f>381+609</f>
        <v>990</v>
      </c>
      <c r="AG86" s="471">
        <f>9.9/3.281</f>
        <v>3.0173727522096923</v>
      </c>
      <c r="AH86" s="873">
        <f>1.25+9+3</f>
        <v>13.25</v>
      </c>
      <c r="AI86" s="471"/>
      <c r="AJ86" s="471"/>
      <c r="AM86" s="404"/>
      <c r="AP86" s="404"/>
      <c r="AQ86" s="404"/>
    </row>
    <row r="87" spans="1:43" s="390" customFormat="1" ht="22.25" customHeight="1">
      <c r="A87" s="454"/>
      <c r="B87" s="660" t="s">
        <v>611</v>
      </c>
      <c r="C87" s="662"/>
      <c r="D87" s="662"/>
      <c r="E87" s="662">
        <v>10</v>
      </c>
      <c r="F87" s="498">
        <f>0.83*2+0.83*2</f>
        <v>3.32</v>
      </c>
      <c r="G87" s="642"/>
      <c r="H87" s="642">
        <v>5</v>
      </c>
      <c r="I87" s="501"/>
      <c r="J87" s="507">
        <f>IF(I87=0,1,I87)*IF(H87=0,1,H87)*IF(G87=0,1,G87)*IF(F87=0,1,F87)*IF(E87=0,1,E87)*IF(D87=0,1,D87)*IF(C87=0,1,C87)</f>
        <v>165.99999999999997</v>
      </c>
      <c r="K87" s="455"/>
      <c r="L87" s="312" t="s">
        <v>45</v>
      </c>
      <c r="M87" s="726"/>
      <c r="N87" s="726"/>
      <c r="O87" s="726"/>
      <c r="P87" s="726"/>
      <c r="Q87" s="611"/>
      <c r="R87" s="611"/>
      <c r="S87" s="624"/>
      <c r="T87" s="625"/>
      <c r="U87" s="626"/>
      <c r="V87" s="624"/>
      <c r="W87" s="624">
        <f t="shared" si="20"/>
        <v>0</v>
      </c>
      <c r="X87" s="624">
        <f t="shared" si="10"/>
        <v>0</v>
      </c>
      <c r="Y87" s="624">
        <f t="shared" si="25"/>
        <v>0</v>
      </c>
      <c r="Z87" s="624">
        <f t="shared" si="25"/>
        <v>0</v>
      </c>
      <c r="AA87" s="624">
        <f t="shared" si="25"/>
        <v>0</v>
      </c>
      <c r="AB87" s="624">
        <f t="shared" si="25"/>
        <v>0</v>
      </c>
      <c r="AC87" s="624">
        <f t="shared" si="25"/>
        <v>0</v>
      </c>
      <c r="AD87" s="624">
        <f t="shared" si="25"/>
        <v>0</v>
      </c>
      <c r="AE87" s="624">
        <f t="shared" si="25"/>
        <v>0</v>
      </c>
      <c r="AF87" s="404">
        <f>381+609</f>
        <v>990</v>
      </c>
      <c r="AG87" s="471">
        <f>9.9/3.281</f>
        <v>3.0173727522096923</v>
      </c>
      <c r="AH87" s="873">
        <f>1.25+9+3</f>
        <v>13.25</v>
      </c>
      <c r="AI87" s="471"/>
      <c r="AJ87" s="471"/>
      <c r="AM87" s="404"/>
      <c r="AP87" s="404"/>
      <c r="AQ87" s="404"/>
    </row>
    <row r="88" spans="1:43" s="390" customFormat="1" ht="22.25" customHeight="1">
      <c r="A88" s="454"/>
      <c r="B88" s="660" t="s">
        <v>758</v>
      </c>
      <c r="C88" s="662"/>
      <c r="D88" s="662"/>
      <c r="E88" s="662">
        <v>4</v>
      </c>
      <c r="F88" s="498">
        <f>0.83*2+0.83*2</f>
        <v>3.32</v>
      </c>
      <c r="G88" s="642"/>
      <c r="H88" s="642">
        <v>10</v>
      </c>
      <c r="I88" s="501"/>
      <c r="J88" s="507">
        <f>IF(I88=0,1,I88)*IF(H88=0,1,H88)*IF(G88=0,1,G88)*IF(F88=0,1,F88)*IF(E88=0,1,E88)*IF(D88=0,1,D88)*IF(C88=0,1,C88)</f>
        <v>132.79999999999998</v>
      </c>
      <c r="K88" s="455"/>
      <c r="L88" s="312" t="s">
        <v>45</v>
      </c>
      <c r="M88" s="726"/>
      <c r="N88" s="726"/>
      <c r="O88" s="726"/>
      <c r="P88" s="726"/>
      <c r="Q88" s="611"/>
      <c r="R88" s="611"/>
      <c r="S88" s="624"/>
      <c r="T88" s="625"/>
      <c r="U88" s="626"/>
      <c r="V88" s="624"/>
      <c r="W88" s="624">
        <f t="shared" si="20"/>
        <v>0</v>
      </c>
      <c r="X88" s="624">
        <f t="shared" si="10"/>
        <v>0</v>
      </c>
      <c r="Y88" s="624">
        <f t="shared" si="25"/>
        <v>0</v>
      </c>
      <c r="Z88" s="624">
        <f t="shared" si="25"/>
        <v>0</v>
      </c>
      <c r="AA88" s="624">
        <f t="shared" si="25"/>
        <v>0</v>
      </c>
      <c r="AB88" s="624">
        <f t="shared" si="25"/>
        <v>0</v>
      </c>
      <c r="AC88" s="624">
        <f t="shared" si="25"/>
        <v>0</v>
      </c>
      <c r="AD88" s="624">
        <f t="shared" si="25"/>
        <v>0</v>
      </c>
      <c r="AE88" s="624">
        <f t="shared" si="25"/>
        <v>0</v>
      </c>
      <c r="AF88" s="404">
        <f>381+609</f>
        <v>990</v>
      </c>
      <c r="AG88" s="471">
        <f>9.9/3.281</f>
        <v>3.0173727522096923</v>
      </c>
      <c r="AH88" s="873">
        <f>1.25+9+3</f>
        <v>13.25</v>
      </c>
      <c r="AI88" s="471"/>
      <c r="AJ88" s="471"/>
      <c r="AM88" s="404"/>
      <c r="AP88" s="404"/>
      <c r="AQ88" s="404"/>
    </row>
    <row r="89" spans="1:43" s="390" customFormat="1" ht="26.25" customHeight="1">
      <c r="A89" s="454"/>
      <c r="B89" s="660"/>
      <c r="C89" s="662"/>
      <c r="D89" s="662"/>
      <c r="E89" s="662"/>
      <c r="F89" s="498"/>
      <c r="G89" s="642"/>
      <c r="H89" s="642"/>
      <c r="I89" s="458" t="str">
        <f>B85</f>
        <v>Ground Floor Column</v>
      </c>
      <c r="J89" s="455"/>
      <c r="K89" s="455">
        <f>SUM(J85:J89)</f>
        <v>1291.4799999999998</v>
      </c>
      <c r="L89" s="312" t="s">
        <v>45</v>
      </c>
      <c r="M89" s="722">
        <f>[4]Detail!$K$79</f>
        <v>706.2</v>
      </c>
      <c r="N89" s="726">
        <f>K89/32</f>
        <v>40.358749999999993</v>
      </c>
      <c r="O89" s="726"/>
      <c r="P89" s="726"/>
      <c r="Q89" s="611"/>
      <c r="R89" s="611"/>
      <c r="S89" s="611"/>
      <c r="T89" s="626"/>
      <c r="U89" s="624"/>
      <c r="V89" s="624"/>
      <c r="W89" s="624">
        <f t="shared" si="20"/>
        <v>0</v>
      </c>
      <c r="X89" s="624">
        <f t="shared" si="10"/>
        <v>0</v>
      </c>
      <c r="Y89" s="624">
        <f t="shared" si="25"/>
        <v>0</v>
      </c>
      <c r="Z89" s="624">
        <f t="shared" si="25"/>
        <v>0</v>
      </c>
      <c r="AA89" s="624">
        <f t="shared" si="25"/>
        <v>0</v>
      </c>
      <c r="AB89" s="624">
        <f t="shared" si="25"/>
        <v>0</v>
      </c>
      <c r="AC89" s="624">
        <f t="shared" si="25"/>
        <v>0</v>
      </c>
      <c r="AD89" s="624">
        <f t="shared" si="25"/>
        <v>0</v>
      </c>
      <c r="AE89" s="624">
        <f t="shared" si="25"/>
        <v>0</v>
      </c>
      <c r="AF89" s="404"/>
      <c r="AG89" s="471"/>
      <c r="AH89" s="471"/>
      <c r="AI89" s="471"/>
      <c r="AJ89" s="471"/>
      <c r="AM89" s="404"/>
      <c r="AP89" s="404"/>
      <c r="AQ89" s="404"/>
    </row>
    <row r="90" spans="1:43" s="390" customFormat="1" ht="21.9" customHeight="1">
      <c r="A90" s="454"/>
      <c r="B90" s="659" t="s">
        <v>405</v>
      </c>
      <c r="C90" s="662"/>
      <c r="D90" s="662"/>
      <c r="E90" s="662"/>
      <c r="F90" s="498"/>
      <c r="G90" s="642"/>
      <c r="H90" s="648"/>
      <c r="I90" s="501"/>
      <c r="J90" s="455"/>
      <c r="K90" s="455"/>
      <c r="L90" s="312"/>
      <c r="M90" s="726"/>
      <c r="N90" s="726"/>
      <c r="O90" s="726"/>
      <c r="P90" s="726"/>
      <c r="Q90" s="875"/>
      <c r="R90" s="875"/>
      <c r="S90" s="624"/>
      <c r="T90" s="876"/>
      <c r="U90" s="877"/>
      <c r="V90" s="624"/>
      <c r="W90" s="624">
        <f t="shared" si="20"/>
        <v>0</v>
      </c>
      <c r="X90" s="624">
        <f t="shared" ref="X90:X121" si="26">IF($R90=X$5,$V90,0)</f>
        <v>0</v>
      </c>
      <c r="Y90" s="624">
        <f t="shared" ref="Y90:AE91" si="27">IF($R90=Y$5,$V90,0)</f>
        <v>0</v>
      </c>
      <c r="Z90" s="624">
        <f t="shared" si="27"/>
        <v>0</v>
      </c>
      <c r="AA90" s="624">
        <f t="shared" si="27"/>
        <v>0</v>
      </c>
      <c r="AB90" s="624">
        <f t="shared" si="27"/>
        <v>0</v>
      </c>
      <c r="AC90" s="624">
        <f t="shared" si="27"/>
        <v>0</v>
      </c>
      <c r="AD90" s="624">
        <f t="shared" si="27"/>
        <v>0</v>
      </c>
      <c r="AE90" s="624">
        <f t="shared" si="27"/>
        <v>0</v>
      </c>
      <c r="AF90" s="404"/>
      <c r="AG90" s="471"/>
      <c r="AH90" s="471"/>
      <c r="AI90" s="471"/>
      <c r="AJ90" s="471"/>
      <c r="AM90" s="404"/>
      <c r="AP90" s="404"/>
      <c r="AQ90" s="404"/>
    </row>
    <row r="91" spans="1:43" s="390" customFormat="1" ht="21.9" customHeight="1">
      <c r="A91" s="454"/>
      <c r="B91" s="659" t="s">
        <v>742</v>
      </c>
      <c r="C91" s="662"/>
      <c r="D91" s="662"/>
      <c r="E91" s="662"/>
      <c r="F91" s="498"/>
      <c r="G91" s="642"/>
      <c r="H91" s="647"/>
      <c r="I91" s="499"/>
      <c r="J91" s="455"/>
      <c r="K91" s="455"/>
      <c r="L91" s="312"/>
      <c r="M91" s="726"/>
      <c r="N91" s="726"/>
      <c r="O91" s="726"/>
      <c r="P91" s="726"/>
      <c r="Q91" s="611"/>
      <c r="R91" s="611"/>
      <c r="S91" s="624"/>
      <c r="T91" s="625"/>
      <c r="U91" s="626"/>
      <c r="V91" s="624"/>
      <c r="W91" s="624">
        <f t="shared" si="20"/>
        <v>0</v>
      </c>
      <c r="X91" s="624">
        <f t="shared" si="26"/>
        <v>0</v>
      </c>
      <c r="Y91" s="624">
        <f t="shared" si="27"/>
        <v>0</v>
      </c>
      <c r="Z91" s="624">
        <f t="shared" si="27"/>
        <v>0</v>
      </c>
      <c r="AA91" s="624">
        <f t="shared" si="27"/>
        <v>0</v>
      </c>
      <c r="AB91" s="624">
        <f t="shared" si="27"/>
        <v>0</v>
      </c>
      <c r="AC91" s="624">
        <f t="shared" si="27"/>
        <v>0</v>
      </c>
      <c r="AD91" s="624">
        <f t="shared" si="27"/>
        <v>0</v>
      </c>
      <c r="AE91" s="624">
        <f t="shared" si="27"/>
        <v>0</v>
      </c>
      <c r="AF91" s="404"/>
      <c r="AG91" s="471"/>
      <c r="AH91" s="471"/>
      <c r="AI91" s="471"/>
      <c r="AJ91" s="471"/>
      <c r="AM91" s="404"/>
      <c r="AP91" s="404"/>
      <c r="AQ91" s="404"/>
    </row>
    <row r="92" spans="1:43" s="390" customFormat="1" ht="22.25" customHeight="1">
      <c r="A92" s="454"/>
      <c r="B92" s="657" t="s">
        <v>693</v>
      </c>
      <c r="C92" s="662"/>
      <c r="D92" s="662">
        <v>2</v>
      </c>
      <c r="E92" s="662">
        <v>3</v>
      </c>
      <c r="F92" s="498">
        <v>6</v>
      </c>
      <c r="G92" s="642"/>
      <c r="H92" s="642">
        <v>0.83</v>
      </c>
      <c r="I92" s="499"/>
      <c r="J92" s="507">
        <f t="shared" ref="J92:J98" si="28">IF(I92=0,1,I92)*IF(H92=0,1,H92)*IF(G92=0,1,G92)*IF(F92=0,1,F92)*IF(E92=0,1,E92)*IF(D92=0,1,D92)*IF(C92=0,1,C92)</f>
        <v>29.879999999999995</v>
      </c>
      <c r="K92" s="455"/>
      <c r="L92" s="312" t="s">
        <v>45</v>
      </c>
      <c r="M92" s="722"/>
      <c r="N92" s="722"/>
      <c r="O92" s="722"/>
      <c r="P92" s="722"/>
      <c r="Q92" s="611"/>
      <c r="R92" s="611"/>
      <c r="S92" s="624"/>
      <c r="T92" s="625"/>
      <c r="U92" s="626"/>
      <c r="V92" s="624"/>
      <c r="W92" s="624">
        <f>IF($R92=W$5,$V92,0)</f>
        <v>0</v>
      </c>
      <c r="X92" s="624">
        <f t="shared" si="26"/>
        <v>0</v>
      </c>
      <c r="Y92" s="624">
        <f t="shared" ref="Y92:AE94" si="29">IF($R92=Y$5,$V92,0)</f>
        <v>0</v>
      </c>
      <c r="Z92" s="624">
        <f t="shared" si="29"/>
        <v>0</v>
      </c>
      <c r="AA92" s="624">
        <f t="shared" si="29"/>
        <v>0</v>
      </c>
      <c r="AB92" s="624">
        <f t="shared" si="29"/>
        <v>0</v>
      </c>
      <c r="AC92" s="624">
        <f t="shared" si="29"/>
        <v>0</v>
      </c>
      <c r="AD92" s="624">
        <f t="shared" si="29"/>
        <v>0</v>
      </c>
      <c r="AE92" s="624">
        <f t="shared" si="29"/>
        <v>0</v>
      </c>
      <c r="AF92" s="471"/>
      <c r="AG92" s="473"/>
      <c r="AH92" s="471"/>
      <c r="AI92" s="471"/>
      <c r="AJ92" s="471"/>
      <c r="AM92" s="404"/>
      <c r="AP92" s="404"/>
      <c r="AQ92" s="404"/>
    </row>
    <row r="93" spans="1:43" s="390" customFormat="1" ht="22.25" customHeight="1">
      <c r="A93" s="454"/>
      <c r="B93" s="657" t="s">
        <v>743</v>
      </c>
      <c r="C93" s="662"/>
      <c r="D93" s="662">
        <v>2</v>
      </c>
      <c r="E93" s="662">
        <v>2</v>
      </c>
      <c r="F93" s="498">
        <f>5-0.83</f>
        <v>4.17</v>
      </c>
      <c r="G93" s="642"/>
      <c r="H93" s="642">
        <f t="shared" ref="H93:H98" si="30">H92</f>
        <v>0.83</v>
      </c>
      <c r="I93" s="499"/>
      <c r="J93" s="507">
        <f t="shared" si="28"/>
        <v>13.844399999999998</v>
      </c>
      <c r="K93" s="455"/>
      <c r="L93" s="312" t="s">
        <v>45</v>
      </c>
      <c r="M93" s="722"/>
      <c r="N93" s="722"/>
      <c r="O93" s="722"/>
      <c r="P93" s="722"/>
      <c r="Q93" s="611"/>
      <c r="R93" s="611"/>
      <c r="S93" s="624"/>
      <c r="T93" s="625"/>
      <c r="U93" s="626"/>
      <c r="V93" s="624"/>
      <c r="W93" s="624">
        <f>IF($R93=W$5,$V93,0)</f>
        <v>0</v>
      </c>
      <c r="X93" s="624">
        <f t="shared" si="26"/>
        <v>0</v>
      </c>
      <c r="Y93" s="624">
        <f t="shared" si="29"/>
        <v>0</v>
      </c>
      <c r="Z93" s="624">
        <f t="shared" si="29"/>
        <v>0</v>
      </c>
      <c r="AA93" s="624">
        <f t="shared" si="29"/>
        <v>0</v>
      </c>
      <c r="AB93" s="624">
        <f t="shared" si="29"/>
        <v>0</v>
      </c>
      <c r="AC93" s="624">
        <f t="shared" si="29"/>
        <v>0</v>
      </c>
      <c r="AD93" s="624">
        <f t="shared" si="29"/>
        <v>0</v>
      </c>
      <c r="AE93" s="624">
        <f t="shared" si="29"/>
        <v>0</v>
      </c>
      <c r="AF93" s="471"/>
      <c r="AG93" s="473"/>
      <c r="AH93" s="471"/>
      <c r="AI93" s="471"/>
      <c r="AJ93" s="471"/>
      <c r="AM93" s="404"/>
      <c r="AP93" s="404"/>
      <c r="AQ93" s="404"/>
    </row>
    <row r="94" spans="1:43" s="390" customFormat="1" ht="22.25" customHeight="1">
      <c r="A94" s="454"/>
      <c r="B94" s="657" t="s">
        <v>734</v>
      </c>
      <c r="C94" s="662"/>
      <c r="D94" s="662">
        <v>2</v>
      </c>
      <c r="E94" s="662">
        <v>1</v>
      </c>
      <c r="F94" s="498">
        <f>9.5-2*0.83</f>
        <v>7.84</v>
      </c>
      <c r="G94" s="642"/>
      <c r="H94" s="642">
        <f t="shared" si="30"/>
        <v>0.83</v>
      </c>
      <c r="I94" s="499"/>
      <c r="J94" s="507">
        <f t="shared" si="28"/>
        <v>13.014399999999998</v>
      </c>
      <c r="K94" s="455"/>
      <c r="L94" s="312" t="s">
        <v>45</v>
      </c>
      <c r="M94" s="722"/>
      <c r="N94" s="722"/>
      <c r="O94" s="722"/>
      <c r="P94" s="722"/>
      <c r="Q94" s="611"/>
      <c r="R94" s="611"/>
      <c r="S94" s="624"/>
      <c r="T94" s="625"/>
      <c r="U94" s="626"/>
      <c r="V94" s="624"/>
      <c r="W94" s="624">
        <f>IF($R94=W$5,$V94,0)</f>
        <v>0</v>
      </c>
      <c r="X94" s="624">
        <f t="shared" si="26"/>
        <v>0</v>
      </c>
      <c r="Y94" s="624">
        <f t="shared" si="29"/>
        <v>0</v>
      </c>
      <c r="Z94" s="624">
        <f t="shared" si="29"/>
        <v>0</v>
      </c>
      <c r="AA94" s="624">
        <f t="shared" si="29"/>
        <v>0</v>
      </c>
      <c r="AB94" s="624">
        <f t="shared" si="29"/>
        <v>0</v>
      </c>
      <c r="AC94" s="624">
        <f t="shared" si="29"/>
        <v>0</v>
      </c>
      <c r="AD94" s="624">
        <f t="shared" si="29"/>
        <v>0</v>
      </c>
      <c r="AE94" s="624">
        <f t="shared" si="29"/>
        <v>0</v>
      </c>
      <c r="AF94" s="471"/>
      <c r="AG94" s="473"/>
      <c r="AH94" s="471"/>
      <c r="AI94" s="471"/>
      <c r="AJ94" s="471"/>
      <c r="AM94" s="404"/>
      <c r="AP94" s="404"/>
      <c r="AQ94" s="404"/>
    </row>
    <row r="95" spans="1:43" s="390" customFormat="1" ht="22.25" customHeight="1">
      <c r="A95" s="454"/>
      <c r="B95" s="657" t="s">
        <v>555</v>
      </c>
      <c r="C95" s="662"/>
      <c r="D95" s="662">
        <v>2</v>
      </c>
      <c r="E95" s="662">
        <v>2</v>
      </c>
      <c r="F95" s="498">
        <f>7.83-0.5*0.83-0.5*1</f>
        <v>6.915</v>
      </c>
      <c r="G95" s="642"/>
      <c r="H95" s="642">
        <f t="shared" si="30"/>
        <v>0.83</v>
      </c>
      <c r="I95" s="499"/>
      <c r="J95" s="507">
        <f t="shared" si="28"/>
        <v>22.957799999999999</v>
      </c>
      <c r="K95" s="455"/>
      <c r="L95" s="312" t="s">
        <v>45</v>
      </c>
      <c r="M95" s="722"/>
      <c r="N95" s="722"/>
      <c r="O95" s="722"/>
      <c r="P95" s="722"/>
      <c r="Q95" s="611"/>
      <c r="R95" s="611"/>
      <c r="S95" s="624"/>
      <c r="T95" s="625"/>
      <c r="U95" s="626"/>
      <c r="V95" s="624"/>
      <c r="W95" s="624"/>
      <c r="X95" s="624"/>
      <c r="Y95" s="624"/>
      <c r="Z95" s="624"/>
      <c r="AA95" s="624"/>
      <c r="AB95" s="624"/>
      <c r="AC95" s="624"/>
      <c r="AD95" s="624"/>
      <c r="AE95" s="624"/>
      <c r="AF95" s="471"/>
      <c r="AG95" s="473"/>
      <c r="AH95" s="471"/>
      <c r="AI95" s="471"/>
      <c r="AJ95" s="471"/>
      <c r="AM95" s="404"/>
      <c r="AP95" s="404"/>
      <c r="AQ95" s="404"/>
    </row>
    <row r="96" spans="1:43" s="390" customFormat="1" ht="22.25" customHeight="1">
      <c r="A96" s="454"/>
      <c r="B96" s="657" t="s">
        <v>745</v>
      </c>
      <c r="C96" s="662"/>
      <c r="D96" s="662">
        <v>2</v>
      </c>
      <c r="E96" s="662">
        <v>2</v>
      </c>
      <c r="F96" s="498">
        <f>5-0.83</f>
        <v>4.17</v>
      </c>
      <c r="G96" s="642"/>
      <c r="H96" s="642">
        <f t="shared" si="30"/>
        <v>0.83</v>
      </c>
      <c r="I96" s="499"/>
      <c r="J96" s="507">
        <f t="shared" si="28"/>
        <v>13.844399999999998</v>
      </c>
      <c r="K96" s="455"/>
      <c r="L96" s="312" t="s">
        <v>45</v>
      </c>
      <c r="M96" s="722"/>
      <c r="N96" s="722"/>
      <c r="O96" s="722"/>
      <c r="P96" s="722"/>
      <c r="Q96" s="611"/>
      <c r="R96" s="611"/>
      <c r="S96" s="624"/>
      <c r="T96" s="625"/>
      <c r="U96" s="626"/>
      <c r="V96" s="624"/>
      <c r="W96" s="624"/>
      <c r="X96" s="624"/>
      <c r="Y96" s="624"/>
      <c r="Z96" s="624"/>
      <c r="AA96" s="624"/>
      <c r="AB96" s="624"/>
      <c r="AC96" s="624"/>
      <c r="AD96" s="624"/>
      <c r="AE96" s="624"/>
      <c r="AF96" s="471"/>
      <c r="AG96" s="473"/>
      <c r="AH96" s="471"/>
      <c r="AI96" s="471"/>
      <c r="AJ96" s="471"/>
      <c r="AM96" s="404"/>
      <c r="AP96" s="404"/>
      <c r="AQ96" s="404"/>
    </row>
    <row r="97" spans="1:43" s="390" customFormat="1" ht="22.25" customHeight="1">
      <c r="A97" s="454"/>
      <c r="B97" s="657" t="s">
        <v>608</v>
      </c>
      <c r="C97" s="662"/>
      <c r="D97" s="662">
        <v>2</v>
      </c>
      <c r="E97" s="662">
        <v>1</v>
      </c>
      <c r="F97" s="498">
        <f>5-0.83</f>
        <v>4.17</v>
      </c>
      <c r="G97" s="642"/>
      <c r="H97" s="642">
        <f t="shared" si="30"/>
        <v>0.83</v>
      </c>
      <c r="I97" s="499"/>
      <c r="J97" s="507">
        <f t="shared" si="28"/>
        <v>6.9221999999999992</v>
      </c>
      <c r="K97" s="455"/>
      <c r="L97" s="312" t="s">
        <v>45</v>
      </c>
      <c r="M97" s="722"/>
      <c r="N97" s="722"/>
      <c r="O97" s="722"/>
      <c r="P97" s="722"/>
      <c r="Q97" s="611"/>
      <c r="R97" s="611"/>
      <c r="S97" s="624"/>
      <c r="T97" s="625"/>
      <c r="U97" s="626"/>
      <c r="V97" s="624"/>
      <c r="W97" s="624"/>
      <c r="X97" s="624"/>
      <c r="Y97" s="624"/>
      <c r="Z97" s="624"/>
      <c r="AA97" s="624"/>
      <c r="AB97" s="624"/>
      <c r="AC97" s="624"/>
      <c r="AD97" s="624"/>
      <c r="AE97" s="624"/>
      <c r="AF97" s="471"/>
      <c r="AG97" s="473"/>
      <c r="AH97" s="471"/>
      <c r="AI97" s="471"/>
      <c r="AJ97" s="471"/>
      <c r="AM97" s="404"/>
      <c r="AP97" s="404"/>
      <c r="AQ97" s="404"/>
    </row>
    <row r="98" spans="1:43" s="390" customFormat="1" ht="22.25" customHeight="1">
      <c r="A98" s="454"/>
      <c r="B98" s="657" t="s">
        <v>540</v>
      </c>
      <c r="C98" s="662"/>
      <c r="D98" s="662">
        <v>2</v>
      </c>
      <c r="E98" s="662">
        <v>1</v>
      </c>
      <c r="F98" s="498">
        <f>15-2*0.83</f>
        <v>13.34</v>
      </c>
      <c r="G98" s="642"/>
      <c r="H98" s="642">
        <f t="shared" si="30"/>
        <v>0.83</v>
      </c>
      <c r="I98" s="499"/>
      <c r="J98" s="507">
        <f t="shared" si="28"/>
        <v>22.144399999999997</v>
      </c>
      <c r="K98" s="455"/>
      <c r="L98" s="312" t="s">
        <v>45</v>
      </c>
      <c r="M98" s="722"/>
      <c r="N98" s="722"/>
      <c r="O98" s="722"/>
      <c r="P98" s="722"/>
      <c r="Q98" s="611"/>
      <c r="R98" s="611"/>
      <c r="S98" s="624"/>
      <c r="T98" s="625"/>
      <c r="U98" s="626"/>
      <c r="V98" s="624"/>
      <c r="W98" s="624"/>
      <c r="X98" s="624"/>
      <c r="Y98" s="624"/>
      <c r="Z98" s="624"/>
      <c r="AA98" s="624"/>
      <c r="AB98" s="624"/>
      <c r="AC98" s="624"/>
      <c r="AD98" s="624"/>
      <c r="AE98" s="624"/>
      <c r="AF98" s="471"/>
      <c r="AG98" s="473"/>
      <c r="AH98" s="471"/>
      <c r="AI98" s="471"/>
      <c r="AJ98" s="471"/>
      <c r="AM98" s="404"/>
      <c r="AP98" s="404"/>
      <c r="AQ98" s="404"/>
    </row>
    <row r="99" spans="1:43" s="390" customFormat="1" ht="21.9" customHeight="1">
      <c r="A99" s="454"/>
      <c r="B99" s="659" t="s">
        <v>744</v>
      </c>
      <c r="C99" s="662"/>
      <c r="D99" s="662"/>
      <c r="E99" s="662"/>
      <c r="F99" s="498"/>
      <c r="G99" s="642"/>
      <c r="H99" s="647"/>
      <c r="I99" s="499"/>
      <c r="J99" s="455"/>
      <c r="K99" s="455"/>
      <c r="L99" s="312"/>
      <c r="M99" s="726"/>
      <c r="N99" s="726"/>
      <c r="O99" s="726"/>
      <c r="P99" s="726"/>
      <c r="Q99" s="611"/>
      <c r="R99" s="611"/>
      <c r="S99" s="624"/>
      <c r="T99" s="625"/>
      <c r="U99" s="626"/>
      <c r="V99" s="624"/>
      <c r="W99" s="624">
        <f t="shared" si="20"/>
        <v>0</v>
      </c>
      <c r="X99" s="624">
        <f t="shared" si="26"/>
        <v>0</v>
      </c>
      <c r="Y99" s="624">
        <f t="shared" ref="Y99:AE114" si="31">IF($R99=Y$5,$V99,0)</f>
        <v>0</v>
      </c>
      <c r="Z99" s="624">
        <f t="shared" si="31"/>
        <v>0</v>
      </c>
      <c r="AA99" s="624">
        <f t="shared" si="31"/>
        <v>0</v>
      </c>
      <c r="AB99" s="624">
        <f t="shared" si="31"/>
        <v>0</v>
      </c>
      <c r="AC99" s="624">
        <f t="shared" si="31"/>
        <v>0</v>
      </c>
      <c r="AD99" s="624">
        <f t="shared" si="31"/>
        <v>0</v>
      </c>
      <c r="AE99" s="624">
        <f t="shared" si="31"/>
        <v>0</v>
      </c>
      <c r="AF99" s="404"/>
      <c r="AG99" s="471"/>
      <c r="AH99" s="471"/>
      <c r="AI99" s="471"/>
      <c r="AJ99" s="471"/>
      <c r="AM99" s="404"/>
      <c r="AP99" s="404"/>
      <c r="AQ99" s="404"/>
    </row>
    <row r="100" spans="1:43" s="390" customFormat="1" ht="22.25" customHeight="1">
      <c r="A100" s="454"/>
      <c r="B100" s="657" t="s">
        <v>305</v>
      </c>
      <c r="C100" s="662"/>
      <c r="D100" s="662">
        <v>2</v>
      </c>
      <c r="E100" s="662">
        <v>2</v>
      </c>
      <c r="F100" s="498">
        <f>14.5-2*0.83</f>
        <v>12.84</v>
      </c>
      <c r="G100" s="642"/>
      <c r="H100" s="642">
        <v>1</v>
      </c>
      <c r="I100" s="499"/>
      <c r="J100" s="507">
        <f>IF(I100=0,1,I100)*IF(H100=0,1,H100)*IF(G100=0,1,G100)*IF(F100=0,1,F100)*IF(E100=0,1,E100)*IF(D100=0,1,D100)*IF(C100=0,1,C100)</f>
        <v>51.36</v>
      </c>
      <c r="K100" s="455"/>
      <c r="L100" s="312" t="s">
        <v>45</v>
      </c>
      <c r="M100" s="722"/>
      <c r="N100" s="722"/>
      <c r="O100" s="722"/>
      <c r="P100" s="722"/>
      <c r="Q100" s="611"/>
      <c r="R100" s="611"/>
      <c r="S100" s="611"/>
      <c r="T100" s="611"/>
      <c r="U100" s="611"/>
      <c r="V100" s="624"/>
      <c r="W100" s="624">
        <f t="shared" si="20"/>
        <v>0</v>
      </c>
      <c r="X100" s="624">
        <f t="shared" si="26"/>
        <v>0</v>
      </c>
      <c r="Y100" s="624">
        <f t="shared" si="31"/>
        <v>0</v>
      </c>
      <c r="Z100" s="624">
        <f t="shared" si="31"/>
        <v>0</v>
      </c>
      <c r="AA100" s="624">
        <f t="shared" si="31"/>
        <v>0</v>
      </c>
      <c r="AB100" s="624">
        <f t="shared" si="31"/>
        <v>0</v>
      </c>
      <c r="AC100" s="624">
        <f t="shared" si="31"/>
        <v>0</v>
      </c>
      <c r="AD100" s="624">
        <f t="shared" si="31"/>
        <v>0</v>
      </c>
      <c r="AE100" s="624">
        <f t="shared" si="31"/>
        <v>0</v>
      </c>
      <c r="AF100" s="471">
        <f>14*0.75*1*2</f>
        <v>21</v>
      </c>
      <c r="AG100" s="473"/>
      <c r="AH100" s="471"/>
      <c r="AI100" s="471"/>
      <c r="AJ100" s="471"/>
      <c r="AM100" s="404"/>
      <c r="AP100" s="404"/>
      <c r="AQ100" s="404"/>
    </row>
    <row r="101" spans="1:43" s="390" customFormat="1" ht="22.25" customHeight="1">
      <c r="A101" s="454"/>
      <c r="B101" s="657" t="s">
        <v>733</v>
      </c>
      <c r="C101" s="662"/>
      <c r="D101" s="662">
        <v>2</v>
      </c>
      <c r="E101" s="662">
        <v>1</v>
      </c>
      <c r="F101" s="498">
        <f>14.5-2*0.83</f>
        <v>12.84</v>
      </c>
      <c r="G101" s="642"/>
      <c r="H101" s="642">
        <f>H100</f>
        <v>1</v>
      </c>
      <c r="I101" s="499"/>
      <c r="J101" s="507">
        <f>IF(I101=0,1,I101)*IF(H101=0,1,H101)*IF(G101=0,1,G101)*IF(F101=0,1,F101)*IF(E101=0,1,E101)*IF(D101=0,1,D101)*IF(C101=0,1,C101)</f>
        <v>25.68</v>
      </c>
      <c r="K101" s="455"/>
      <c r="L101" s="312" t="s">
        <v>45</v>
      </c>
      <c r="M101" s="722"/>
      <c r="N101" s="722"/>
      <c r="O101" s="722"/>
      <c r="P101" s="722"/>
      <c r="Q101" s="611"/>
      <c r="R101" s="611"/>
      <c r="S101" s="611"/>
      <c r="T101" s="611"/>
      <c r="U101" s="611"/>
      <c r="V101" s="624"/>
      <c r="W101" s="624">
        <f t="shared" si="20"/>
        <v>0</v>
      </c>
      <c r="X101" s="624">
        <f t="shared" si="26"/>
        <v>0</v>
      </c>
      <c r="Y101" s="624">
        <f t="shared" si="31"/>
        <v>0</v>
      </c>
      <c r="Z101" s="624">
        <f t="shared" si="31"/>
        <v>0</v>
      </c>
      <c r="AA101" s="624">
        <f t="shared" si="31"/>
        <v>0</v>
      </c>
      <c r="AB101" s="624">
        <f t="shared" si="31"/>
        <v>0</v>
      </c>
      <c r="AC101" s="624">
        <f t="shared" si="31"/>
        <v>0</v>
      </c>
      <c r="AD101" s="624">
        <f t="shared" si="31"/>
        <v>0</v>
      </c>
      <c r="AE101" s="624">
        <f t="shared" si="31"/>
        <v>0</v>
      </c>
      <c r="AF101" s="471">
        <f>14*0.75*1*2</f>
        <v>21</v>
      </c>
      <c r="AG101" s="473"/>
      <c r="AH101" s="471"/>
      <c r="AI101" s="471"/>
      <c r="AJ101" s="471"/>
      <c r="AM101" s="404"/>
      <c r="AP101" s="404"/>
      <c r="AQ101" s="404"/>
    </row>
    <row r="102" spans="1:43" s="390" customFormat="1" ht="22.25" customHeight="1">
      <c r="A102" s="454"/>
      <c r="B102" s="657" t="s">
        <v>539</v>
      </c>
      <c r="C102" s="662"/>
      <c r="D102" s="662">
        <v>2</v>
      </c>
      <c r="E102" s="662">
        <v>1</v>
      </c>
      <c r="F102" s="498">
        <f>15-0.83</f>
        <v>14.17</v>
      </c>
      <c r="G102" s="642"/>
      <c r="H102" s="642">
        <f>H101</f>
        <v>1</v>
      </c>
      <c r="I102" s="499"/>
      <c r="J102" s="507">
        <f>IF(I102=0,1,I102)*IF(H102=0,1,H102)*IF(G102=0,1,G102)*IF(F102=0,1,F102)*IF(E102=0,1,E102)*IF(D102=0,1,D102)*IF(C102=0,1,C102)</f>
        <v>28.34</v>
      </c>
      <c r="K102" s="455"/>
      <c r="L102" s="312" t="s">
        <v>45</v>
      </c>
      <c r="M102" s="722"/>
      <c r="N102" s="722"/>
      <c r="O102" s="722"/>
      <c r="P102" s="722"/>
      <c r="Q102" s="611"/>
      <c r="R102" s="611"/>
      <c r="S102" s="624"/>
      <c r="T102" s="625"/>
      <c r="U102" s="626"/>
      <c r="V102" s="624"/>
      <c r="W102" s="624">
        <f t="shared" si="20"/>
        <v>0</v>
      </c>
      <c r="X102" s="624">
        <f t="shared" si="26"/>
        <v>0</v>
      </c>
      <c r="Y102" s="624">
        <f t="shared" si="31"/>
        <v>0</v>
      </c>
      <c r="Z102" s="624">
        <f t="shared" si="31"/>
        <v>0</v>
      </c>
      <c r="AA102" s="624">
        <f t="shared" si="31"/>
        <v>0</v>
      </c>
      <c r="AB102" s="624">
        <f t="shared" si="31"/>
        <v>0</v>
      </c>
      <c r="AC102" s="624">
        <f t="shared" si="31"/>
        <v>0</v>
      </c>
      <c r="AD102" s="624">
        <f t="shared" si="31"/>
        <v>0</v>
      </c>
      <c r="AE102" s="624">
        <f t="shared" si="31"/>
        <v>0</v>
      </c>
      <c r="AF102" s="471"/>
      <c r="AG102" s="473"/>
      <c r="AH102" s="471"/>
      <c r="AI102" s="471"/>
      <c r="AJ102" s="471"/>
      <c r="AM102" s="404"/>
      <c r="AP102" s="404"/>
      <c r="AQ102" s="404"/>
    </row>
    <row r="103" spans="1:43" s="390" customFormat="1" ht="22.25" customHeight="1">
      <c r="A103" s="454"/>
      <c r="B103" s="657" t="s">
        <v>540</v>
      </c>
      <c r="C103" s="662"/>
      <c r="D103" s="662">
        <v>2</v>
      </c>
      <c r="E103" s="662">
        <v>1</v>
      </c>
      <c r="F103" s="498">
        <f>30-3*0.83</f>
        <v>27.51</v>
      </c>
      <c r="G103" s="642"/>
      <c r="H103" s="642">
        <f>H102</f>
        <v>1</v>
      </c>
      <c r="I103" s="499"/>
      <c r="J103" s="507">
        <f>IF(I103=0,1,I103)*IF(H103=0,1,H103)*IF(G103=0,1,G103)*IF(F103=0,1,F103)*IF(E103=0,1,E103)*IF(D103=0,1,D103)*IF(C103=0,1,C103)</f>
        <v>55.02</v>
      </c>
      <c r="K103" s="455"/>
      <c r="L103" s="312" t="s">
        <v>45</v>
      </c>
      <c r="M103" s="722"/>
      <c r="N103" s="722"/>
      <c r="O103" s="722"/>
      <c r="P103" s="722"/>
      <c r="Q103" s="611"/>
      <c r="R103" s="611"/>
      <c r="S103" s="624"/>
      <c r="T103" s="625"/>
      <c r="U103" s="626"/>
      <c r="V103" s="624"/>
      <c r="W103" s="624">
        <f t="shared" si="20"/>
        <v>0</v>
      </c>
      <c r="X103" s="624">
        <f t="shared" si="26"/>
        <v>0</v>
      </c>
      <c r="Y103" s="624">
        <f t="shared" si="31"/>
        <v>0</v>
      </c>
      <c r="Z103" s="624">
        <f t="shared" si="31"/>
        <v>0</v>
      </c>
      <c r="AA103" s="624">
        <f t="shared" si="31"/>
        <v>0</v>
      </c>
      <c r="AB103" s="624">
        <f t="shared" si="31"/>
        <v>0</v>
      </c>
      <c r="AC103" s="624">
        <f t="shared" si="31"/>
        <v>0</v>
      </c>
      <c r="AD103" s="624">
        <f t="shared" si="31"/>
        <v>0</v>
      </c>
      <c r="AE103" s="624">
        <f t="shared" si="31"/>
        <v>0</v>
      </c>
      <c r="AF103" s="471"/>
      <c r="AG103" s="473"/>
      <c r="AH103" s="471"/>
      <c r="AI103" s="471"/>
      <c r="AJ103" s="471"/>
      <c r="AM103" s="404"/>
      <c r="AP103" s="404"/>
      <c r="AQ103" s="404"/>
    </row>
    <row r="104" spans="1:43" s="476" customFormat="1" ht="21.9" customHeight="1">
      <c r="A104" s="478"/>
      <c r="B104" s="659" t="s">
        <v>746</v>
      </c>
      <c r="C104" s="665"/>
      <c r="D104" s="665"/>
      <c r="E104" s="665"/>
      <c r="F104" s="751"/>
      <c r="G104" s="752"/>
      <c r="H104" s="914"/>
      <c r="I104" s="753"/>
      <c r="J104" s="479"/>
      <c r="K104" s="479"/>
      <c r="L104" s="483"/>
      <c r="M104" s="764"/>
      <c r="N104" s="764"/>
      <c r="O104" s="764"/>
      <c r="P104" s="764"/>
      <c r="Q104" s="919"/>
      <c r="R104" s="919"/>
      <c r="S104" s="757"/>
      <c r="T104" s="920"/>
      <c r="U104" s="921"/>
      <c r="V104" s="757"/>
      <c r="W104" s="757">
        <f t="shared" si="20"/>
        <v>0</v>
      </c>
      <c r="X104" s="757">
        <f t="shared" si="26"/>
        <v>0</v>
      </c>
      <c r="Y104" s="757">
        <f t="shared" si="31"/>
        <v>0</v>
      </c>
      <c r="Z104" s="757">
        <f t="shared" si="31"/>
        <v>0</v>
      </c>
      <c r="AA104" s="757">
        <f t="shared" si="31"/>
        <v>0</v>
      </c>
      <c r="AB104" s="757">
        <f t="shared" si="31"/>
        <v>0</v>
      </c>
      <c r="AC104" s="757">
        <f t="shared" si="31"/>
        <v>0</v>
      </c>
      <c r="AD104" s="757">
        <f t="shared" si="31"/>
        <v>0</v>
      </c>
      <c r="AE104" s="757">
        <f t="shared" si="31"/>
        <v>0</v>
      </c>
      <c r="AF104" s="477"/>
      <c r="AG104" s="475"/>
      <c r="AH104" s="475"/>
      <c r="AI104" s="475"/>
      <c r="AJ104" s="475"/>
      <c r="AM104" s="477"/>
      <c r="AP104" s="477"/>
      <c r="AQ104" s="477"/>
    </row>
    <row r="105" spans="1:43" s="390" customFormat="1" ht="22.25" customHeight="1">
      <c r="A105" s="454"/>
      <c r="B105" s="657" t="s">
        <v>747</v>
      </c>
      <c r="C105" s="662"/>
      <c r="D105" s="662">
        <v>2</v>
      </c>
      <c r="E105" s="662">
        <v>3</v>
      </c>
      <c r="F105" s="498">
        <f>14.5-2*0.83</f>
        <v>12.84</v>
      </c>
      <c r="G105" s="642"/>
      <c r="H105" s="642">
        <v>1</v>
      </c>
      <c r="I105" s="499"/>
      <c r="J105" s="507">
        <f>IF(I105=0,1,I105)*IF(H105=0,1,H105)*IF(G105=0,1,G105)*IF(F105=0,1,F105)*IF(E105=0,1,E105)*IF(D105=0,1,D105)*IF(C105=0,1,C105)</f>
        <v>77.039999999999992</v>
      </c>
      <c r="K105" s="455"/>
      <c r="L105" s="312" t="s">
        <v>45</v>
      </c>
      <c r="M105" s="722"/>
      <c r="N105" s="722"/>
      <c r="O105" s="722"/>
      <c r="P105" s="722"/>
      <c r="Q105" s="611"/>
      <c r="R105" s="611"/>
      <c r="S105" s="624"/>
      <c r="T105" s="625"/>
      <c r="U105" s="626"/>
      <c r="V105" s="624"/>
      <c r="W105" s="624">
        <f>IF($R105=W$5,$V105,0)</f>
        <v>0</v>
      </c>
      <c r="X105" s="624">
        <f t="shared" si="26"/>
        <v>0</v>
      </c>
      <c r="Y105" s="624">
        <f t="shared" ref="Y105:AE106" si="32">IF($R105=Y$5,$V105,0)</f>
        <v>0</v>
      </c>
      <c r="Z105" s="624">
        <f t="shared" si="32"/>
        <v>0</v>
      </c>
      <c r="AA105" s="624">
        <f t="shared" si="32"/>
        <v>0</v>
      </c>
      <c r="AB105" s="624">
        <f t="shared" si="32"/>
        <v>0</v>
      </c>
      <c r="AC105" s="624">
        <f t="shared" si="32"/>
        <v>0</v>
      </c>
      <c r="AD105" s="624">
        <f t="shared" si="32"/>
        <v>0</v>
      </c>
      <c r="AE105" s="624">
        <f t="shared" si="32"/>
        <v>0</v>
      </c>
      <c r="AF105" s="471"/>
      <c r="AG105" s="473"/>
      <c r="AH105" s="471"/>
      <c r="AI105" s="471"/>
      <c r="AJ105" s="471"/>
      <c r="AM105" s="404"/>
      <c r="AP105" s="404"/>
      <c r="AQ105" s="404"/>
    </row>
    <row r="106" spans="1:43" s="390" customFormat="1" ht="22.25" customHeight="1">
      <c r="A106" s="454"/>
      <c r="B106" s="657" t="s">
        <v>559</v>
      </c>
      <c r="C106" s="662"/>
      <c r="D106" s="662">
        <v>2</v>
      </c>
      <c r="E106" s="662">
        <v>1</v>
      </c>
      <c r="F106" s="498">
        <f>5-0.83</f>
        <v>4.17</v>
      </c>
      <c r="G106" s="642"/>
      <c r="H106" s="642">
        <f>H105</f>
        <v>1</v>
      </c>
      <c r="I106" s="499"/>
      <c r="J106" s="507">
        <f>IF(I106=0,1,I106)*IF(H106=0,1,H106)*IF(G106=0,1,G106)*IF(F106=0,1,F106)*IF(E106=0,1,E106)*IF(D106=0,1,D106)*IF(C106=0,1,C106)</f>
        <v>8.34</v>
      </c>
      <c r="K106" s="455"/>
      <c r="L106" s="312" t="s">
        <v>45</v>
      </c>
      <c r="M106" s="722"/>
      <c r="N106" s="722"/>
      <c r="O106" s="722"/>
      <c r="P106" s="722"/>
      <c r="Q106" s="611"/>
      <c r="R106" s="611"/>
      <c r="S106" s="624"/>
      <c r="T106" s="625"/>
      <c r="U106" s="626"/>
      <c r="V106" s="624"/>
      <c r="W106" s="624">
        <f>IF($R106=W$5,$V106,0)</f>
        <v>0</v>
      </c>
      <c r="X106" s="624">
        <f t="shared" si="26"/>
        <v>0</v>
      </c>
      <c r="Y106" s="624">
        <f t="shared" si="32"/>
        <v>0</v>
      </c>
      <c r="Z106" s="624">
        <f t="shared" si="32"/>
        <v>0</v>
      </c>
      <c r="AA106" s="624">
        <f t="shared" si="32"/>
        <v>0</v>
      </c>
      <c r="AB106" s="624">
        <f t="shared" si="32"/>
        <v>0</v>
      </c>
      <c r="AC106" s="624">
        <f t="shared" si="32"/>
        <v>0</v>
      </c>
      <c r="AD106" s="624">
        <f t="shared" si="32"/>
        <v>0</v>
      </c>
      <c r="AE106" s="624">
        <f t="shared" si="32"/>
        <v>0</v>
      </c>
      <c r="AF106" s="471"/>
      <c r="AG106" s="473"/>
      <c r="AH106" s="471"/>
      <c r="AI106" s="471"/>
      <c r="AJ106" s="471"/>
      <c r="AM106" s="404"/>
      <c r="AP106" s="404"/>
      <c r="AQ106" s="404"/>
    </row>
    <row r="107" spans="1:43" s="390" customFormat="1" ht="22.25" customHeight="1">
      <c r="A107" s="454"/>
      <c r="B107" s="657" t="s">
        <v>472</v>
      </c>
      <c r="C107" s="662"/>
      <c r="D107" s="662">
        <v>2</v>
      </c>
      <c r="E107" s="662">
        <v>1</v>
      </c>
      <c r="F107" s="498">
        <f>15-0.83</f>
        <v>14.17</v>
      </c>
      <c r="G107" s="642"/>
      <c r="H107" s="642">
        <f>H106</f>
        <v>1</v>
      </c>
      <c r="I107" s="499"/>
      <c r="J107" s="507">
        <f>IF(I107=0,1,I107)*IF(H107=0,1,H107)*IF(G107=0,1,G107)*IF(F107=0,1,F107)*IF(E107=0,1,E107)*IF(D107=0,1,D107)*IF(C107=0,1,C107)</f>
        <v>28.34</v>
      </c>
      <c r="K107" s="455"/>
      <c r="L107" s="312" t="s">
        <v>45</v>
      </c>
      <c r="M107" s="722"/>
      <c r="N107" s="722"/>
      <c r="O107" s="722"/>
      <c r="P107" s="722"/>
      <c r="Q107" s="611"/>
      <c r="R107" s="611"/>
      <c r="S107" s="611"/>
      <c r="T107" s="611"/>
      <c r="U107" s="611"/>
      <c r="V107" s="624"/>
      <c r="W107" s="624">
        <f t="shared" si="20"/>
        <v>0</v>
      </c>
      <c r="X107" s="624">
        <f t="shared" si="26"/>
        <v>0</v>
      </c>
      <c r="Y107" s="624">
        <f t="shared" si="31"/>
        <v>0</v>
      </c>
      <c r="Z107" s="624">
        <f t="shared" si="31"/>
        <v>0</v>
      </c>
      <c r="AA107" s="624">
        <f t="shared" si="31"/>
        <v>0</v>
      </c>
      <c r="AB107" s="624">
        <f t="shared" si="31"/>
        <v>0</v>
      </c>
      <c r="AC107" s="624">
        <f t="shared" si="31"/>
        <v>0</v>
      </c>
      <c r="AD107" s="624">
        <f t="shared" si="31"/>
        <v>0</v>
      </c>
      <c r="AE107" s="624">
        <f t="shared" si="31"/>
        <v>0</v>
      </c>
      <c r="AF107" s="471">
        <f>14*0.75*1*2</f>
        <v>21</v>
      </c>
      <c r="AG107" s="473"/>
      <c r="AH107" s="471"/>
      <c r="AI107" s="471"/>
      <c r="AJ107" s="471"/>
      <c r="AM107" s="404"/>
      <c r="AP107" s="404"/>
      <c r="AQ107" s="404"/>
    </row>
    <row r="108" spans="1:43" s="390" customFormat="1" ht="22.25" customHeight="1">
      <c r="A108" s="454"/>
      <c r="B108" s="657" t="s">
        <v>473</v>
      </c>
      <c r="C108" s="662"/>
      <c r="D108" s="662">
        <v>2</v>
      </c>
      <c r="E108" s="662">
        <v>1</v>
      </c>
      <c r="F108" s="498">
        <f>45+5-4*0.83-1*1</f>
        <v>45.68</v>
      </c>
      <c r="G108" s="642"/>
      <c r="H108" s="642">
        <f>H107</f>
        <v>1</v>
      </c>
      <c r="I108" s="499"/>
      <c r="J108" s="507">
        <f>IF(I108=0,1,I108)*IF(H108=0,1,H108)*IF(G108=0,1,G108)*IF(F108=0,1,F108)*IF(E108=0,1,E108)*IF(D108=0,1,D108)*IF(C108=0,1,C108)</f>
        <v>91.36</v>
      </c>
      <c r="K108" s="455"/>
      <c r="L108" s="312" t="s">
        <v>45</v>
      </c>
      <c r="M108" s="722"/>
      <c r="N108" s="722"/>
      <c r="O108" s="722"/>
      <c r="P108" s="722"/>
      <c r="Q108" s="611"/>
      <c r="R108" s="611"/>
      <c r="S108" s="611"/>
      <c r="T108" s="611"/>
      <c r="U108" s="611"/>
      <c r="V108" s="624"/>
      <c r="W108" s="624">
        <f t="shared" si="20"/>
        <v>0</v>
      </c>
      <c r="X108" s="624">
        <f t="shared" si="26"/>
        <v>0</v>
      </c>
      <c r="Y108" s="624">
        <f t="shared" si="31"/>
        <v>0</v>
      </c>
      <c r="Z108" s="624">
        <f t="shared" si="31"/>
        <v>0</v>
      </c>
      <c r="AA108" s="624">
        <f t="shared" si="31"/>
        <v>0</v>
      </c>
      <c r="AB108" s="624">
        <f t="shared" si="31"/>
        <v>0</v>
      </c>
      <c r="AC108" s="624">
        <f t="shared" si="31"/>
        <v>0</v>
      </c>
      <c r="AD108" s="624">
        <f t="shared" si="31"/>
        <v>0</v>
      </c>
      <c r="AE108" s="624">
        <f t="shared" si="31"/>
        <v>0</v>
      </c>
      <c r="AF108" s="471">
        <f>14*0.75*1*2</f>
        <v>21</v>
      </c>
      <c r="AG108" s="473"/>
      <c r="AH108" s="471"/>
      <c r="AI108" s="471"/>
      <c r="AJ108" s="471"/>
      <c r="AM108" s="404"/>
      <c r="AP108" s="404"/>
      <c r="AQ108" s="404"/>
    </row>
    <row r="109" spans="1:43" s="390" customFormat="1" ht="22.25" customHeight="1">
      <c r="A109" s="454"/>
      <c r="B109" s="657" t="s">
        <v>609</v>
      </c>
      <c r="C109" s="662"/>
      <c r="D109" s="662">
        <v>2</v>
      </c>
      <c r="E109" s="662">
        <v>1</v>
      </c>
      <c r="F109" s="498">
        <f>15-1.5*0.83</f>
        <v>13.755000000000001</v>
      </c>
      <c r="G109" s="642"/>
      <c r="H109" s="642">
        <f>H108</f>
        <v>1</v>
      </c>
      <c r="I109" s="499"/>
      <c r="J109" s="507">
        <f>IF(I109=0,1,I109)*IF(H109=0,1,H109)*IF(G109=0,1,G109)*IF(F109=0,1,F109)*IF(E109=0,1,E109)*IF(D109=0,1,D109)*IF(C109=0,1,C109)</f>
        <v>27.51</v>
      </c>
      <c r="K109" s="455"/>
      <c r="L109" s="312" t="s">
        <v>45</v>
      </c>
      <c r="M109" s="722"/>
      <c r="N109" s="722"/>
      <c r="O109" s="722"/>
      <c r="P109" s="722"/>
      <c r="Q109" s="611"/>
      <c r="R109" s="611"/>
      <c r="S109" s="611"/>
      <c r="T109" s="611"/>
      <c r="U109" s="611"/>
      <c r="V109" s="624"/>
      <c r="W109" s="624">
        <f t="shared" si="20"/>
        <v>0</v>
      </c>
      <c r="X109" s="624">
        <f t="shared" si="26"/>
        <v>0</v>
      </c>
      <c r="Y109" s="624">
        <f t="shared" si="31"/>
        <v>0</v>
      </c>
      <c r="Z109" s="624">
        <f t="shared" si="31"/>
        <v>0</v>
      </c>
      <c r="AA109" s="624">
        <f t="shared" si="31"/>
        <v>0</v>
      </c>
      <c r="AB109" s="624">
        <f t="shared" si="31"/>
        <v>0</v>
      </c>
      <c r="AC109" s="624">
        <f t="shared" si="31"/>
        <v>0</v>
      </c>
      <c r="AD109" s="624">
        <f t="shared" si="31"/>
        <v>0</v>
      </c>
      <c r="AE109" s="624">
        <f t="shared" si="31"/>
        <v>0</v>
      </c>
      <c r="AF109" s="471">
        <f>14*0.75*1*2</f>
        <v>21</v>
      </c>
      <c r="AG109" s="473"/>
      <c r="AH109" s="471"/>
      <c r="AI109" s="471"/>
      <c r="AJ109" s="471"/>
      <c r="AM109" s="404"/>
      <c r="AP109" s="404"/>
      <c r="AQ109" s="404"/>
    </row>
    <row r="110" spans="1:43" s="390" customFormat="1" ht="21.9" customHeight="1">
      <c r="A110" s="454"/>
      <c r="B110" s="659" t="s">
        <v>748</v>
      </c>
      <c r="C110" s="662"/>
      <c r="D110" s="662"/>
      <c r="E110" s="662"/>
      <c r="F110" s="498"/>
      <c r="G110" s="642"/>
      <c r="H110" s="647"/>
      <c r="I110" s="499"/>
      <c r="J110" s="455"/>
      <c r="K110" s="455"/>
      <c r="L110" s="312"/>
      <c r="M110" s="726"/>
      <c r="N110" s="726"/>
      <c r="O110" s="726"/>
      <c r="P110" s="726"/>
      <c r="Q110" s="611"/>
      <c r="R110" s="611"/>
      <c r="S110" s="624"/>
      <c r="T110" s="625"/>
      <c r="U110" s="626"/>
      <c r="V110" s="624"/>
      <c r="W110" s="624">
        <f t="shared" si="20"/>
        <v>0</v>
      </c>
      <c r="X110" s="624">
        <f t="shared" si="26"/>
        <v>0</v>
      </c>
      <c r="Y110" s="624">
        <f t="shared" si="31"/>
        <v>0</v>
      </c>
      <c r="Z110" s="624">
        <f t="shared" si="31"/>
        <v>0</v>
      </c>
      <c r="AA110" s="624">
        <f t="shared" si="31"/>
        <v>0</v>
      </c>
      <c r="AB110" s="624">
        <f t="shared" si="31"/>
        <v>0</v>
      </c>
      <c r="AC110" s="624">
        <f t="shared" si="31"/>
        <v>0</v>
      </c>
      <c r="AD110" s="624">
        <f t="shared" si="31"/>
        <v>0</v>
      </c>
      <c r="AE110" s="624">
        <f t="shared" si="31"/>
        <v>0</v>
      </c>
      <c r="AF110" s="404"/>
      <c r="AG110" s="471"/>
      <c r="AH110" s="471"/>
      <c r="AI110" s="471"/>
      <c r="AJ110" s="471"/>
      <c r="AM110" s="404"/>
      <c r="AP110" s="404"/>
      <c r="AQ110" s="404"/>
    </row>
    <row r="111" spans="1:43" s="390" customFormat="1" ht="22.25" customHeight="1">
      <c r="A111" s="454"/>
      <c r="B111" s="657" t="s">
        <v>474</v>
      </c>
      <c r="C111" s="662"/>
      <c r="D111" s="662">
        <v>2</v>
      </c>
      <c r="E111" s="662">
        <v>1</v>
      </c>
      <c r="F111" s="498">
        <f>14.5-2*0.83</f>
        <v>12.84</v>
      </c>
      <c r="G111" s="642"/>
      <c r="H111" s="642">
        <v>1.17</v>
      </c>
      <c r="I111" s="499"/>
      <c r="J111" s="507">
        <f>IF(I111=0,1,I111)*IF(H111=0,1,H111)*IF(G111=0,1,G111)*IF(F111=0,1,F111)*IF(E111=0,1,E111)*IF(D111=0,1,D111)*IF(C111=0,1,C111)</f>
        <v>30.045599999999997</v>
      </c>
      <c r="K111" s="455"/>
      <c r="L111" s="312" t="s">
        <v>45</v>
      </c>
      <c r="M111" s="722"/>
      <c r="N111" s="722"/>
      <c r="O111" s="722"/>
      <c r="P111" s="722"/>
      <c r="Q111" s="611"/>
      <c r="R111" s="611"/>
      <c r="S111" s="611"/>
      <c r="T111" s="611"/>
      <c r="U111" s="611"/>
      <c r="V111" s="624"/>
      <c r="W111" s="624">
        <f t="shared" si="20"/>
        <v>0</v>
      </c>
      <c r="X111" s="624">
        <f t="shared" si="26"/>
        <v>0</v>
      </c>
      <c r="Y111" s="624">
        <f t="shared" si="31"/>
        <v>0</v>
      </c>
      <c r="Z111" s="624">
        <f t="shared" si="31"/>
        <v>0</v>
      </c>
      <c r="AA111" s="624">
        <f t="shared" si="31"/>
        <v>0</v>
      </c>
      <c r="AB111" s="624">
        <f t="shared" si="31"/>
        <v>0</v>
      </c>
      <c r="AC111" s="624">
        <f t="shared" si="31"/>
        <v>0</v>
      </c>
      <c r="AD111" s="624">
        <f t="shared" si="31"/>
        <v>0</v>
      </c>
      <c r="AE111" s="624">
        <f t="shared" si="31"/>
        <v>0</v>
      </c>
      <c r="AF111" s="471">
        <f>14*0.75*1*2</f>
        <v>21</v>
      </c>
      <c r="AG111" s="473"/>
      <c r="AH111" s="471"/>
      <c r="AI111" s="471"/>
      <c r="AJ111" s="471"/>
      <c r="AM111" s="404"/>
      <c r="AP111" s="404"/>
      <c r="AQ111" s="404"/>
    </row>
    <row r="112" spans="1:43" s="390" customFormat="1" ht="22.25" customHeight="1">
      <c r="A112" s="454"/>
      <c r="B112" s="657" t="s">
        <v>749</v>
      </c>
      <c r="C112" s="662"/>
      <c r="D112" s="662">
        <v>2</v>
      </c>
      <c r="E112" s="662">
        <v>2</v>
      </c>
      <c r="F112" s="498">
        <f>30-3*0.83</f>
        <v>27.51</v>
      </c>
      <c r="G112" s="642"/>
      <c r="H112" s="642">
        <v>1.17</v>
      </c>
      <c r="I112" s="499"/>
      <c r="J112" s="507">
        <f>IF(I112=0,1,I112)*IF(H112=0,1,H112)*IF(G112=0,1,G112)*IF(F112=0,1,F112)*IF(E112=0,1,E112)*IF(D112=0,1,D112)*IF(C112=0,1,C112)</f>
        <v>128.74680000000001</v>
      </c>
      <c r="K112" s="455"/>
      <c r="L112" s="312" t="s">
        <v>45</v>
      </c>
      <c r="M112" s="722"/>
      <c r="N112" s="722"/>
      <c r="O112" s="722"/>
      <c r="P112" s="722"/>
      <c r="Q112" s="611"/>
      <c r="R112" s="611"/>
      <c r="S112" s="611"/>
      <c r="T112" s="611"/>
      <c r="U112" s="611"/>
      <c r="V112" s="624"/>
      <c r="W112" s="624"/>
      <c r="X112" s="624"/>
      <c r="Y112" s="624"/>
      <c r="Z112" s="624"/>
      <c r="AA112" s="624"/>
      <c r="AB112" s="624"/>
      <c r="AC112" s="624"/>
      <c r="AD112" s="624"/>
      <c r="AE112" s="624"/>
      <c r="AF112" s="471"/>
      <c r="AG112" s="473"/>
      <c r="AH112" s="471"/>
      <c r="AI112" s="471"/>
      <c r="AJ112" s="471"/>
      <c r="AM112" s="404"/>
      <c r="AP112" s="404"/>
      <c r="AQ112" s="404"/>
    </row>
    <row r="113" spans="1:43" s="390" customFormat="1" ht="21.9" customHeight="1">
      <c r="A113" s="454"/>
      <c r="B113" s="659" t="s">
        <v>750</v>
      </c>
      <c r="C113" s="662"/>
      <c r="D113" s="662"/>
      <c r="E113" s="662"/>
      <c r="F113" s="498"/>
      <c r="G113" s="642"/>
      <c r="H113" s="647"/>
      <c r="I113" s="499"/>
      <c r="J113" s="455"/>
      <c r="K113" s="455"/>
      <c r="L113" s="312"/>
      <c r="M113" s="726"/>
      <c r="N113" s="726"/>
      <c r="O113" s="726"/>
      <c r="P113" s="726"/>
      <c r="Q113" s="611"/>
      <c r="R113" s="611"/>
      <c r="S113" s="624"/>
      <c r="T113" s="625"/>
      <c r="U113" s="626"/>
      <c r="V113" s="624"/>
      <c r="W113" s="624">
        <f t="shared" si="20"/>
        <v>0</v>
      </c>
      <c r="X113" s="624">
        <f t="shared" si="26"/>
        <v>0</v>
      </c>
      <c r="Y113" s="624">
        <f t="shared" si="31"/>
        <v>0</v>
      </c>
      <c r="Z113" s="624">
        <f t="shared" si="31"/>
        <v>0</v>
      </c>
      <c r="AA113" s="624">
        <f t="shared" si="31"/>
        <v>0</v>
      </c>
      <c r="AB113" s="624">
        <f t="shared" si="31"/>
        <v>0</v>
      </c>
      <c r="AC113" s="624">
        <f t="shared" si="31"/>
        <v>0</v>
      </c>
      <c r="AD113" s="624">
        <f t="shared" si="31"/>
        <v>0</v>
      </c>
      <c r="AE113" s="624">
        <f t="shared" si="31"/>
        <v>0</v>
      </c>
      <c r="AF113" s="404"/>
      <c r="AG113" s="471"/>
      <c r="AH113" s="471"/>
      <c r="AI113" s="471"/>
      <c r="AJ113" s="471"/>
      <c r="AM113" s="404"/>
      <c r="AP113" s="404"/>
      <c r="AQ113" s="404"/>
    </row>
    <row r="114" spans="1:43" s="390" customFormat="1" ht="22.25" customHeight="1">
      <c r="A114" s="454"/>
      <c r="B114" s="657" t="s">
        <v>471</v>
      </c>
      <c r="C114" s="662"/>
      <c r="D114" s="662">
        <v>2</v>
      </c>
      <c r="E114" s="662">
        <v>1</v>
      </c>
      <c r="F114" s="498">
        <f>14.5-2*0.83</f>
        <v>12.84</v>
      </c>
      <c r="G114" s="642"/>
      <c r="H114" s="642">
        <v>1.5</v>
      </c>
      <c r="I114" s="499"/>
      <c r="J114" s="507">
        <f>IF(I114=0,1,I114)*IF(H114=0,1,H114)*IF(G114=0,1,G114)*IF(F114=0,1,F114)*IF(E114=0,1,E114)*IF(D114=0,1,D114)*IF(C114=0,1,C114)</f>
        <v>38.519999999999996</v>
      </c>
      <c r="K114" s="455"/>
      <c r="L114" s="312" t="s">
        <v>45</v>
      </c>
      <c r="M114" s="722"/>
      <c r="N114" s="722"/>
      <c r="O114" s="722"/>
      <c r="P114" s="722"/>
      <c r="Q114" s="611"/>
      <c r="R114" s="611"/>
      <c r="S114" s="611"/>
      <c r="T114" s="611"/>
      <c r="U114" s="611"/>
      <c r="V114" s="624"/>
      <c r="W114" s="624">
        <f t="shared" si="20"/>
        <v>0</v>
      </c>
      <c r="X114" s="624">
        <f t="shared" si="26"/>
        <v>0</v>
      </c>
      <c r="Y114" s="624">
        <f t="shared" si="31"/>
        <v>0</v>
      </c>
      <c r="Z114" s="624">
        <f t="shared" si="31"/>
        <v>0</v>
      </c>
      <c r="AA114" s="624">
        <f t="shared" si="31"/>
        <v>0</v>
      </c>
      <c r="AB114" s="624">
        <f t="shared" si="31"/>
        <v>0</v>
      </c>
      <c r="AC114" s="624">
        <f t="shared" si="31"/>
        <v>0</v>
      </c>
      <c r="AD114" s="624">
        <f t="shared" si="31"/>
        <v>0</v>
      </c>
      <c r="AE114" s="624">
        <f t="shared" si="31"/>
        <v>0</v>
      </c>
      <c r="AF114" s="471">
        <f>14*0.75*1*2</f>
        <v>21</v>
      </c>
      <c r="AG114" s="473"/>
      <c r="AH114" s="471"/>
      <c r="AI114" s="471"/>
      <c r="AJ114" s="471"/>
      <c r="AM114" s="404"/>
      <c r="AP114" s="404"/>
      <c r="AQ114" s="404"/>
    </row>
    <row r="115" spans="1:43" s="390" customFormat="1" ht="21.9" customHeight="1">
      <c r="A115" s="454"/>
      <c r="B115" s="659" t="s">
        <v>751</v>
      </c>
      <c r="C115" s="662"/>
      <c r="D115" s="662"/>
      <c r="E115" s="662"/>
      <c r="F115" s="498"/>
      <c r="G115" s="642"/>
      <c r="H115" s="647"/>
      <c r="I115" s="499"/>
      <c r="J115" s="455"/>
      <c r="K115" s="455"/>
      <c r="L115" s="312"/>
      <c r="M115" s="726"/>
      <c r="N115" s="726"/>
      <c r="O115" s="726"/>
      <c r="P115" s="726"/>
      <c r="Q115" s="611"/>
      <c r="R115" s="611"/>
      <c r="S115" s="624"/>
      <c r="T115" s="625"/>
      <c r="U115" s="626"/>
      <c r="V115" s="624"/>
      <c r="W115" s="624">
        <f t="shared" si="20"/>
        <v>0</v>
      </c>
      <c r="X115" s="624">
        <f t="shared" si="26"/>
        <v>0</v>
      </c>
      <c r="Y115" s="624">
        <f t="shared" ref="Y115:AE120" si="33">IF($R115=Y$5,$V115,0)</f>
        <v>0</v>
      </c>
      <c r="Z115" s="624">
        <f t="shared" si="33"/>
        <v>0</v>
      </c>
      <c r="AA115" s="624">
        <f t="shared" si="33"/>
        <v>0</v>
      </c>
      <c r="AB115" s="624">
        <f t="shared" si="33"/>
        <v>0</v>
      </c>
      <c r="AC115" s="624">
        <f t="shared" si="33"/>
        <v>0</v>
      </c>
      <c r="AD115" s="624">
        <f t="shared" si="33"/>
        <v>0</v>
      </c>
      <c r="AE115" s="624">
        <f t="shared" si="33"/>
        <v>0</v>
      </c>
      <c r="AF115" s="404"/>
      <c r="AG115" s="471"/>
      <c r="AH115" s="471"/>
      <c r="AI115" s="471"/>
      <c r="AJ115" s="471"/>
      <c r="AM115" s="404"/>
      <c r="AP115" s="404"/>
      <c r="AQ115" s="404"/>
    </row>
    <row r="116" spans="1:43" s="390" customFormat="1" ht="22.25" customHeight="1">
      <c r="A116" s="454"/>
      <c r="B116" s="657" t="s">
        <v>733</v>
      </c>
      <c r="C116" s="662"/>
      <c r="D116" s="662">
        <v>2</v>
      </c>
      <c r="E116" s="662">
        <v>1</v>
      </c>
      <c r="F116" s="498">
        <f>14.5+6-2*1</f>
        <v>18.5</v>
      </c>
      <c r="G116" s="642"/>
      <c r="H116" s="642">
        <v>1.33</v>
      </c>
      <c r="I116" s="499"/>
      <c r="J116" s="507">
        <f>IF(I116=0,1,I116)*IF(H116=0,1,H116)*IF(G116=0,1,G116)*IF(F116=0,1,F116)*IF(E116=0,1,E116)*IF(D116=0,1,D116)*IF(C116=0,1,C116)</f>
        <v>49.21</v>
      </c>
      <c r="K116" s="455"/>
      <c r="L116" s="312" t="s">
        <v>45</v>
      </c>
      <c r="M116" s="722"/>
      <c r="N116" s="722"/>
      <c r="O116" s="722"/>
      <c r="P116" s="722"/>
      <c r="Q116" s="611"/>
      <c r="R116" s="611"/>
      <c r="S116" s="624"/>
      <c r="T116" s="625"/>
      <c r="U116" s="626"/>
      <c r="V116" s="624"/>
      <c r="W116" s="624">
        <f t="shared" si="20"/>
        <v>0</v>
      </c>
      <c r="X116" s="624">
        <f t="shared" si="26"/>
        <v>0</v>
      </c>
      <c r="Y116" s="624">
        <f t="shared" si="33"/>
        <v>0</v>
      </c>
      <c r="Z116" s="624">
        <f t="shared" si="33"/>
        <v>0</v>
      </c>
      <c r="AA116" s="624">
        <f t="shared" si="33"/>
        <v>0</v>
      </c>
      <c r="AB116" s="624">
        <f t="shared" si="33"/>
        <v>0</v>
      </c>
      <c r="AC116" s="624">
        <f t="shared" si="33"/>
        <v>0</v>
      </c>
      <c r="AD116" s="624">
        <f t="shared" si="33"/>
        <v>0</v>
      </c>
      <c r="AE116" s="624">
        <f t="shared" si="33"/>
        <v>0</v>
      </c>
      <c r="AF116" s="471"/>
      <c r="AG116" s="473"/>
      <c r="AH116" s="471"/>
      <c r="AI116" s="471"/>
      <c r="AJ116" s="471"/>
      <c r="AM116" s="404"/>
      <c r="AP116" s="404"/>
      <c r="AQ116" s="404"/>
    </row>
    <row r="117" spans="1:43" s="390" customFormat="1" ht="21.9" customHeight="1">
      <c r="A117" s="454"/>
      <c r="B117" s="659" t="s">
        <v>752</v>
      </c>
      <c r="C117" s="662"/>
      <c r="D117" s="662"/>
      <c r="E117" s="662"/>
      <c r="F117" s="498"/>
      <c r="G117" s="642"/>
      <c r="H117" s="647"/>
      <c r="I117" s="499"/>
      <c r="J117" s="455"/>
      <c r="K117" s="455"/>
      <c r="L117" s="312"/>
      <c r="M117" s="726"/>
      <c r="N117" s="726"/>
      <c r="O117" s="726"/>
      <c r="P117" s="726"/>
      <c r="Q117" s="611"/>
      <c r="R117" s="611"/>
      <c r="S117" s="624"/>
      <c r="T117" s="625"/>
      <c r="U117" s="626"/>
      <c r="V117" s="624"/>
      <c r="W117" s="624">
        <f t="shared" si="20"/>
        <v>0</v>
      </c>
      <c r="X117" s="624">
        <f t="shared" si="26"/>
        <v>0</v>
      </c>
      <c r="Y117" s="624">
        <f t="shared" si="33"/>
        <v>0</v>
      </c>
      <c r="Z117" s="624">
        <f t="shared" si="33"/>
        <v>0</v>
      </c>
      <c r="AA117" s="624">
        <f t="shared" si="33"/>
        <v>0</v>
      </c>
      <c r="AB117" s="624">
        <f t="shared" si="33"/>
        <v>0</v>
      </c>
      <c r="AC117" s="624">
        <f t="shared" si="33"/>
        <v>0</v>
      </c>
      <c r="AD117" s="624">
        <f t="shared" si="33"/>
        <v>0</v>
      </c>
      <c r="AE117" s="624">
        <f t="shared" si="33"/>
        <v>0</v>
      </c>
      <c r="AF117" s="404"/>
      <c r="AG117" s="471"/>
      <c r="AH117" s="471"/>
      <c r="AI117" s="471"/>
      <c r="AJ117" s="471"/>
      <c r="AM117" s="404"/>
      <c r="AP117" s="404"/>
      <c r="AQ117" s="404"/>
    </row>
    <row r="118" spans="1:43" s="390" customFormat="1" ht="22.25" customHeight="1">
      <c r="A118" s="454"/>
      <c r="B118" s="657" t="s">
        <v>474</v>
      </c>
      <c r="C118" s="662"/>
      <c r="D118" s="662">
        <v>2</v>
      </c>
      <c r="E118" s="662">
        <v>1</v>
      </c>
      <c r="F118" s="498">
        <f>14.5-2*0.83</f>
        <v>12.84</v>
      </c>
      <c r="G118" s="642"/>
      <c r="H118" s="642">
        <v>1.17</v>
      </c>
      <c r="I118" s="499"/>
      <c r="J118" s="507">
        <f>IF(I118=0,1,I118)*IF(H118=0,1,H118)*IF(G118=0,1,G118)*IF(F118=0,1,F118)*IF(E118=0,1,E118)*IF(D118=0,1,D118)*IF(C118=0,1,C118)</f>
        <v>30.045599999999997</v>
      </c>
      <c r="K118" s="455"/>
      <c r="L118" s="312" t="s">
        <v>45</v>
      </c>
      <c r="M118" s="722"/>
      <c r="N118" s="722"/>
      <c r="O118" s="722"/>
      <c r="P118" s="722"/>
      <c r="Q118" s="611"/>
      <c r="R118" s="611"/>
      <c r="S118" s="624"/>
      <c r="T118" s="625"/>
      <c r="U118" s="626"/>
      <c r="V118" s="624"/>
      <c r="W118" s="624">
        <f t="shared" si="20"/>
        <v>0</v>
      </c>
      <c r="X118" s="624">
        <f t="shared" si="26"/>
        <v>0</v>
      </c>
      <c r="Y118" s="624">
        <f t="shared" si="33"/>
        <v>0</v>
      </c>
      <c r="Z118" s="624">
        <f t="shared" si="33"/>
        <v>0</v>
      </c>
      <c r="AA118" s="624">
        <f t="shared" si="33"/>
        <v>0</v>
      </c>
      <c r="AB118" s="624">
        <f t="shared" si="33"/>
        <v>0</v>
      </c>
      <c r="AC118" s="624">
        <f t="shared" si="33"/>
        <v>0</v>
      </c>
      <c r="AD118" s="624">
        <f t="shared" si="33"/>
        <v>0</v>
      </c>
      <c r="AE118" s="624">
        <f t="shared" si="33"/>
        <v>0</v>
      </c>
      <c r="AF118" s="471"/>
      <c r="AG118" s="473"/>
      <c r="AH118" s="471"/>
      <c r="AI118" s="471"/>
      <c r="AJ118" s="471"/>
      <c r="AM118" s="404"/>
      <c r="AP118" s="404"/>
      <c r="AQ118" s="404"/>
    </row>
    <row r="119" spans="1:43" s="390" customFormat="1" ht="26.25" customHeight="1">
      <c r="A119" s="454"/>
      <c r="B119" s="660"/>
      <c r="C119" s="662"/>
      <c r="D119" s="662"/>
      <c r="E119" s="662"/>
      <c r="F119" s="498"/>
      <c r="G119" s="642"/>
      <c r="H119" s="642"/>
      <c r="I119" s="458" t="str">
        <f>B90</f>
        <v>Plinth Beam</v>
      </c>
      <c r="J119" s="455"/>
      <c r="K119" s="455">
        <f>SUM(J90:J119)</f>
        <v>792.16560000000004</v>
      </c>
      <c r="L119" s="312" t="s">
        <v>45</v>
      </c>
      <c r="M119" s="726"/>
      <c r="N119" s="726"/>
      <c r="O119" s="726"/>
      <c r="P119" s="726"/>
      <c r="Q119" s="611"/>
      <c r="R119" s="611"/>
      <c r="S119" s="611"/>
      <c r="T119" s="626"/>
      <c r="U119" s="624"/>
      <c r="V119" s="624"/>
      <c r="W119" s="624">
        <f t="shared" ref="W119:W127" si="34">IF($R119=W$5,$V119,0)</f>
        <v>0</v>
      </c>
      <c r="X119" s="624">
        <f t="shared" si="26"/>
        <v>0</v>
      </c>
      <c r="Y119" s="624">
        <f t="shared" si="33"/>
        <v>0</v>
      </c>
      <c r="Z119" s="624">
        <f t="shared" si="33"/>
        <v>0</v>
      </c>
      <c r="AA119" s="624">
        <f t="shared" si="33"/>
        <v>0</v>
      </c>
      <c r="AB119" s="624">
        <f t="shared" si="33"/>
        <v>0</v>
      </c>
      <c r="AC119" s="624">
        <f t="shared" si="33"/>
        <v>0</v>
      </c>
      <c r="AD119" s="624">
        <f t="shared" si="33"/>
        <v>0</v>
      </c>
      <c r="AE119" s="624">
        <f t="shared" si="33"/>
        <v>0</v>
      </c>
      <c r="AF119" s="404"/>
      <c r="AG119" s="471"/>
      <c r="AH119" s="471"/>
      <c r="AI119" s="471"/>
      <c r="AJ119" s="471"/>
      <c r="AM119" s="404"/>
      <c r="AP119" s="404"/>
      <c r="AQ119" s="404"/>
    </row>
    <row r="120" spans="1:43" s="390" customFormat="1" ht="21.9" customHeight="1">
      <c r="A120" s="454"/>
      <c r="B120" s="659" t="s">
        <v>560</v>
      </c>
      <c r="C120" s="662"/>
      <c r="D120" s="662"/>
      <c r="E120" s="662"/>
      <c r="F120" s="498"/>
      <c r="G120" s="642"/>
      <c r="H120" s="648"/>
      <c r="I120" s="501"/>
      <c r="J120" s="455"/>
      <c r="K120" s="455"/>
      <c r="L120" s="312"/>
      <c r="M120" s="726"/>
      <c r="N120" s="726"/>
      <c r="O120" s="726"/>
      <c r="P120" s="726"/>
      <c r="Q120" s="611"/>
      <c r="R120" s="611"/>
      <c r="S120" s="624"/>
      <c r="T120" s="625"/>
      <c r="U120" s="626"/>
      <c r="V120" s="624"/>
      <c r="W120" s="624">
        <f t="shared" si="34"/>
        <v>0</v>
      </c>
      <c r="X120" s="624">
        <f t="shared" ref="X120:X140" si="35">IF($R120=X$5,$V120,0)</f>
        <v>0</v>
      </c>
      <c r="Y120" s="624">
        <f t="shared" si="33"/>
        <v>0</v>
      </c>
      <c r="Z120" s="624">
        <f t="shared" si="33"/>
        <v>0</v>
      </c>
      <c r="AA120" s="624">
        <f t="shared" si="33"/>
        <v>0</v>
      </c>
      <c r="AB120" s="624">
        <f t="shared" si="33"/>
        <v>0</v>
      </c>
      <c r="AC120" s="624">
        <f t="shared" si="33"/>
        <v>0</v>
      </c>
      <c r="AD120" s="624">
        <f t="shared" si="33"/>
        <v>0</v>
      </c>
      <c r="AE120" s="624">
        <f t="shared" si="33"/>
        <v>0</v>
      </c>
      <c r="AF120" s="404"/>
      <c r="AG120" s="471"/>
      <c r="AH120" s="471"/>
      <c r="AI120" s="471"/>
      <c r="AJ120" s="471"/>
      <c r="AM120" s="404"/>
      <c r="AP120" s="404"/>
      <c r="AQ120" s="404"/>
    </row>
    <row r="121" spans="1:43" s="390" customFormat="1" ht="21.9" customHeight="1">
      <c r="A121" s="454"/>
      <c r="B121" s="659" t="s">
        <v>753</v>
      </c>
      <c r="C121" s="662"/>
      <c r="D121" s="662"/>
      <c r="E121" s="662"/>
      <c r="F121" s="498"/>
      <c r="G121" s="642"/>
      <c r="H121" s="648"/>
      <c r="I121" s="501"/>
      <c r="J121" s="455"/>
      <c r="K121" s="455"/>
      <c r="L121" s="312"/>
      <c r="M121" s="726"/>
      <c r="N121" s="726"/>
      <c r="O121" s="726"/>
      <c r="P121" s="726"/>
      <c r="Q121" s="611"/>
      <c r="R121" s="611"/>
      <c r="S121" s="624"/>
      <c r="T121" s="625"/>
      <c r="U121" s="626"/>
      <c r="V121" s="624"/>
      <c r="W121" s="624">
        <f t="shared" si="34"/>
        <v>0</v>
      </c>
      <c r="X121" s="624">
        <f t="shared" si="26"/>
        <v>0</v>
      </c>
      <c r="Y121" s="624">
        <f t="shared" ref="Y121:AE122" si="36">IF($R121=Y$5,$V121,0)</f>
        <v>0</v>
      </c>
      <c r="Z121" s="624">
        <f t="shared" si="36"/>
        <v>0</v>
      </c>
      <c r="AA121" s="624">
        <f t="shared" si="36"/>
        <v>0</v>
      </c>
      <c r="AB121" s="624">
        <f t="shared" si="36"/>
        <v>0</v>
      </c>
      <c r="AC121" s="624">
        <f t="shared" si="36"/>
        <v>0</v>
      </c>
      <c r="AD121" s="624">
        <f t="shared" si="36"/>
        <v>0</v>
      </c>
      <c r="AE121" s="624">
        <f t="shared" si="36"/>
        <v>0</v>
      </c>
      <c r="AF121" s="404"/>
      <c r="AG121" s="471"/>
      <c r="AH121" s="471"/>
      <c r="AI121" s="471"/>
      <c r="AJ121" s="471"/>
      <c r="AM121" s="404"/>
      <c r="AP121" s="404"/>
      <c r="AQ121" s="404"/>
    </row>
    <row r="122" spans="1:43" s="390" customFormat="1" ht="21.9" customHeight="1">
      <c r="A122" s="454"/>
      <c r="B122" s="659" t="s">
        <v>754</v>
      </c>
      <c r="C122" s="662"/>
      <c r="D122" s="662"/>
      <c r="E122" s="662"/>
      <c r="F122" s="498"/>
      <c r="G122" s="642"/>
      <c r="H122" s="647"/>
      <c r="I122" s="499"/>
      <c r="J122" s="455"/>
      <c r="K122" s="455"/>
      <c r="L122" s="312"/>
      <c r="M122" s="726"/>
      <c r="N122" s="726"/>
      <c r="O122" s="726"/>
      <c r="P122" s="726"/>
      <c r="Q122" s="611"/>
      <c r="R122" s="611"/>
      <c r="S122" s="624"/>
      <c r="T122" s="625"/>
      <c r="U122" s="626"/>
      <c r="V122" s="624"/>
      <c r="W122" s="624">
        <f t="shared" si="34"/>
        <v>0</v>
      </c>
      <c r="X122" s="624">
        <f t="shared" si="35"/>
        <v>0</v>
      </c>
      <c r="Y122" s="624">
        <f t="shared" si="36"/>
        <v>0</v>
      </c>
      <c r="Z122" s="624">
        <f t="shared" si="36"/>
        <v>0</v>
      </c>
      <c r="AA122" s="624">
        <f t="shared" si="36"/>
        <v>0</v>
      </c>
      <c r="AB122" s="624">
        <f t="shared" si="36"/>
        <v>0</v>
      </c>
      <c r="AC122" s="624">
        <f t="shared" si="36"/>
        <v>0</v>
      </c>
      <c r="AD122" s="624">
        <f t="shared" si="36"/>
        <v>0</v>
      </c>
      <c r="AE122" s="624">
        <f t="shared" si="36"/>
        <v>0</v>
      </c>
      <c r="AF122" s="404"/>
      <c r="AG122" s="471"/>
      <c r="AH122" s="471"/>
      <c r="AI122" s="471"/>
      <c r="AJ122" s="471"/>
      <c r="AM122" s="404"/>
      <c r="AP122" s="404"/>
      <c r="AQ122" s="404"/>
    </row>
    <row r="123" spans="1:43" s="390" customFormat="1" ht="22.25" customHeight="1">
      <c r="A123" s="454"/>
      <c r="B123" s="657" t="s">
        <v>755</v>
      </c>
      <c r="C123" s="662"/>
      <c r="D123" s="662"/>
      <c r="E123" s="662">
        <v>2</v>
      </c>
      <c r="F123" s="498">
        <f>9.5-2*0.83</f>
        <v>7.84</v>
      </c>
      <c r="G123" s="642"/>
      <c r="H123" s="642">
        <f>0.83*3</f>
        <v>2.4899999999999998</v>
      </c>
      <c r="I123" s="499"/>
      <c r="J123" s="507">
        <f>IF(I123=0,1,I123)*IF(H123=0,1,H123)*IF(G123=0,1,G123)*IF(F123=0,1,F123)*IF(E123=0,1,E123)*IF(D123=0,1,D123)*IF(C123=0,1,C123)</f>
        <v>39.043199999999999</v>
      </c>
      <c r="K123" s="455"/>
      <c r="L123" s="312" t="s">
        <v>45</v>
      </c>
      <c r="M123" s="722"/>
      <c r="N123" s="722"/>
      <c r="O123" s="722"/>
      <c r="P123" s="722"/>
      <c r="Q123" s="611"/>
      <c r="R123" s="611"/>
      <c r="S123" s="611"/>
      <c r="T123" s="611"/>
      <c r="U123" s="611"/>
      <c r="V123" s="624"/>
      <c r="W123" s="624">
        <f t="shared" si="34"/>
        <v>0</v>
      </c>
      <c r="X123" s="624">
        <f t="shared" si="35"/>
        <v>0</v>
      </c>
      <c r="Y123" s="624">
        <f t="shared" ref="Y123:AE125" si="37">IF($R123=Y$5,$V123,0)</f>
        <v>0</v>
      </c>
      <c r="Z123" s="624">
        <f t="shared" si="37"/>
        <v>0</v>
      </c>
      <c r="AA123" s="624">
        <f t="shared" si="37"/>
        <v>0</v>
      </c>
      <c r="AB123" s="624">
        <f t="shared" si="37"/>
        <v>0</v>
      </c>
      <c r="AC123" s="624">
        <f t="shared" si="37"/>
        <v>0</v>
      </c>
      <c r="AD123" s="624">
        <f t="shared" si="37"/>
        <v>0</v>
      </c>
      <c r="AE123" s="624">
        <f t="shared" si="37"/>
        <v>0</v>
      </c>
      <c r="AF123" s="471">
        <f>14*0.75*1*2</f>
        <v>21</v>
      </c>
      <c r="AG123" s="473"/>
      <c r="AH123" s="471"/>
      <c r="AI123" s="471"/>
      <c r="AJ123" s="471"/>
      <c r="AM123" s="404"/>
      <c r="AP123" s="404"/>
      <c r="AQ123" s="404"/>
    </row>
    <row r="124" spans="1:43" s="390" customFormat="1" ht="22.25" customHeight="1">
      <c r="A124" s="454"/>
      <c r="B124" s="657" t="s">
        <v>756</v>
      </c>
      <c r="C124" s="662"/>
      <c r="D124" s="662"/>
      <c r="E124" s="662">
        <v>2</v>
      </c>
      <c r="F124" s="498">
        <f>5-1*0.83</f>
        <v>4.17</v>
      </c>
      <c r="G124" s="642"/>
      <c r="H124" s="642">
        <f>H123</f>
        <v>2.4899999999999998</v>
      </c>
      <c r="I124" s="499"/>
      <c r="J124" s="507">
        <f>IF(I124=0,1,I124)*IF(H124=0,1,H124)*IF(G124=0,1,G124)*IF(F124=0,1,F124)*IF(E124=0,1,E124)*IF(D124=0,1,D124)*IF(C124=0,1,C124)</f>
        <v>20.766599999999997</v>
      </c>
      <c r="K124" s="455"/>
      <c r="L124" s="312" t="s">
        <v>45</v>
      </c>
      <c r="M124" s="722"/>
      <c r="N124" s="722"/>
      <c r="O124" s="722"/>
      <c r="P124" s="722"/>
      <c r="Q124" s="611"/>
      <c r="R124" s="611"/>
      <c r="S124" s="624"/>
      <c r="T124" s="625"/>
      <c r="U124" s="626"/>
      <c r="V124" s="624"/>
      <c r="W124" s="624">
        <f t="shared" si="34"/>
        <v>0</v>
      </c>
      <c r="X124" s="624">
        <f t="shared" si="35"/>
        <v>0</v>
      </c>
      <c r="Y124" s="624">
        <f t="shared" si="37"/>
        <v>0</v>
      </c>
      <c r="Z124" s="624">
        <f t="shared" si="37"/>
        <v>0</v>
      </c>
      <c r="AA124" s="624">
        <f t="shared" si="37"/>
        <v>0</v>
      </c>
      <c r="AB124" s="624">
        <f t="shared" si="37"/>
        <v>0</v>
      </c>
      <c r="AC124" s="624">
        <f t="shared" si="37"/>
        <v>0</v>
      </c>
      <c r="AD124" s="624">
        <f t="shared" si="37"/>
        <v>0</v>
      </c>
      <c r="AE124" s="624">
        <f t="shared" si="37"/>
        <v>0</v>
      </c>
      <c r="AF124" s="471"/>
      <c r="AG124" s="473"/>
      <c r="AH124" s="471"/>
      <c r="AI124" s="471"/>
      <c r="AJ124" s="471"/>
      <c r="AM124" s="404"/>
      <c r="AP124" s="404"/>
      <c r="AQ124" s="404"/>
    </row>
    <row r="125" spans="1:43" s="390" customFormat="1" ht="21.9" customHeight="1">
      <c r="A125" s="454"/>
      <c r="B125" s="659" t="s">
        <v>692</v>
      </c>
      <c r="C125" s="662"/>
      <c r="D125" s="662"/>
      <c r="E125" s="662"/>
      <c r="F125" s="498"/>
      <c r="G125" s="642"/>
      <c r="H125" s="648"/>
      <c r="I125" s="501"/>
      <c r="J125" s="455"/>
      <c r="K125" s="455"/>
      <c r="L125" s="312"/>
      <c r="M125" s="726"/>
      <c r="N125" s="726"/>
      <c r="O125" s="726"/>
      <c r="P125" s="726"/>
      <c r="Q125" s="611"/>
      <c r="R125" s="611"/>
      <c r="S125" s="624"/>
      <c r="T125" s="625"/>
      <c r="U125" s="626"/>
      <c r="V125" s="624"/>
      <c r="W125" s="624">
        <f t="shared" si="34"/>
        <v>0</v>
      </c>
      <c r="X125" s="624">
        <f t="shared" si="35"/>
        <v>0</v>
      </c>
      <c r="Y125" s="624">
        <f t="shared" si="37"/>
        <v>0</v>
      </c>
      <c r="Z125" s="624">
        <f t="shared" si="37"/>
        <v>0</v>
      </c>
      <c r="AA125" s="624">
        <f t="shared" si="37"/>
        <v>0</v>
      </c>
      <c r="AB125" s="624">
        <f t="shared" si="37"/>
        <v>0</v>
      </c>
      <c r="AC125" s="624">
        <f t="shared" si="37"/>
        <v>0</v>
      </c>
      <c r="AD125" s="624">
        <f t="shared" si="37"/>
        <v>0</v>
      </c>
      <c r="AE125" s="624">
        <f t="shared" si="37"/>
        <v>0</v>
      </c>
      <c r="AF125" s="404"/>
      <c r="AG125" s="471"/>
      <c r="AH125" s="471"/>
      <c r="AI125" s="471"/>
      <c r="AJ125" s="471"/>
      <c r="AM125" s="404"/>
      <c r="AP125" s="404"/>
      <c r="AQ125" s="404"/>
    </row>
    <row r="126" spans="1:43" s="390" customFormat="1" ht="21.9" customHeight="1">
      <c r="A126" s="454"/>
      <c r="B126" s="659" t="s">
        <v>757</v>
      </c>
      <c r="C126" s="662"/>
      <c r="D126" s="662"/>
      <c r="E126" s="662"/>
      <c r="F126" s="498"/>
      <c r="G126" s="642"/>
      <c r="H126" s="647"/>
      <c r="I126" s="499"/>
      <c r="J126" s="455"/>
      <c r="K126" s="455"/>
      <c r="L126" s="312"/>
      <c r="M126" s="726"/>
      <c r="N126" s="726"/>
      <c r="O126" s="726"/>
      <c r="P126" s="726"/>
      <c r="Q126" s="611"/>
      <c r="R126" s="611"/>
      <c r="S126" s="624"/>
      <c r="T126" s="625"/>
      <c r="U126" s="626"/>
      <c r="V126" s="624"/>
      <c r="W126" s="624">
        <f t="shared" si="34"/>
        <v>0</v>
      </c>
      <c r="X126" s="624">
        <f t="shared" si="35"/>
        <v>0</v>
      </c>
      <c r="Y126" s="624">
        <f t="shared" ref="Y126:AE132" si="38">IF($R126=Y$5,$V126,0)</f>
        <v>0</v>
      </c>
      <c r="Z126" s="624">
        <f t="shared" si="38"/>
        <v>0</v>
      </c>
      <c r="AA126" s="624">
        <f t="shared" si="38"/>
        <v>0</v>
      </c>
      <c r="AB126" s="624">
        <f t="shared" si="38"/>
        <v>0</v>
      </c>
      <c r="AC126" s="624">
        <f t="shared" si="38"/>
        <v>0</v>
      </c>
      <c r="AD126" s="624">
        <f t="shared" si="38"/>
        <v>0</v>
      </c>
      <c r="AE126" s="624">
        <f t="shared" si="38"/>
        <v>0</v>
      </c>
      <c r="AF126" s="404"/>
      <c r="AG126" s="471"/>
      <c r="AH126" s="471"/>
      <c r="AI126" s="471"/>
      <c r="AJ126" s="471"/>
      <c r="AM126" s="404"/>
      <c r="AP126" s="404"/>
      <c r="AQ126" s="404"/>
    </row>
    <row r="127" spans="1:43" s="390" customFormat="1" ht="22.25" customHeight="1">
      <c r="A127" s="454"/>
      <c r="B127" s="657" t="s">
        <v>759</v>
      </c>
      <c r="C127" s="662"/>
      <c r="D127" s="662"/>
      <c r="E127" s="662">
        <v>7</v>
      </c>
      <c r="F127" s="498">
        <v>6</v>
      </c>
      <c r="G127" s="642"/>
      <c r="H127" s="642">
        <f>0.83*3</f>
        <v>2.4899999999999998</v>
      </c>
      <c r="I127" s="499"/>
      <c r="J127" s="507">
        <f>IF(I127=0,1,I127)*IF(H127=0,1,H127)*IF(G127=0,1,G127)*IF(F127=0,1,F127)*IF(E127=0,1,E127)*IF(D127=0,1,D127)*IF(C127=0,1,C127)</f>
        <v>104.57999999999998</v>
      </c>
      <c r="K127" s="455"/>
      <c r="L127" s="312" t="s">
        <v>45</v>
      </c>
      <c r="M127" s="722"/>
      <c r="N127" s="722"/>
      <c r="O127" s="722"/>
      <c r="P127" s="722"/>
      <c r="Q127" s="611"/>
      <c r="R127" s="611"/>
      <c r="S127" s="624"/>
      <c r="T127" s="625"/>
      <c r="U127" s="626"/>
      <c r="V127" s="624"/>
      <c r="W127" s="624">
        <f t="shared" si="34"/>
        <v>0</v>
      </c>
      <c r="X127" s="624">
        <f t="shared" si="35"/>
        <v>0</v>
      </c>
      <c r="Y127" s="624">
        <f t="shared" si="38"/>
        <v>0</v>
      </c>
      <c r="Z127" s="624">
        <f t="shared" si="38"/>
        <v>0</v>
      </c>
      <c r="AA127" s="624">
        <f t="shared" si="38"/>
        <v>0</v>
      </c>
      <c r="AB127" s="624">
        <f t="shared" si="38"/>
        <v>0</v>
      </c>
      <c r="AC127" s="624">
        <f t="shared" si="38"/>
        <v>0</v>
      </c>
      <c r="AD127" s="624">
        <f t="shared" si="38"/>
        <v>0</v>
      </c>
      <c r="AE127" s="624">
        <f t="shared" si="38"/>
        <v>0</v>
      </c>
      <c r="AF127" s="471"/>
      <c r="AG127" s="473"/>
      <c r="AH127" s="471"/>
      <c r="AI127" s="471"/>
      <c r="AJ127" s="471"/>
      <c r="AM127" s="404"/>
      <c r="AP127" s="404"/>
      <c r="AQ127" s="404"/>
    </row>
    <row r="128" spans="1:43" s="390" customFormat="1" ht="22.25" customHeight="1">
      <c r="A128" s="454"/>
      <c r="B128" s="657" t="s">
        <v>540</v>
      </c>
      <c r="C128" s="662"/>
      <c r="D128" s="662"/>
      <c r="E128" s="662">
        <v>1</v>
      </c>
      <c r="F128" s="498">
        <v>5</v>
      </c>
      <c r="G128" s="642"/>
      <c r="H128" s="642">
        <f>H127</f>
        <v>2.4899999999999998</v>
      </c>
      <c r="I128" s="499"/>
      <c r="J128" s="507">
        <f>IF(I128=0,1,I128)*IF(H128=0,1,H128)*IF(G128=0,1,G128)*IF(F128=0,1,F128)*IF(E128=0,1,E128)*IF(D128=0,1,D128)*IF(C128=0,1,C128)</f>
        <v>12.45</v>
      </c>
      <c r="K128" s="455"/>
      <c r="L128" s="312" t="s">
        <v>45</v>
      </c>
      <c r="M128" s="722"/>
      <c r="N128" s="722"/>
      <c r="O128" s="722"/>
      <c r="P128" s="722"/>
      <c r="Q128" s="611"/>
      <c r="R128" s="611"/>
      <c r="S128" s="624"/>
      <c r="T128" s="625"/>
      <c r="U128" s="626"/>
      <c r="V128" s="624"/>
      <c r="W128" s="624"/>
      <c r="X128" s="624"/>
      <c r="Y128" s="624"/>
      <c r="Z128" s="624"/>
      <c r="AA128" s="624"/>
      <c r="AB128" s="624"/>
      <c r="AC128" s="624"/>
      <c r="AD128" s="624"/>
      <c r="AE128" s="624"/>
      <c r="AF128" s="471"/>
      <c r="AG128" s="473"/>
      <c r="AH128" s="471"/>
      <c r="AI128" s="471"/>
      <c r="AJ128" s="471"/>
      <c r="AM128" s="404"/>
      <c r="AP128" s="404"/>
      <c r="AQ128" s="404"/>
    </row>
    <row r="129" spans="1:43" s="390" customFormat="1" ht="21.9" customHeight="1">
      <c r="A129" s="454"/>
      <c r="B129" s="659" t="s">
        <v>761</v>
      </c>
      <c r="C129" s="662"/>
      <c r="D129" s="662"/>
      <c r="E129" s="662"/>
      <c r="F129" s="498"/>
      <c r="G129" s="642"/>
      <c r="H129" s="647"/>
      <c r="I129" s="499"/>
      <c r="J129" s="455"/>
      <c r="K129" s="455"/>
      <c r="L129" s="312"/>
      <c r="M129" s="726"/>
      <c r="N129" s="726"/>
      <c r="O129" s="726"/>
      <c r="P129" s="726"/>
      <c r="Q129" s="611"/>
      <c r="R129" s="611"/>
      <c r="S129" s="624"/>
      <c r="T129" s="625"/>
      <c r="U129" s="626"/>
      <c r="V129" s="624"/>
      <c r="W129" s="624">
        <f>IF($R129=W$5,$V129,0)</f>
        <v>0</v>
      </c>
      <c r="X129" s="624">
        <f t="shared" si="35"/>
        <v>0</v>
      </c>
      <c r="Y129" s="624">
        <f t="shared" si="38"/>
        <v>0</v>
      </c>
      <c r="Z129" s="624">
        <f t="shared" si="38"/>
        <v>0</v>
      </c>
      <c r="AA129" s="624">
        <f t="shared" si="38"/>
        <v>0</v>
      </c>
      <c r="AB129" s="624">
        <f t="shared" si="38"/>
        <v>0</v>
      </c>
      <c r="AC129" s="624">
        <f t="shared" si="38"/>
        <v>0</v>
      </c>
      <c r="AD129" s="624">
        <f t="shared" si="38"/>
        <v>0</v>
      </c>
      <c r="AE129" s="624">
        <f t="shared" si="38"/>
        <v>0</v>
      </c>
      <c r="AF129" s="404"/>
      <c r="AG129" s="471"/>
      <c r="AH129" s="471"/>
      <c r="AI129" s="471"/>
      <c r="AJ129" s="471"/>
      <c r="AM129" s="404"/>
      <c r="AP129" s="404"/>
      <c r="AQ129" s="404"/>
    </row>
    <row r="130" spans="1:43" s="390" customFormat="1" ht="22.25" customHeight="1">
      <c r="A130" s="454"/>
      <c r="B130" s="657" t="s">
        <v>760</v>
      </c>
      <c r="C130" s="662"/>
      <c r="D130" s="662"/>
      <c r="E130" s="662">
        <v>1</v>
      </c>
      <c r="F130" s="498">
        <v>6</v>
      </c>
      <c r="G130" s="642"/>
      <c r="H130" s="642">
        <f>0.83+1*2</f>
        <v>2.83</v>
      </c>
      <c r="I130" s="499"/>
      <c r="J130" s="507">
        <f t="shared" ref="J130:J139" si="39">IF(I130=0,1,I130)*IF(H130=0,1,H130)*IF(G130=0,1,G130)*IF(F130=0,1,F130)*IF(E130=0,1,E130)*IF(D130=0,1,D130)*IF(C130=0,1,C130)</f>
        <v>16.98</v>
      </c>
      <c r="K130" s="455"/>
      <c r="L130" s="312" t="s">
        <v>45</v>
      </c>
      <c r="M130" s="722"/>
      <c r="N130" s="722"/>
      <c r="O130" s="722"/>
      <c r="P130" s="722"/>
      <c r="Q130" s="611"/>
      <c r="R130" s="611"/>
      <c r="S130" s="611"/>
      <c r="T130" s="611"/>
      <c r="U130" s="611"/>
      <c r="V130" s="624"/>
      <c r="W130" s="624">
        <f>IF($R130=W$5,$V130,0)</f>
        <v>0</v>
      </c>
      <c r="X130" s="624">
        <f t="shared" si="35"/>
        <v>0</v>
      </c>
      <c r="Y130" s="624">
        <f t="shared" si="38"/>
        <v>0</v>
      </c>
      <c r="Z130" s="624">
        <f t="shared" si="38"/>
        <v>0</v>
      </c>
      <c r="AA130" s="624">
        <f t="shared" si="38"/>
        <v>0</v>
      </c>
      <c r="AB130" s="624">
        <f t="shared" si="38"/>
        <v>0</v>
      </c>
      <c r="AC130" s="624">
        <f t="shared" si="38"/>
        <v>0</v>
      </c>
      <c r="AD130" s="624">
        <f t="shared" si="38"/>
        <v>0</v>
      </c>
      <c r="AE130" s="624">
        <f t="shared" si="38"/>
        <v>0</v>
      </c>
      <c r="AF130" s="471">
        <f>14*0.75*1*2</f>
        <v>21</v>
      </c>
      <c r="AG130" s="473"/>
      <c r="AH130" s="471"/>
      <c r="AI130" s="471"/>
      <c r="AJ130" s="471"/>
      <c r="AM130" s="404"/>
      <c r="AP130" s="404"/>
      <c r="AQ130" s="404"/>
    </row>
    <row r="131" spans="1:43" s="390" customFormat="1" ht="22.25" customHeight="1">
      <c r="A131" s="454"/>
      <c r="B131" s="657" t="s">
        <v>762</v>
      </c>
      <c r="C131" s="662"/>
      <c r="D131" s="662">
        <v>2</v>
      </c>
      <c r="E131" s="662">
        <v>5</v>
      </c>
      <c r="F131" s="498">
        <f>14.5-2*0.83</f>
        <v>12.84</v>
      </c>
      <c r="G131" s="642"/>
      <c r="H131" s="642">
        <f t="shared" ref="H131:H138" si="40">H130</f>
        <v>2.83</v>
      </c>
      <c r="I131" s="499"/>
      <c r="J131" s="507">
        <f t="shared" si="39"/>
        <v>363.37200000000001</v>
      </c>
      <c r="K131" s="455"/>
      <c r="L131" s="312" t="s">
        <v>45</v>
      </c>
      <c r="M131" s="722"/>
      <c r="N131" s="722"/>
      <c r="O131" s="722"/>
      <c r="P131" s="722"/>
      <c r="Q131" s="611"/>
      <c r="R131" s="611"/>
      <c r="S131" s="624"/>
      <c r="T131" s="625"/>
      <c r="U131" s="626"/>
      <c r="V131" s="624"/>
      <c r="W131" s="624">
        <f t="shared" ref="W131:AE131" si="41">IF($R131=W$5,$V131,0)</f>
        <v>0</v>
      </c>
      <c r="X131" s="624">
        <f t="shared" si="41"/>
        <v>0</v>
      </c>
      <c r="Y131" s="624">
        <f t="shared" si="41"/>
        <v>0</v>
      </c>
      <c r="Z131" s="624">
        <f t="shared" si="41"/>
        <v>0</v>
      </c>
      <c r="AA131" s="624">
        <f t="shared" si="41"/>
        <v>0</v>
      </c>
      <c r="AB131" s="624">
        <f t="shared" si="41"/>
        <v>0</v>
      </c>
      <c r="AC131" s="624">
        <f t="shared" si="41"/>
        <v>0</v>
      </c>
      <c r="AD131" s="624">
        <f t="shared" si="41"/>
        <v>0</v>
      </c>
      <c r="AE131" s="624">
        <f t="shared" si="41"/>
        <v>0</v>
      </c>
      <c r="AF131" s="471"/>
      <c r="AG131" s="473"/>
      <c r="AH131" s="471"/>
      <c r="AI131" s="471"/>
      <c r="AJ131" s="471"/>
      <c r="AM131" s="404"/>
      <c r="AP131" s="404"/>
      <c r="AQ131" s="404"/>
    </row>
    <row r="132" spans="1:43" s="390" customFormat="1" ht="22.25" customHeight="1">
      <c r="A132" s="454"/>
      <c r="B132" s="657" t="s">
        <v>733</v>
      </c>
      <c r="C132" s="662"/>
      <c r="D132" s="662"/>
      <c r="E132" s="662">
        <v>1</v>
      </c>
      <c r="F132" s="498">
        <f>35-4*0.83</f>
        <v>31.68</v>
      </c>
      <c r="G132" s="642"/>
      <c r="H132" s="642">
        <f t="shared" si="40"/>
        <v>2.83</v>
      </c>
      <c r="I132" s="499"/>
      <c r="J132" s="507">
        <f t="shared" si="39"/>
        <v>89.654399999999995</v>
      </c>
      <c r="K132" s="455"/>
      <c r="L132" s="312" t="s">
        <v>45</v>
      </c>
      <c r="M132" s="722"/>
      <c r="N132" s="722"/>
      <c r="O132" s="722"/>
      <c r="P132" s="722"/>
      <c r="Q132" s="611"/>
      <c r="R132" s="611"/>
      <c r="S132" s="624"/>
      <c r="T132" s="625"/>
      <c r="U132" s="626"/>
      <c r="V132" s="624"/>
      <c r="W132" s="624">
        <f>IF($R132=W$5,$V132,0)</f>
        <v>0</v>
      </c>
      <c r="X132" s="624">
        <f t="shared" si="35"/>
        <v>0</v>
      </c>
      <c r="Y132" s="624">
        <f t="shared" si="38"/>
        <v>0</v>
      </c>
      <c r="Z132" s="624">
        <f t="shared" si="38"/>
        <v>0</v>
      </c>
      <c r="AA132" s="624">
        <f t="shared" si="38"/>
        <v>0</v>
      </c>
      <c r="AB132" s="624">
        <f t="shared" si="38"/>
        <v>0</v>
      </c>
      <c r="AC132" s="624">
        <f t="shared" si="38"/>
        <v>0</v>
      </c>
      <c r="AD132" s="624">
        <f t="shared" si="38"/>
        <v>0</v>
      </c>
      <c r="AE132" s="624">
        <f t="shared" si="38"/>
        <v>0</v>
      </c>
      <c r="AF132" s="471"/>
      <c r="AG132" s="473"/>
      <c r="AH132" s="471"/>
      <c r="AI132" s="471"/>
      <c r="AJ132" s="471"/>
      <c r="AM132" s="404"/>
      <c r="AP132" s="404"/>
      <c r="AQ132" s="404"/>
    </row>
    <row r="133" spans="1:43" s="390" customFormat="1" ht="22.25" customHeight="1">
      <c r="A133" s="454"/>
      <c r="B133" s="657" t="s">
        <v>743</v>
      </c>
      <c r="C133" s="662"/>
      <c r="D133" s="662"/>
      <c r="E133" s="662">
        <v>2</v>
      </c>
      <c r="F133" s="498">
        <f>5-0.83</f>
        <v>4.17</v>
      </c>
      <c r="G133" s="642"/>
      <c r="H133" s="642">
        <f t="shared" si="40"/>
        <v>2.83</v>
      </c>
      <c r="I133" s="499"/>
      <c r="J133" s="507">
        <f t="shared" si="39"/>
        <v>23.6022</v>
      </c>
      <c r="K133" s="455"/>
      <c r="L133" s="312" t="s">
        <v>45</v>
      </c>
      <c r="M133" s="722"/>
      <c r="N133" s="722"/>
      <c r="O133" s="722"/>
      <c r="P133" s="722"/>
      <c r="Q133" s="611"/>
      <c r="R133" s="611"/>
      <c r="S133" s="624"/>
      <c r="T133" s="625"/>
      <c r="U133" s="626"/>
      <c r="V133" s="624"/>
      <c r="W133" s="624"/>
      <c r="X133" s="624"/>
      <c r="Y133" s="624"/>
      <c r="Z133" s="624"/>
      <c r="AA133" s="624"/>
      <c r="AB133" s="624"/>
      <c r="AC133" s="624"/>
      <c r="AD133" s="624"/>
      <c r="AE133" s="624"/>
      <c r="AF133" s="471"/>
      <c r="AG133" s="473"/>
      <c r="AH133" s="471"/>
      <c r="AI133" s="471"/>
      <c r="AJ133" s="471"/>
      <c r="AM133" s="404"/>
      <c r="AP133" s="404"/>
      <c r="AQ133" s="404"/>
    </row>
    <row r="134" spans="1:43" s="390" customFormat="1" ht="22.25" customHeight="1">
      <c r="A134" s="454"/>
      <c r="B134" s="657" t="s">
        <v>539</v>
      </c>
      <c r="C134" s="662"/>
      <c r="D134" s="662"/>
      <c r="E134" s="662">
        <v>1</v>
      </c>
      <c r="F134" s="498">
        <f>45-4*0.83</f>
        <v>41.68</v>
      </c>
      <c r="G134" s="642"/>
      <c r="H134" s="642">
        <f t="shared" si="40"/>
        <v>2.83</v>
      </c>
      <c r="I134" s="499"/>
      <c r="J134" s="507">
        <f t="shared" si="39"/>
        <v>117.95440000000001</v>
      </c>
      <c r="K134" s="455"/>
      <c r="L134" s="312" t="s">
        <v>45</v>
      </c>
      <c r="M134" s="722"/>
      <c r="N134" s="722"/>
      <c r="O134" s="722"/>
      <c r="P134" s="722"/>
      <c r="Q134" s="611"/>
      <c r="R134" s="611"/>
      <c r="S134" s="624"/>
      <c r="T134" s="625"/>
      <c r="U134" s="626"/>
      <c r="V134" s="624"/>
      <c r="W134" s="624"/>
      <c r="X134" s="624"/>
      <c r="Y134" s="624"/>
      <c r="Z134" s="624"/>
      <c r="AA134" s="624"/>
      <c r="AB134" s="624"/>
      <c r="AC134" s="624"/>
      <c r="AD134" s="624"/>
      <c r="AE134" s="624"/>
      <c r="AF134" s="471"/>
      <c r="AG134" s="473"/>
      <c r="AH134" s="471"/>
      <c r="AI134" s="471"/>
      <c r="AJ134" s="471"/>
      <c r="AM134" s="404"/>
      <c r="AP134" s="404"/>
      <c r="AQ134" s="404"/>
    </row>
    <row r="135" spans="1:43" s="390" customFormat="1" ht="22.25" customHeight="1">
      <c r="A135" s="454"/>
      <c r="B135" s="657" t="s">
        <v>765</v>
      </c>
      <c r="C135" s="662"/>
      <c r="D135" s="662"/>
      <c r="E135" s="662">
        <v>2</v>
      </c>
      <c r="F135" s="498">
        <f>15-1.5*0.83</f>
        <v>13.755000000000001</v>
      </c>
      <c r="G135" s="642"/>
      <c r="H135" s="642">
        <f t="shared" si="40"/>
        <v>2.83</v>
      </c>
      <c r="I135" s="499"/>
      <c r="J135" s="507">
        <f t="shared" si="39"/>
        <v>77.853300000000004</v>
      </c>
      <c r="K135" s="455"/>
      <c r="L135" s="312" t="s">
        <v>45</v>
      </c>
      <c r="M135" s="722"/>
      <c r="N135" s="722"/>
      <c r="O135" s="722"/>
      <c r="P135" s="722"/>
      <c r="Q135" s="611"/>
      <c r="R135" s="611"/>
      <c r="S135" s="624"/>
      <c r="T135" s="625"/>
      <c r="U135" s="626"/>
      <c r="V135" s="624"/>
      <c r="W135" s="624"/>
      <c r="X135" s="624"/>
      <c r="Y135" s="624"/>
      <c r="Z135" s="624"/>
      <c r="AA135" s="624"/>
      <c r="AB135" s="624"/>
      <c r="AC135" s="624"/>
      <c r="AD135" s="624"/>
      <c r="AE135" s="624"/>
      <c r="AF135" s="471"/>
      <c r="AG135" s="473"/>
      <c r="AH135" s="471"/>
      <c r="AI135" s="471"/>
      <c r="AJ135" s="471"/>
      <c r="AM135" s="404"/>
      <c r="AP135" s="404"/>
      <c r="AQ135" s="404"/>
    </row>
    <row r="136" spans="1:43" s="390" customFormat="1" ht="22.25" customHeight="1">
      <c r="A136" s="454"/>
      <c r="B136" s="657" t="s">
        <v>764</v>
      </c>
      <c r="C136" s="662"/>
      <c r="D136" s="662"/>
      <c r="E136" s="662">
        <v>2</v>
      </c>
      <c r="F136" s="498">
        <f>45+5-5*0.83</f>
        <v>45.85</v>
      </c>
      <c r="G136" s="642"/>
      <c r="H136" s="642">
        <f t="shared" si="40"/>
        <v>2.83</v>
      </c>
      <c r="I136" s="499"/>
      <c r="J136" s="507">
        <f t="shared" si="39"/>
        <v>259.51100000000002</v>
      </c>
      <c r="K136" s="455"/>
      <c r="L136" s="312" t="s">
        <v>45</v>
      </c>
      <c r="M136" s="722"/>
      <c r="N136" s="722"/>
      <c r="O136" s="722"/>
      <c r="P136" s="722"/>
      <c r="Q136" s="611"/>
      <c r="R136" s="611"/>
      <c r="S136" s="624"/>
      <c r="T136" s="625"/>
      <c r="U136" s="626"/>
      <c r="V136" s="624"/>
      <c r="W136" s="624"/>
      <c r="X136" s="624"/>
      <c r="Y136" s="624"/>
      <c r="Z136" s="624"/>
      <c r="AA136" s="624"/>
      <c r="AB136" s="624"/>
      <c r="AC136" s="624"/>
      <c r="AD136" s="624"/>
      <c r="AE136" s="624"/>
      <c r="AF136" s="471"/>
      <c r="AG136" s="473"/>
      <c r="AH136" s="471"/>
      <c r="AI136" s="471"/>
      <c r="AJ136" s="471"/>
      <c r="AM136" s="404"/>
      <c r="AP136" s="404"/>
      <c r="AQ136" s="404"/>
    </row>
    <row r="137" spans="1:43" s="390" customFormat="1" ht="22.25" customHeight="1">
      <c r="A137" s="454"/>
      <c r="B137" s="657" t="s">
        <v>766</v>
      </c>
      <c r="C137" s="662"/>
      <c r="D137" s="662"/>
      <c r="E137" s="662">
        <v>1</v>
      </c>
      <c r="F137" s="498">
        <f>10-2*0.83</f>
        <v>8.34</v>
      </c>
      <c r="G137" s="642"/>
      <c r="H137" s="642">
        <f t="shared" si="40"/>
        <v>2.83</v>
      </c>
      <c r="I137" s="499"/>
      <c r="J137" s="507">
        <f t="shared" si="39"/>
        <v>23.6022</v>
      </c>
      <c r="K137" s="455"/>
      <c r="L137" s="312" t="s">
        <v>45</v>
      </c>
      <c r="M137" s="722"/>
      <c r="N137" s="722"/>
      <c r="O137" s="722"/>
      <c r="P137" s="722"/>
      <c r="Q137" s="611"/>
      <c r="R137" s="611"/>
      <c r="S137" s="624"/>
      <c r="T137" s="625"/>
      <c r="U137" s="626"/>
      <c r="V137" s="624"/>
      <c r="W137" s="624"/>
      <c r="X137" s="624"/>
      <c r="Y137" s="624"/>
      <c r="Z137" s="624"/>
      <c r="AA137" s="624"/>
      <c r="AB137" s="624"/>
      <c r="AC137" s="624"/>
      <c r="AD137" s="624"/>
      <c r="AE137" s="624"/>
      <c r="AF137" s="471"/>
      <c r="AG137" s="473"/>
      <c r="AH137" s="471"/>
      <c r="AI137" s="471"/>
      <c r="AJ137" s="471"/>
      <c r="AM137" s="404"/>
      <c r="AP137" s="404"/>
      <c r="AQ137" s="404"/>
    </row>
    <row r="138" spans="1:43" s="390" customFormat="1" ht="22.25" customHeight="1">
      <c r="A138" s="454"/>
      <c r="B138" s="657" t="s">
        <v>767</v>
      </c>
      <c r="C138" s="662"/>
      <c r="D138" s="662"/>
      <c r="E138" s="662">
        <v>1</v>
      </c>
      <c r="F138" s="498">
        <f>30-3*0.83</f>
        <v>27.51</v>
      </c>
      <c r="G138" s="642"/>
      <c r="H138" s="642">
        <f t="shared" si="40"/>
        <v>2.83</v>
      </c>
      <c r="I138" s="499"/>
      <c r="J138" s="507">
        <f t="shared" si="39"/>
        <v>77.853300000000004</v>
      </c>
      <c r="K138" s="455"/>
      <c r="L138" s="312" t="s">
        <v>45</v>
      </c>
      <c r="M138" s="722"/>
      <c r="N138" s="722"/>
      <c r="O138" s="722"/>
      <c r="P138" s="722"/>
      <c r="Q138" s="611"/>
      <c r="R138" s="611"/>
      <c r="S138" s="624"/>
      <c r="T138" s="625"/>
      <c r="U138" s="626"/>
      <c r="V138" s="624"/>
      <c r="W138" s="624"/>
      <c r="X138" s="624"/>
      <c r="Y138" s="624"/>
      <c r="Z138" s="624"/>
      <c r="AA138" s="624"/>
      <c r="AB138" s="624"/>
      <c r="AC138" s="624"/>
      <c r="AD138" s="624"/>
      <c r="AE138" s="624"/>
      <c r="AF138" s="471"/>
      <c r="AG138" s="473"/>
      <c r="AH138" s="471"/>
      <c r="AI138" s="471"/>
      <c r="AJ138" s="471"/>
      <c r="AM138" s="404"/>
      <c r="AP138" s="404"/>
      <c r="AQ138" s="404"/>
    </row>
    <row r="139" spans="1:43" s="390" customFormat="1" ht="22.25" customHeight="1">
      <c r="A139" s="454"/>
      <c r="B139" s="657" t="s">
        <v>610</v>
      </c>
      <c r="C139" s="662"/>
      <c r="D139" s="662"/>
      <c r="E139" s="662">
        <v>1</v>
      </c>
      <c r="F139" s="498">
        <v>5</v>
      </c>
      <c r="G139" s="642"/>
      <c r="H139" s="642">
        <f>H137</f>
        <v>2.83</v>
      </c>
      <c r="I139" s="499"/>
      <c r="J139" s="507">
        <f t="shared" si="39"/>
        <v>14.15</v>
      </c>
      <c r="K139" s="455"/>
      <c r="L139" s="312" t="s">
        <v>45</v>
      </c>
      <c r="M139" s="722"/>
      <c r="N139" s="722"/>
      <c r="O139" s="722"/>
      <c r="P139" s="722"/>
      <c r="Q139" s="611"/>
      <c r="R139" s="611"/>
      <c r="S139" s="624"/>
      <c r="T139" s="625"/>
      <c r="U139" s="626"/>
      <c r="V139" s="624"/>
      <c r="W139" s="624"/>
      <c r="X139" s="624"/>
      <c r="Y139" s="624"/>
      <c r="Z139" s="624"/>
      <c r="AA139" s="624"/>
      <c r="AB139" s="624"/>
      <c r="AC139" s="624"/>
      <c r="AD139" s="624"/>
      <c r="AE139" s="624"/>
      <c r="AF139" s="471"/>
      <c r="AG139" s="473"/>
      <c r="AH139" s="471"/>
      <c r="AI139" s="471"/>
      <c r="AJ139" s="471"/>
      <c r="AM139" s="404"/>
      <c r="AP139" s="404"/>
      <c r="AQ139" s="404"/>
    </row>
    <row r="140" spans="1:43" s="390" customFormat="1" ht="26.25" customHeight="1">
      <c r="A140" s="454"/>
      <c r="B140" s="660"/>
      <c r="C140" s="662"/>
      <c r="D140" s="662"/>
      <c r="E140" s="662"/>
      <c r="F140" s="498"/>
      <c r="G140" s="642"/>
      <c r="H140" s="642"/>
      <c r="I140" s="458" t="str">
        <f>B120</f>
        <v>Roof Floor Beam</v>
      </c>
      <c r="J140" s="455"/>
      <c r="K140" s="455">
        <f>SUM(J121:J140)</f>
        <v>1241.3726000000001</v>
      </c>
      <c r="L140" s="312" t="s">
        <v>45</v>
      </c>
      <c r="M140" s="726"/>
      <c r="N140" s="726"/>
      <c r="O140" s="726"/>
      <c r="P140" s="726"/>
      <c r="Q140" s="611"/>
      <c r="R140" s="611"/>
      <c r="S140" s="611"/>
      <c r="T140" s="626"/>
      <c r="U140" s="624"/>
      <c r="V140" s="624"/>
      <c r="W140" s="624">
        <f>IF($R140=W$5,$V140,0)</f>
        <v>0</v>
      </c>
      <c r="X140" s="624">
        <f t="shared" si="35"/>
        <v>0</v>
      </c>
      <c r="Y140" s="624">
        <f t="shared" ref="Y140:AE140" si="42">IF($R140=Y$5,$V140,0)</f>
        <v>0</v>
      </c>
      <c r="Z140" s="624">
        <f t="shared" si="42"/>
        <v>0</v>
      </c>
      <c r="AA140" s="624">
        <f t="shared" si="42"/>
        <v>0</v>
      </c>
      <c r="AB140" s="624">
        <f t="shared" si="42"/>
        <v>0</v>
      </c>
      <c r="AC140" s="624">
        <f t="shared" si="42"/>
        <v>0</v>
      </c>
      <c r="AD140" s="624">
        <f t="shared" si="42"/>
        <v>0</v>
      </c>
      <c r="AE140" s="624">
        <f t="shared" si="42"/>
        <v>0</v>
      </c>
      <c r="AF140" s="404"/>
      <c r="AG140" s="471"/>
      <c r="AH140" s="471"/>
      <c r="AI140" s="471"/>
      <c r="AJ140" s="471"/>
      <c r="AM140" s="404"/>
      <c r="AP140" s="404"/>
      <c r="AQ140" s="404"/>
    </row>
    <row r="141" spans="1:43" s="390" customFormat="1" ht="21.9" customHeight="1">
      <c r="A141" s="454"/>
      <c r="B141" s="659" t="s">
        <v>480</v>
      </c>
      <c r="C141" s="662"/>
      <c r="D141" s="662"/>
      <c r="E141" s="662"/>
      <c r="F141" s="498"/>
      <c r="G141" s="642"/>
      <c r="H141" s="648"/>
      <c r="I141" s="501"/>
      <c r="J141" s="455"/>
      <c r="K141" s="455"/>
      <c r="L141" s="312"/>
      <c r="M141" s="726"/>
      <c r="N141" s="726"/>
      <c r="O141" s="726"/>
      <c r="P141" s="726"/>
      <c r="Q141" s="611"/>
      <c r="R141" s="611"/>
      <c r="S141" s="624"/>
      <c r="T141" s="625"/>
      <c r="U141" s="626"/>
      <c r="V141" s="624"/>
      <c r="W141" s="624">
        <f t="shared" ref="W141:W191" si="43">IF($R141=W$5,$V141,0)</f>
        <v>0</v>
      </c>
      <c r="X141" s="624">
        <f t="shared" ref="X141:X150" si="44">IF($R141=X$5,$V141,0)</f>
        <v>0</v>
      </c>
      <c r="Y141" s="624">
        <f t="shared" ref="Y141:AE143" si="45">IF($R141=Y$5,$V141,0)</f>
        <v>0</v>
      </c>
      <c r="Z141" s="624">
        <f t="shared" si="45"/>
        <v>0</v>
      </c>
      <c r="AA141" s="624">
        <f t="shared" si="45"/>
        <v>0</v>
      </c>
      <c r="AB141" s="624">
        <f t="shared" si="45"/>
        <v>0</v>
      </c>
      <c r="AC141" s="624">
        <f t="shared" si="45"/>
        <v>0</v>
      </c>
      <c r="AD141" s="624">
        <f t="shared" si="45"/>
        <v>0</v>
      </c>
      <c r="AE141" s="624">
        <f t="shared" si="45"/>
        <v>0</v>
      </c>
      <c r="AF141" s="404"/>
      <c r="AG141" s="471"/>
      <c r="AH141" s="471"/>
      <c r="AI141" s="471"/>
      <c r="AJ141" s="471"/>
      <c r="AM141" s="404"/>
      <c r="AP141" s="404"/>
      <c r="AQ141" s="404"/>
    </row>
    <row r="142" spans="1:43" s="390" customFormat="1" ht="21.9" customHeight="1">
      <c r="A142" s="454"/>
      <c r="B142" s="659" t="s">
        <v>768</v>
      </c>
      <c r="C142" s="662"/>
      <c r="D142" s="662"/>
      <c r="E142" s="662"/>
      <c r="F142" s="498"/>
      <c r="G142" s="642"/>
      <c r="H142" s="648"/>
      <c r="I142" s="501"/>
      <c r="J142" s="455"/>
      <c r="K142" s="455"/>
      <c r="L142" s="312"/>
      <c r="M142" s="726"/>
      <c r="N142" s="726"/>
      <c r="O142" s="726"/>
      <c r="P142" s="726"/>
      <c r="Q142" s="611"/>
      <c r="R142" s="611"/>
      <c r="S142" s="624"/>
      <c r="T142" s="625"/>
      <c r="U142" s="626"/>
      <c r="V142" s="624"/>
      <c r="W142" s="624">
        <f t="shared" si="43"/>
        <v>0</v>
      </c>
      <c r="X142" s="624">
        <f t="shared" si="44"/>
        <v>0</v>
      </c>
      <c r="Y142" s="624">
        <f t="shared" si="45"/>
        <v>0</v>
      </c>
      <c r="Z142" s="624">
        <f t="shared" si="45"/>
        <v>0</v>
      </c>
      <c r="AA142" s="624">
        <f t="shared" si="45"/>
        <v>0</v>
      </c>
      <c r="AB142" s="624">
        <f t="shared" si="45"/>
        <v>0</v>
      </c>
      <c r="AC142" s="624">
        <f t="shared" si="45"/>
        <v>0</v>
      </c>
      <c r="AD142" s="624">
        <f t="shared" si="45"/>
        <v>0</v>
      </c>
      <c r="AE142" s="624">
        <f t="shared" si="45"/>
        <v>0</v>
      </c>
      <c r="AF142" s="404"/>
      <c r="AG142" s="471"/>
      <c r="AH142" s="471"/>
      <c r="AI142" s="471"/>
      <c r="AJ142" s="471"/>
      <c r="AM142" s="404"/>
      <c r="AP142" s="404"/>
      <c r="AQ142" s="404"/>
    </row>
    <row r="143" spans="1:43" s="390" customFormat="1" ht="21.9" customHeight="1">
      <c r="A143" s="454"/>
      <c r="B143" s="659" t="s">
        <v>481</v>
      </c>
      <c r="C143" s="662"/>
      <c r="D143" s="662"/>
      <c r="E143" s="662"/>
      <c r="F143" s="498"/>
      <c r="G143" s="642"/>
      <c r="H143" s="647"/>
      <c r="I143" s="499"/>
      <c r="J143" s="455"/>
      <c r="K143" s="455"/>
      <c r="L143" s="312"/>
      <c r="M143" s="726"/>
      <c r="N143" s="726"/>
      <c r="O143" s="726"/>
      <c r="P143" s="726"/>
      <c r="Q143" s="611"/>
      <c r="R143" s="611"/>
      <c r="S143" s="624"/>
      <c r="T143" s="625"/>
      <c r="U143" s="626"/>
      <c r="V143" s="624"/>
      <c r="W143" s="624">
        <f t="shared" si="43"/>
        <v>0</v>
      </c>
      <c r="X143" s="624">
        <f t="shared" si="44"/>
        <v>0</v>
      </c>
      <c r="Y143" s="624">
        <f t="shared" si="45"/>
        <v>0</v>
      </c>
      <c r="Z143" s="624">
        <f t="shared" si="45"/>
        <v>0</v>
      </c>
      <c r="AA143" s="624">
        <f t="shared" si="45"/>
        <v>0</v>
      </c>
      <c r="AB143" s="624">
        <f t="shared" si="45"/>
        <v>0</v>
      </c>
      <c r="AC143" s="624">
        <f t="shared" si="45"/>
        <v>0</v>
      </c>
      <c r="AD143" s="624">
        <f t="shared" si="45"/>
        <v>0</v>
      </c>
      <c r="AE143" s="624">
        <f t="shared" si="45"/>
        <v>0</v>
      </c>
      <c r="AF143" s="404"/>
      <c r="AG143" s="471"/>
      <c r="AH143" s="471"/>
      <c r="AI143" s="471"/>
      <c r="AJ143" s="471"/>
      <c r="AM143" s="404"/>
      <c r="AP143" s="404"/>
      <c r="AQ143" s="404"/>
    </row>
    <row r="144" spans="1:43" s="390" customFormat="1" ht="22.25" customHeight="1">
      <c r="A144" s="454"/>
      <c r="B144" s="657" t="s">
        <v>769</v>
      </c>
      <c r="C144" s="662"/>
      <c r="D144" s="662">
        <v>1</v>
      </c>
      <c r="E144" s="662">
        <v>1</v>
      </c>
      <c r="F144" s="498">
        <v>9.5</v>
      </c>
      <c r="G144" s="642">
        <v>5.83</v>
      </c>
      <c r="H144" s="642"/>
      <c r="I144" s="499"/>
      <c r="J144" s="507">
        <f t="shared" ref="J144:J149" si="46">IF(I144=0,1,I144)*IF(H144=0,1,H144)*IF(G144=0,1,G144)*IF(F144=0,1,F144)*IF(E144=0,1,E144)*IF(D144=0,1,D144)*IF(C144=0,1,C144)</f>
        <v>55.384999999999998</v>
      </c>
      <c r="K144" s="455"/>
      <c r="L144" s="312" t="s">
        <v>45</v>
      </c>
      <c r="M144" s="722"/>
      <c r="N144" s="722"/>
      <c r="O144" s="722"/>
      <c r="P144" s="722"/>
      <c r="Q144" s="611"/>
      <c r="R144" s="611"/>
      <c r="S144" s="624"/>
      <c r="T144" s="625"/>
      <c r="U144" s="626"/>
      <c r="V144" s="624"/>
      <c r="W144" s="624">
        <f t="shared" si="43"/>
        <v>0</v>
      </c>
      <c r="X144" s="624">
        <f t="shared" si="44"/>
        <v>0</v>
      </c>
      <c r="Y144" s="624">
        <f t="shared" ref="Y144:AE149" si="47">IF($R144=Y$5,$V144,0)</f>
        <v>0</v>
      </c>
      <c r="Z144" s="624">
        <f t="shared" si="47"/>
        <v>0</v>
      </c>
      <c r="AA144" s="624">
        <f t="shared" si="47"/>
        <v>0</v>
      </c>
      <c r="AB144" s="624">
        <f t="shared" si="47"/>
        <v>0</v>
      </c>
      <c r="AC144" s="624">
        <f t="shared" si="47"/>
        <v>0</v>
      </c>
      <c r="AD144" s="624">
        <f t="shared" si="47"/>
        <v>0</v>
      </c>
      <c r="AE144" s="624">
        <f t="shared" si="47"/>
        <v>0</v>
      </c>
      <c r="AF144" s="471"/>
      <c r="AG144" s="473"/>
      <c r="AH144" s="471"/>
      <c r="AI144" s="471"/>
      <c r="AJ144" s="471"/>
      <c r="AM144" s="404"/>
      <c r="AP144" s="404"/>
      <c r="AQ144" s="404"/>
    </row>
    <row r="145" spans="1:43" s="390" customFormat="1" ht="22.25" customHeight="1">
      <c r="A145" s="454"/>
      <c r="B145" s="657"/>
      <c r="C145" s="662"/>
      <c r="D145" s="662">
        <v>1</v>
      </c>
      <c r="E145" s="662">
        <v>1</v>
      </c>
      <c r="F145" s="498">
        <f>F144*2+G144*2</f>
        <v>30.66</v>
      </c>
      <c r="G145" s="642"/>
      <c r="H145" s="642">
        <v>0.42</v>
      </c>
      <c r="I145" s="499"/>
      <c r="J145" s="507">
        <f t="shared" si="46"/>
        <v>12.8772</v>
      </c>
      <c r="K145" s="455"/>
      <c r="L145" s="312" t="s">
        <v>45</v>
      </c>
      <c r="M145" s="722"/>
      <c r="N145" s="722"/>
      <c r="O145" s="722"/>
      <c r="P145" s="722"/>
      <c r="Q145" s="611"/>
      <c r="R145" s="611"/>
      <c r="S145" s="624"/>
      <c r="T145" s="625"/>
      <c r="U145" s="626"/>
      <c r="V145" s="624"/>
      <c r="W145" s="624">
        <f t="shared" si="43"/>
        <v>0</v>
      </c>
      <c r="X145" s="624">
        <f t="shared" si="44"/>
        <v>0</v>
      </c>
      <c r="Y145" s="624">
        <f t="shared" si="47"/>
        <v>0</v>
      </c>
      <c r="Z145" s="624">
        <f t="shared" si="47"/>
        <v>0</v>
      </c>
      <c r="AA145" s="624">
        <f t="shared" si="47"/>
        <v>0</v>
      </c>
      <c r="AB145" s="624">
        <f t="shared" si="47"/>
        <v>0</v>
      </c>
      <c r="AC145" s="624">
        <f t="shared" si="47"/>
        <v>0</v>
      </c>
      <c r="AD145" s="624">
        <f t="shared" si="47"/>
        <v>0</v>
      </c>
      <c r="AE145" s="624">
        <f t="shared" si="47"/>
        <v>0</v>
      </c>
      <c r="AF145" s="471"/>
      <c r="AG145" s="473"/>
      <c r="AH145" s="471"/>
      <c r="AI145" s="471"/>
      <c r="AJ145" s="471"/>
      <c r="AM145" s="404"/>
      <c r="AP145" s="404"/>
      <c r="AQ145" s="404"/>
    </row>
    <row r="146" spans="1:43" s="390" customFormat="1" ht="22.25" customHeight="1">
      <c r="A146" s="454"/>
      <c r="B146" s="659" t="s">
        <v>770</v>
      </c>
      <c r="C146" s="662"/>
      <c r="D146" s="662"/>
      <c r="E146" s="662"/>
      <c r="F146" s="498"/>
      <c r="G146" s="642"/>
      <c r="H146" s="642"/>
      <c r="I146" s="499"/>
      <c r="J146" s="507"/>
      <c r="K146" s="455"/>
      <c r="L146" s="312"/>
      <c r="M146" s="722"/>
      <c r="N146" s="722"/>
      <c r="O146" s="722"/>
      <c r="P146" s="722"/>
      <c r="Q146" s="611"/>
      <c r="R146" s="611"/>
      <c r="S146" s="624"/>
      <c r="T146" s="625"/>
      <c r="U146" s="626"/>
      <c r="V146" s="624"/>
      <c r="W146" s="624"/>
      <c r="X146" s="624"/>
      <c r="Y146" s="624"/>
      <c r="Z146" s="624"/>
      <c r="AA146" s="624"/>
      <c r="AB146" s="624"/>
      <c r="AC146" s="624"/>
      <c r="AD146" s="624"/>
      <c r="AE146" s="624"/>
      <c r="AF146" s="471"/>
      <c r="AG146" s="473"/>
      <c r="AH146" s="471"/>
      <c r="AI146" s="471"/>
      <c r="AJ146" s="471"/>
      <c r="AM146" s="404"/>
      <c r="AP146" s="404"/>
      <c r="AQ146" s="404"/>
    </row>
    <row r="147" spans="1:43" s="390" customFormat="1" ht="22.25" customHeight="1">
      <c r="A147" s="454"/>
      <c r="B147" s="657" t="s">
        <v>771</v>
      </c>
      <c r="C147" s="662"/>
      <c r="D147" s="662">
        <v>1</v>
      </c>
      <c r="E147" s="662">
        <v>1</v>
      </c>
      <c r="F147" s="498">
        <v>204</v>
      </c>
      <c r="G147" s="642">
        <v>3</v>
      </c>
      <c r="H147" s="642"/>
      <c r="I147" s="499"/>
      <c r="J147" s="507">
        <f t="shared" si="46"/>
        <v>612</v>
      </c>
      <c r="K147" s="455"/>
      <c r="L147" s="312" t="s">
        <v>45</v>
      </c>
      <c r="M147" s="722"/>
      <c r="N147" s="722"/>
      <c r="O147" s="722"/>
      <c r="P147" s="722"/>
      <c r="Q147" s="611"/>
      <c r="R147" s="611"/>
      <c r="S147" s="624"/>
      <c r="T147" s="625"/>
      <c r="U147" s="626"/>
      <c r="V147" s="624"/>
      <c r="W147" s="624">
        <f t="shared" si="43"/>
        <v>0</v>
      </c>
      <c r="X147" s="624">
        <f t="shared" si="44"/>
        <v>0</v>
      </c>
      <c r="Y147" s="624">
        <f t="shared" si="47"/>
        <v>0</v>
      </c>
      <c r="Z147" s="624">
        <f t="shared" si="47"/>
        <v>0</v>
      </c>
      <c r="AA147" s="624">
        <f t="shared" si="47"/>
        <v>0</v>
      </c>
      <c r="AB147" s="624">
        <f t="shared" si="47"/>
        <v>0</v>
      </c>
      <c r="AC147" s="624">
        <f t="shared" si="47"/>
        <v>0</v>
      </c>
      <c r="AD147" s="624">
        <f t="shared" si="47"/>
        <v>0</v>
      </c>
      <c r="AE147" s="624">
        <f t="shared" si="47"/>
        <v>0</v>
      </c>
      <c r="AF147" s="471"/>
      <c r="AG147" s="473"/>
      <c r="AH147" s="471"/>
      <c r="AI147" s="471"/>
      <c r="AJ147" s="471"/>
      <c r="AM147" s="404"/>
      <c r="AP147" s="404"/>
      <c r="AQ147" s="404"/>
    </row>
    <row r="148" spans="1:43" s="390" customFormat="1" ht="22.25" customHeight="1">
      <c r="A148" s="454"/>
      <c r="B148" s="657"/>
      <c r="C148" s="662"/>
      <c r="D148" s="662">
        <v>1</v>
      </c>
      <c r="E148" s="662">
        <v>2</v>
      </c>
      <c r="F148" s="498">
        <f>F147</f>
        <v>204</v>
      </c>
      <c r="G148" s="642"/>
      <c r="H148" s="642">
        <v>1.5</v>
      </c>
      <c r="I148" s="499"/>
      <c r="J148" s="507">
        <f t="shared" si="46"/>
        <v>612</v>
      </c>
      <c r="K148" s="455"/>
      <c r="L148" s="312" t="s">
        <v>45</v>
      </c>
      <c r="M148" s="722"/>
      <c r="N148" s="722"/>
      <c r="O148" s="722"/>
      <c r="P148" s="722"/>
      <c r="Q148" s="611"/>
      <c r="R148" s="611"/>
      <c r="S148" s="624"/>
      <c r="T148" s="625"/>
      <c r="U148" s="626"/>
      <c r="V148" s="624"/>
      <c r="W148" s="624">
        <f t="shared" si="43"/>
        <v>0</v>
      </c>
      <c r="X148" s="624">
        <f t="shared" si="44"/>
        <v>0</v>
      </c>
      <c r="Y148" s="624">
        <f t="shared" si="47"/>
        <v>0</v>
      </c>
      <c r="Z148" s="624">
        <f t="shared" si="47"/>
        <v>0</v>
      </c>
      <c r="AA148" s="624">
        <f t="shared" si="47"/>
        <v>0</v>
      </c>
      <c r="AB148" s="624">
        <f t="shared" si="47"/>
        <v>0</v>
      </c>
      <c r="AC148" s="624">
        <f t="shared" si="47"/>
        <v>0</v>
      </c>
      <c r="AD148" s="624">
        <f t="shared" si="47"/>
        <v>0</v>
      </c>
      <c r="AE148" s="624">
        <f t="shared" si="47"/>
        <v>0</v>
      </c>
      <c r="AF148" s="471"/>
      <c r="AG148" s="473"/>
      <c r="AH148" s="471"/>
      <c r="AI148" s="471"/>
      <c r="AJ148" s="471"/>
      <c r="AM148" s="404"/>
      <c r="AP148" s="404"/>
      <c r="AQ148" s="404"/>
    </row>
    <row r="149" spans="1:43" s="390" customFormat="1" ht="22.25" customHeight="1">
      <c r="A149" s="454"/>
      <c r="B149" s="657"/>
      <c r="C149" s="662"/>
      <c r="D149" s="662">
        <v>1</v>
      </c>
      <c r="E149" s="662">
        <v>2</v>
      </c>
      <c r="F149" s="498">
        <v>204</v>
      </c>
      <c r="G149" s="642"/>
      <c r="H149" s="642">
        <v>0.33</v>
      </c>
      <c r="I149" s="499"/>
      <c r="J149" s="507">
        <f t="shared" si="46"/>
        <v>134.64000000000001</v>
      </c>
      <c r="K149" s="455"/>
      <c r="L149" s="312" t="s">
        <v>45</v>
      </c>
      <c r="M149" s="722"/>
      <c r="N149" s="722"/>
      <c r="O149" s="722"/>
      <c r="P149" s="722"/>
      <c r="Q149" s="611"/>
      <c r="R149" s="611"/>
      <c r="S149" s="624"/>
      <c r="T149" s="625"/>
      <c r="U149" s="626"/>
      <c r="V149" s="624"/>
      <c r="W149" s="624">
        <f t="shared" si="43"/>
        <v>0</v>
      </c>
      <c r="X149" s="624">
        <f t="shared" si="44"/>
        <v>0</v>
      </c>
      <c r="Y149" s="624">
        <f t="shared" si="47"/>
        <v>0</v>
      </c>
      <c r="Z149" s="624">
        <f t="shared" si="47"/>
        <v>0</v>
      </c>
      <c r="AA149" s="624">
        <f t="shared" si="47"/>
        <v>0</v>
      </c>
      <c r="AB149" s="624">
        <f t="shared" si="47"/>
        <v>0</v>
      </c>
      <c r="AC149" s="624">
        <f t="shared" si="47"/>
        <v>0</v>
      </c>
      <c r="AD149" s="624">
        <f t="shared" si="47"/>
        <v>0</v>
      </c>
      <c r="AE149" s="624">
        <f t="shared" si="47"/>
        <v>0</v>
      </c>
      <c r="AF149" s="471"/>
      <c r="AG149" s="473"/>
      <c r="AH149" s="471"/>
      <c r="AI149" s="471"/>
      <c r="AJ149" s="471"/>
      <c r="AM149" s="404"/>
      <c r="AP149" s="404"/>
      <c r="AQ149" s="404"/>
    </row>
    <row r="150" spans="1:43" s="390" customFormat="1" ht="26.25" customHeight="1">
      <c r="A150" s="454"/>
      <c r="B150" s="660"/>
      <c r="C150" s="662"/>
      <c r="D150" s="662"/>
      <c r="E150" s="662"/>
      <c r="F150" s="498"/>
      <c r="G150" s="642"/>
      <c r="H150" s="642"/>
      <c r="I150" s="458" t="str">
        <f>B141</f>
        <v>Roof Slab</v>
      </c>
      <c r="J150" s="455"/>
      <c r="K150" s="455">
        <f>SUM(J141:J150)</f>
        <v>1426.9022000000002</v>
      </c>
      <c r="L150" s="312" t="s">
        <v>45</v>
      </c>
      <c r="M150" s="726"/>
      <c r="N150" s="726"/>
      <c r="O150" s="726"/>
      <c r="P150" s="726"/>
      <c r="Q150" s="611"/>
      <c r="R150" s="611"/>
      <c r="S150" s="611"/>
      <c r="T150" s="626"/>
      <c r="U150" s="624"/>
      <c r="V150" s="624"/>
      <c r="W150" s="624">
        <f t="shared" si="43"/>
        <v>0</v>
      </c>
      <c r="X150" s="624">
        <f t="shared" si="44"/>
        <v>0</v>
      </c>
      <c r="Y150" s="624">
        <f t="shared" ref="Y150:AE150" si="48">IF($R150=Y$5,$V150,0)</f>
        <v>0</v>
      </c>
      <c r="Z150" s="624">
        <f t="shared" si="48"/>
        <v>0</v>
      </c>
      <c r="AA150" s="624">
        <f t="shared" si="48"/>
        <v>0</v>
      </c>
      <c r="AB150" s="624">
        <f t="shared" si="48"/>
        <v>0</v>
      </c>
      <c r="AC150" s="624">
        <f t="shared" si="48"/>
        <v>0</v>
      </c>
      <c r="AD150" s="624">
        <f t="shared" si="48"/>
        <v>0</v>
      </c>
      <c r="AE150" s="624">
        <f t="shared" si="48"/>
        <v>0</v>
      </c>
      <c r="AF150" s="404"/>
      <c r="AG150" s="471"/>
      <c r="AH150" s="471"/>
      <c r="AI150" s="471"/>
      <c r="AJ150" s="471"/>
      <c r="AM150" s="404"/>
      <c r="AP150" s="404"/>
      <c r="AQ150" s="404"/>
    </row>
    <row r="151" spans="1:43" s="390" customFormat="1" ht="21.9" customHeight="1">
      <c r="A151" s="454"/>
      <c r="B151" s="659" t="s">
        <v>603</v>
      </c>
      <c r="C151" s="662"/>
      <c r="D151" s="662"/>
      <c r="E151" s="662"/>
      <c r="F151" s="498"/>
      <c r="G151" s="642"/>
      <c r="H151" s="648"/>
      <c r="I151" s="501"/>
      <c r="J151" s="455"/>
      <c r="K151" s="455"/>
      <c r="L151" s="312"/>
      <c r="M151" s="726"/>
      <c r="N151" s="726"/>
      <c r="O151" s="726"/>
      <c r="P151" s="726"/>
      <c r="Q151" s="611"/>
      <c r="R151" s="611"/>
      <c r="S151" s="624"/>
      <c r="T151" s="625"/>
      <c r="U151" s="626"/>
      <c r="V151" s="624"/>
      <c r="W151" s="624">
        <f t="shared" si="43"/>
        <v>0</v>
      </c>
      <c r="X151" s="624">
        <f t="shared" ref="X151:X209" si="49">IF($R151=X$5,$V151,0)</f>
        <v>0</v>
      </c>
      <c r="Y151" s="624">
        <f t="shared" ref="Y151:AE155" si="50">IF($R151=Y$5,$V151,0)</f>
        <v>0</v>
      </c>
      <c r="Z151" s="624">
        <f t="shared" si="50"/>
        <v>0</v>
      </c>
      <c r="AA151" s="624">
        <f t="shared" si="50"/>
        <v>0</v>
      </c>
      <c r="AB151" s="624">
        <f t="shared" si="50"/>
        <v>0</v>
      </c>
      <c r="AC151" s="624">
        <f t="shared" si="50"/>
        <v>0</v>
      </c>
      <c r="AD151" s="624">
        <f t="shared" si="50"/>
        <v>0</v>
      </c>
      <c r="AE151" s="624">
        <f t="shared" si="50"/>
        <v>0</v>
      </c>
      <c r="AF151" s="404"/>
      <c r="AG151" s="471"/>
      <c r="AH151" s="471"/>
      <c r="AI151" s="471"/>
      <c r="AJ151" s="471"/>
      <c r="AM151" s="404"/>
      <c r="AP151" s="404"/>
      <c r="AQ151" s="404"/>
    </row>
    <row r="152" spans="1:43" s="390" customFormat="1" ht="22.25" customHeight="1">
      <c r="A152" s="454"/>
      <c r="B152" s="659" t="s">
        <v>151</v>
      </c>
      <c r="C152" s="662"/>
      <c r="D152" s="662"/>
      <c r="E152" s="662"/>
      <c r="F152" s="498"/>
      <c r="G152" s="642"/>
      <c r="H152" s="642"/>
      <c r="I152" s="499"/>
      <c r="J152" s="507"/>
      <c r="K152" s="455"/>
      <c r="L152" s="312"/>
      <c r="M152" s="722">
        <f>F152*2+G152*2</f>
        <v>0</v>
      </c>
      <c r="N152" s="722">
        <f>M152*H152</f>
        <v>0</v>
      </c>
      <c r="O152" s="455">
        <f>F152*G152</f>
        <v>0</v>
      </c>
      <c r="P152" s="722"/>
      <c r="Q152" s="611"/>
      <c r="R152" s="611"/>
      <c r="S152" s="624"/>
      <c r="T152" s="625"/>
      <c r="U152" s="626"/>
      <c r="V152" s="624"/>
      <c r="W152" s="624">
        <f t="shared" si="43"/>
        <v>0</v>
      </c>
      <c r="X152" s="624">
        <f t="shared" si="49"/>
        <v>0</v>
      </c>
      <c r="Y152" s="624">
        <f t="shared" si="50"/>
        <v>0</v>
      </c>
      <c r="Z152" s="624">
        <f t="shared" si="50"/>
        <v>0</v>
      </c>
      <c r="AA152" s="624">
        <f t="shared" si="50"/>
        <v>0</v>
      </c>
      <c r="AB152" s="624">
        <f t="shared" si="50"/>
        <v>0</v>
      </c>
      <c r="AC152" s="624">
        <f t="shared" si="50"/>
        <v>0</v>
      </c>
      <c r="AD152" s="624">
        <f t="shared" si="50"/>
        <v>0</v>
      </c>
      <c r="AE152" s="624">
        <f t="shared" si="50"/>
        <v>0</v>
      </c>
      <c r="AF152" s="471"/>
      <c r="AG152" s="473"/>
      <c r="AH152" s="471"/>
      <c r="AI152" s="471"/>
      <c r="AJ152" s="471"/>
      <c r="AM152" s="404"/>
      <c r="AP152" s="404"/>
      <c r="AQ152" s="404"/>
    </row>
    <row r="153" spans="1:43" s="390" customFormat="1" ht="22.25" customHeight="1">
      <c r="A153" s="454"/>
      <c r="B153" s="657" t="s">
        <v>763</v>
      </c>
      <c r="C153" s="662">
        <v>2</v>
      </c>
      <c r="D153" s="662">
        <v>2</v>
      </c>
      <c r="E153" s="662">
        <v>2</v>
      </c>
      <c r="F153" s="498">
        <v>45</v>
      </c>
      <c r="G153" s="642"/>
      <c r="H153" s="642">
        <v>0.5</v>
      </c>
      <c r="I153" s="499"/>
      <c r="J153" s="507">
        <f>IF(I153=0,1,I153)*IF(H153=0,1,H153)*IF(G153=0,1,G153)*IF(F153=0,1,F153)*IF(E153=0,1,E153)*IF(D153=0,1,D153)*IF(C153=0,1,C153)</f>
        <v>180</v>
      </c>
      <c r="K153" s="455"/>
      <c r="L153" s="302" t="s">
        <v>45</v>
      </c>
      <c r="M153" s="722"/>
      <c r="N153" s="722"/>
      <c r="O153" s="500"/>
      <c r="P153" s="722"/>
      <c r="Q153" s="611"/>
      <c r="R153" s="611"/>
      <c r="S153" s="624"/>
      <c r="T153" s="625"/>
      <c r="U153" s="626"/>
      <c r="V153" s="624"/>
      <c r="W153" s="624">
        <f t="shared" si="43"/>
        <v>0</v>
      </c>
      <c r="X153" s="624">
        <f t="shared" si="49"/>
        <v>0</v>
      </c>
      <c r="Y153" s="624">
        <f t="shared" si="50"/>
        <v>0</v>
      </c>
      <c r="Z153" s="624">
        <f t="shared" si="50"/>
        <v>0</v>
      </c>
      <c r="AA153" s="624">
        <f t="shared" si="50"/>
        <v>0</v>
      </c>
      <c r="AB153" s="624">
        <f t="shared" si="50"/>
        <v>0</v>
      </c>
      <c r="AC153" s="624">
        <f t="shared" si="50"/>
        <v>0</v>
      </c>
      <c r="AD153" s="624">
        <f t="shared" si="50"/>
        <v>0</v>
      </c>
      <c r="AE153" s="624">
        <f t="shared" si="50"/>
        <v>0</v>
      </c>
      <c r="AF153" s="471"/>
      <c r="AG153" s="473"/>
      <c r="AH153" s="471"/>
      <c r="AI153" s="471"/>
      <c r="AJ153" s="471"/>
      <c r="AM153" s="404"/>
      <c r="AP153" s="404"/>
      <c r="AQ153" s="404"/>
    </row>
    <row r="154" spans="1:43" s="390" customFormat="1" ht="22.25" customHeight="1">
      <c r="A154" s="454"/>
      <c r="B154" s="657" t="s">
        <v>555</v>
      </c>
      <c r="C154" s="662">
        <v>2</v>
      </c>
      <c r="D154" s="662">
        <v>2</v>
      </c>
      <c r="E154" s="662">
        <v>2</v>
      </c>
      <c r="F154" s="498">
        <v>8</v>
      </c>
      <c r="G154" s="642"/>
      <c r="H154" s="642">
        <v>0.5</v>
      </c>
      <c r="I154" s="499"/>
      <c r="J154" s="507">
        <f>IF(I154=0,1,I154)*IF(H154=0,1,H154)*IF(G154=0,1,G154)*IF(F154=0,1,F154)*IF(E154=0,1,E154)*IF(D154=0,1,D154)*IF(C154=0,1,C154)</f>
        <v>32</v>
      </c>
      <c r="K154" s="455"/>
      <c r="L154" s="302" t="s">
        <v>45</v>
      </c>
      <c r="M154" s="722"/>
      <c r="N154" s="722"/>
      <c r="O154" s="500"/>
      <c r="P154" s="722"/>
      <c r="Q154" s="611"/>
      <c r="R154" s="611"/>
      <c r="S154" s="624"/>
      <c r="T154" s="625"/>
      <c r="U154" s="626"/>
      <c r="V154" s="624"/>
      <c r="W154" s="624"/>
      <c r="X154" s="624"/>
      <c r="Y154" s="624"/>
      <c r="Z154" s="624"/>
      <c r="AA154" s="624"/>
      <c r="AB154" s="624"/>
      <c r="AC154" s="624"/>
      <c r="AD154" s="624"/>
      <c r="AE154" s="624"/>
      <c r="AF154" s="471"/>
      <c r="AG154" s="473"/>
      <c r="AH154" s="471"/>
      <c r="AI154" s="471"/>
      <c r="AJ154" s="471"/>
      <c r="AM154" s="404"/>
      <c r="AP154" s="404"/>
      <c r="AQ154" s="404"/>
    </row>
    <row r="155" spans="1:43" s="390" customFormat="1" ht="22.25" customHeight="1">
      <c r="A155" s="454"/>
      <c r="B155" s="657" t="s">
        <v>772</v>
      </c>
      <c r="C155" s="662">
        <v>2</v>
      </c>
      <c r="D155" s="662">
        <v>2</v>
      </c>
      <c r="E155" s="662">
        <v>3</v>
      </c>
      <c r="F155" s="498">
        <v>5</v>
      </c>
      <c r="G155" s="642"/>
      <c r="H155" s="642">
        <v>0.5</v>
      </c>
      <c r="I155" s="499"/>
      <c r="J155" s="507">
        <f>IF(I155=0,1,I155)*IF(H155=0,1,H155)*IF(G155=0,1,G155)*IF(F155=0,1,F155)*IF(E155=0,1,E155)*IF(D155=0,1,D155)*IF(C155=0,1,C155)</f>
        <v>30</v>
      </c>
      <c r="K155" s="455"/>
      <c r="L155" s="302" t="s">
        <v>45</v>
      </c>
      <c r="M155" s="722"/>
      <c r="N155" s="722"/>
      <c r="O155" s="500"/>
      <c r="P155" s="722"/>
      <c r="Q155" s="611"/>
      <c r="R155" s="611"/>
      <c r="S155" s="624"/>
      <c r="T155" s="625"/>
      <c r="U155" s="626"/>
      <c r="V155" s="624"/>
      <c r="W155" s="624">
        <f t="shared" si="43"/>
        <v>0</v>
      </c>
      <c r="X155" s="624">
        <f t="shared" si="49"/>
        <v>0</v>
      </c>
      <c r="Y155" s="624">
        <f t="shared" si="50"/>
        <v>0</v>
      </c>
      <c r="Z155" s="624">
        <f t="shared" si="50"/>
        <v>0</v>
      </c>
      <c r="AA155" s="624">
        <f t="shared" si="50"/>
        <v>0</v>
      </c>
      <c r="AB155" s="624">
        <f t="shared" si="50"/>
        <v>0</v>
      </c>
      <c r="AC155" s="624">
        <f t="shared" si="50"/>
        <v>0</v>
      </c>
      <c r="AD155" s="624">
        <f t="shared" si="50"/>
        <v>0</v>
      </c>
      <c r="AE155" s="624">
        <f t="shared" si="50"/>
        <v>0</v>
      </c>
      <c r="AF155" s="471"/>
      <c r="AG155" s="473"/>
      <c r="AH155" s="471"/>
      <c r="AI155" s="471"/>
      <c r="AJ155" s="471"/>
      <c r="AM155" s="404"/>
      <c r="AP155" s="404"/>
      <c r="AQ155" s="404"/>
    </row>
    <row r="156" spans="1:43" s="390" customFormat="1" ht="22.25" customHeight="1">
      <c r="A156" s="454"/>
      <c r="B156" s="657" t="s">
        <v>472</v>
      </c>
      <c r="C156" s="662">
        <v>2</v>
      </c>
      <c r="D156" s="662">
        <v>2</v>
      </c>
      <c r="E156" s="662">
        <v>1</v>
      </c>
      <c r="F156" s="498">
        <v>30</v>
      </c>
      <c r="G156" s="642"/>
      <c r="H156" s="642">
        <v>0.5</v>
      </c>
      <c r="I156" s="499"/>
      <c r="J156" s="507">
        <f t="shared" ref="J156:J161" si="51">IF(I156=0,1,I156)*IF(H156=0,1,H156)*IF(G156=0,1,G156)*IF(F156=0,1,F156)*IF(E156=0,1,E156)*IF(D156=0,1,D156)*IF(C156=0,1,C156)</f>
        <v>60</v>
      </c>
      <c r="K156" s="455"/>
      <c r="L156" s="302" t="s">
        <v>45</v>
      </c>
      <c r="M156" s="722"/>
      <c r="N156" s="722"/>
      <c r="O156" s="500"/>
      <c r="P156" s="722"/>
      <c r="Q156" s="611"/>
      <c r="R156" s="611"/>
      <c r="S156" s="624"/>
      <c r="T156" s="625"/>
      <c r="U156" s="626"/>
      <c r="V156" s="624"/>
      <c r="W156" s="624"/>
      <c r="X156" s="624"/>
      <c r="Y156" s="624"/>
      <c r="Z156" s="624"/>
      <c r="AA156" s="624"/>
      <c r="AB156" s="624"/>
      <c r="AC156" s="624"/>
      <c r="AD156" s="624"/>
      <c r="AE156" s="624"/>
      <c r="AF156" s="471"/>
      <c r="AG156" s="473"/>
      <c r="AH156" s="471"/>
      <c r="AI156" s="471"/>
      <c r="AJ156" s="471"/>
      <c r="AM156" s="404"/>
      <c r="AP156" s="404"/>
      <c r="AQ156" s="404"/>
    </row>
    <row r="157" spans="1:43" s="390" customFormat="1" ht="22.25" customHeight="1">
      <c r="A157" s="454"/>
      <c r="B157" s="657" t="s">
        <v>473</v>
      </c>
      <c r="C157" s="662">
        <v>2</v>
      </c>
      <c r="D157" s="662">
        <v>2</v>
      </c>
      <c r="E157" s="662">
        <v>1</v>
      </c>
      <c r="F157" s="498">
        <v>15</v>
      </c>
      <c r="G157" s="642"/>
      <c r="H157" s="642">
        <v>0.5</v>
      </c>
      <c r="I157" s="499"/>
      <c r="J157" s="507">
        <f t="shared" si="51"/>
        <v>30</v>
      </c>
      <c r="K157" s="455"/>
      <c r="L157" s="302" t="s">
        <v>45</v>
      </c>
      <c r="M157" s="722"/>
      <c r="N157" s="722"/>
      <c r="O157" s="500"/>
      <c r="P157" s="722"/>
      <c r="Q157" s="611"/>
      <c r="R157" s="611"/>
      <c r="S157" s="624"/>
      <c r="T157" s="625"/>
      <c r="U157" s="626"/>
      <c r="V157" s="624"/>
      <c r="W157" s="624"/>
      <c r="X157" s="624"/>
      <c r="Y157" s="624"/>
      <c r="Z157" s="624"/>
      <c r="AA157" s="624"/>
      <c r="AB157" s="624"/>
      <c r="AC157" s="624"/>
      <c r="AD157" s="624"/>
      <c r="AE157" s="624"/>
      <c r="AF157" s="471"/>
      <c r="AG157" s="473"/>
      <c r="AH157" s="471"/>
      <c r="AI157" s="471"/>
      <c r="AJ157" s="471"/>
      <c r="AM157" s="404"/>
      <c r="AP157" s="404"/>
      <c r="AQ157" s="404"/>
    </row>
    <row r="158" spans="1:43" s="390" customFormat="1" ht="22.25" customHeight="1">
      <c r="A158" s="454"/>
      <c r="B158" s="657" t="s">
        <v>609</v>
      </c>
      <c r="C158" s="662">
        <v>2</v>
      </c>
      <c r="D158" s="662">
        <v>2</v>
      </c>
      <c r="E158" s="662">
        <v>1</v>
      </c>
      <c r="F158" s="498">
        <v>15</v>
      </c>
      <c r="G158" s="642"/>
      <c r="H158" s="642">
        <v>0.5</v>
      </c>
      <c r="I158" s="499"/>
      <c r="J158" s="507">
        <f t="shared" si="51"/>
        <v>30</v>
      </c>
      <c r="K158" s="455"/>
      <c r="L158" s="302" t="s">
        <v>45</v>
      </c>
      <c r="M158" s="722"/>
      <c r="N158" s="722"/>
      <c r="O158" s="500"/>
      <c r="P158" s="722"/>
      <c r="Q158" s="611"/>
      <c r="R158" s="611"/>
      <c r="S158" s="624"/>
      <c r="T158" s="625"/>
      <c r="U158" s="626"/>
      <c r="V158" s="624"/>
      <c r="W158" s="624"/>
      <c r="X158" s="624"/>
      <c r="Y158" s="624"/>
      <c r="Z158" s="624"/>
      <c r="AA158" s="624"/>
      <c r="AB158" s="624"/>
      <c r="AC158" s="624"/>
      <c r="AD158" s="624"/>
      <c r="AE158" s="624"/>
      <c r="AF158" s="471"/>
      <c r="AG158" s="473"/>
      <c r="AH158" s="471"/>
      <c r="AI158" s="471"/>
      <c r="AJ158" s="471"/>
      <c r="AM158" s="404"/>
      <c r="AP158" s="404"/>
      <c r="AQ158" s="404"/>
    </row>
    <row r="159" spans="1:43" s="390" customFormat="1" ht="22.25" customHeight="1">
      <c r="A159" s="454"/>
      <c r="B159" s="657" t="s">
        <v>305</v>
      </c>
      <c r="C159" s="662">
        <v>2</v>
      </c>
      <c r="D159" s="662">
        <v>2</v>
      </c>
      <c r="E159" s="662">
        <v>1</v>
      </c>
      <c r="F159" s="498">
        <v>35</v>
      </c>
      <c r="G159" s="642"/>
      <c r="H159" s="642">
        <v>0.5</v>
      </c>
      <c r="I159" s="499"/>
      <c r="J159" s="507">
        <f t="shared" si="51"/>
        <v>70</v>
      </c>
      <c r="K159" s="455"/>
      <c r="L159" s="302" t="s">
        <v>45</v>
      </c>
      <c r="M159" s="722"/>
      <c r="N159" s="722"/>
      <c r="O159" s="500"/>
      <c r="P159" s="722"/>
      <c r="Q159" s="611"/>
      <c r="R159" s="611"/>
      <c r="S159" s="624"/>
      <c r="T159" s="625"/>
      <c r="U159" s="626"/>
      <c r="V159" s="624"/>
      <c r="W159" s="624"/>
      <c r="X159" s="624"/>
      <c r="Y159" s="624"/>
      <c r="Z159" s="624"/>
      <c r="AA159" s="624"/>
      <c r="AB159" s="624"/>
      <c r="AC159" s="624"/>
      <c r="AD159" s="624"/>
      <c r="AE159" s="624"/>
      <c r="AF159" s="471"/>
      <c r="AG159" s="473"/>
      <c r="AH159" s="471"/>
      <c r="AI159" s="471"/>
      <c r="AJ159" s="471"/>
      <c r="AM159" s="404"/>
      <c r="AP159" s="404"/>
      <c r="AQ159" s="404"/>
    </row>
    <row r="160" spans="1:43" s="390" customFormat="1" ht="22.25" customHeight="1">
      <c r="A160" s="454"/>
      <c r="B160" s="657" t="s">
        <v>773</v>
      </c>
      <c r="C160" s="662">
        <v>2</v>
      </c>
      <c r="D160" s="662">
        <v>2</v>
      </c>
      <c r="E160" s="662">
        <v>3</v>
      </c>
      <c r="F160" s="498">
        <f>14.5*2</f>
        <v>29</v>
      </c>
      <c r="G160" s="642"/>
      <c r="H160" s="642">
        <v>0.5</v>
      </c>
      <c r="I160" s="499"/>
      <c r="J160" s="507">
        <f t="shared" si="51"/>
        <v>174</v>
      </c>
      <c r="K160" s="455"/>
      <c r="L160" s="302" t="s">
        <v>45</v>
      </c>
      <c r="M160" s="722"/>
      <c r="N160" s="722"/>
      <c r="O160" s="500"/>
      <c r="P160" s="722"/>
      <c r="Q160" s="611"/>
      <c r="R160" s="611"/>
      <c r="S160" s="624"/>
      <c r="T160" s="625"/>
      <c r="U160" s="626"/>
      <c r="V160" s="624"/>
      <c r="W160" s="624"/>
      <c r="X160" s="624"/>
      <c r="Y160" s="624"/>
      <c r="Z160" s="624"/>
      <c r="AA160" s="624"/>
      <c r="AB160" s="624"/>
      <c r="AC160" s="624"/>
      <c r="AD160" s="624"/>
      <c r="AE160" s="624"/>
      <c r="AF160" s="471"/>
      <c r="AG160" s="473"/>
      <c r="AH160" s="471"/>
      <c r="AI160" s="471"/>
      <c r="AJ160" s="471"/>
      <c r="AM160" s="404"/>
      <c r="AP160" s="404"/>
      <c r="AQ160" s="404"/>
    </row>
    <row r="161" spans="1:43" s="390" customFormat="1" ht="22.25" customHeight="1">
      <c r="A161" s="454"/>
      <c r="B161" s="657" t="s">
        <v>734</v>
      </c>
      <c r="C161" s="662">
        <v>2</v>
      </c>
      <c r="D161" s="662">
        <v>2</v>
      </c>
      <c r="E161" s="662">
        <v>1</v>
      </c>
      <c r="F161" s="498">
        <v>9.5</v>
      </c>
      <c r="G161" s="642"/>
      <c r="H161" s="642">
        <v>0.5</v>
      </c>
      <c r="I161" s="499"/>
      <c r="J161" s="507">
        <f t="shared" si="51"/>
        <v>19</v>
      </c>
      <c r="K161" s="455"/>
      <c r="L161" s="302" t="s">
        <v>45</v>
      </c>
      <c r="M161" s="722"/>
      <c r="N161" s="722"/>
      <c r="O161" s="500"/>
      <c r="P161" s="722"/>
      <c r="Q161" s="611"/>
      <c r="R161" s="611"/>
      <c r="S161" s="624"/>
      <c r="T161" s="625"/>
      <c r="U161" s="626"/>
      <c r="V161" s="624"/>
      <c r="W161" s="624"/>
      <c r="X161" s="624"/>
      <c r="Y161" s="624"/>
      <c r="Z161" s="624"/>
      <c r="AA161" s="624"/>
      <c r="AB161" s="624"/>
      <c r="AC161" s="624"/>
      <c r="AD161" s="624"/>
      <c r="AE161" s="624"/>
      <c r="AF161" s="471"/>
      <c r="AG161" s="473"/>
      <c r="AH161" s="471"/>
      <c r="AI161" s="471"/>
      <c r="AJ161" s="471"/>
      <c r="AM161" s="404"/>
      <c r="AP161" s="404"/>
      <c r="AQ161" s="404"/>
    </row>
    <row r="162" spans="1:43" s="390" customFormat="1" ht="26.25" customHeight="1">
      <c r="A162" s="454"/>
      <c r="B162" s="660"/>
      <c r="C162" s="662"/>
      <c r="D162" s="662"/>
      <c r="E162" s="662"/>
      <c r="F162" s="498"/>
      <c r="G162" s="642"/>
      <c r="H162" s="642"/>
      <c r="I162" s="458" t="str">
        <f>B151</f>
        <v>Lintel</v>
      </c>
      <c r="J162" s="455"/>
      <c r="K162" s="455">
        <f>SUM(J152:J162)</f>
        <v>625</v>
      </c>
      <c r="L162" s="312" t="s">
        <v>45</v>
      </c>
      <c r="M162" s="726"/>
      <c r="N162" s="726"/>
      <c r="O162" s="726"/>
      <c r="P162" s="726"/>
      <c r="Q162" s="611"/>
      <c r="R162" s="611"/>
      <c r="S162" s="611"/>
      <c r="T162" s="626"/>
      <c r="U162" s="624"/>
      <c r="V162" s="624"/>
      <c r="W162" s="624">
        <f t="shared" si="43"/>
        <v>0</v>
      </c>
      <c r="X162" s="624">
        <f t="shared" si="49"/>
        <v>0</v>
      </c>
      <c r="Y162" s="624">
        <f t="shared" ref="Y162:AE165" si="52">IF($R162=Y$5,$V162,0)</f>
        <v>0</v>
      </c>
      <c r="Z162" s="624">
        <f t="shared" si="52"/>
        <v>0</v>
      </c>
      <c r="AA162" s="624">
        <f t="shared" si="52"/>
        <v>0</v>
      </c>
      <c r="AB162" s="624">
        <f t="shared" si="52"/>
        <v>0</v>
      </c>
      <c r="AC162" s="624">
        <f t="shared" si="52"/>
        <v>0</v>
      </c>
      <c r="AD162" s="624">
        <f t="shared" si="52"/>
        <v>0</v>
      </c>
      <c r="AE162" s="624">
        <f t="shared" si="52"/>
        <v>0</v>
      </c>
      <c r="AF162" s="404"/>
      <c r="AG162" s="471"/>
      <c r="AH162" s="471"/>
      <c r="AI162" s="471"/>
      <c r="AJ162" s="471"/>
      <c r="AM162" s="404"/>
      <c r="AP162" s="404"/>
      <c r="AQ162" s="404"/>
    </row>
    <row r="163" spans="1:43" s="390" customFormat="1" ht="21.9" customHeight="1">
      <c r="A163" s="454"/>
      <c r="B163" s="659" t="s">
        <v>612</v>
      </c>
      <c r="C163" s="662"/>
      <c r="D163" s="662"/>
      <c r="E163" s="662"/>
      <c r="F163" s="498"/>
      <c r="G163" s="642"/>
      <c r="H163" s="648"/>
      <c r="I163" s="501"/>
      <c r="J163" s="455"/>
      <c r="K163" s="455"/>
      <c r="L163" s="312"/>
      <c r="M163" s="726"/>
      <c r="N163" s="726"/>
      <c r="O163" s="726"/>
      <c r="P163" s="726"/>
      <c r="Q163" s="611"/>
      <c r="R163" s="611"/>
      <c r="S163" s="624"/>
      <c r="T163" s="625"/>
      <c r="U163" s="626"/>
      <c r="V163" s="624"/>
      <c r="W163" s="624">
        <f t="shared" si="43"/>
        <v>0</v>
      </c>
      <c r="X163" s="624">
        <f t="shared" si="49"/>
        <v>0</v>
      </c>
      <c r="Y163" s="624">
        <f t="shared" si="52"/>
        <v>0</v>
      </c>
      <c r="Z163" s="624">
        <f t="shared" si="52"/>
        <v>0</v>
      </c>
      <c r="AA163" s="624">
        <f t="shared" si="52"/>
        <v>0</v>
      </c>
      <c r="AB163" s="624">
        <f t="shared" si="52"/>
        <v>0</v>
      </c>
      <c r="AC163" s="624">
        <f t="shared" si="52"/>
        <v>0</v>
      </c>
      <c r="AD163" s="624">
        <f t="shared" si="52"/>
        <v>0</v>
      </c>
      <c r="AE163" s="624">
        <f t="shared" si="52"/>
        <v>0</v>
      </c>
      <c r="AF163" s="404"/>
      <c r="AG163" s="471"/>
      <c r="AH163" s="471"/>
      <c r="AI163" s="471"/>
      <c r="AJ163" s="471"/>
      <c r="AM163" s="404"/>
      <c r="AP163" s="404"/>
      <c r="AQ163" s="404"/>
    </row>
    <row r="164" spans="1:43" s="390" customFormat="1" ht="22.25" customHeight="1">
      <c r="A164" s="454"/>
      <c r="B164" s="659" t="s">
        <v>151</v>
      </c>
      <c r="C164" s="662"/>
      <c r="D164" s="662"/>
      <c r="E164" s="662"/>
      <c r="F164" s="498"/>
      <c r="G164" s="642"/>
      <c r="H164" s="642"/>
      <c r="I164" s="499"/>
      <c r="J164" s="507"/>
      <c r="K164" s="455"/>
      <c r="L164" s="312"/>
      <c r="M164" s="722">
        <f>F164*2+G164*2</f>
        <v>0</v>
      </c>
      <c r="N164" s="722">
        <f>M164*H164</f>
        <v>0</v>
      </c>
      <c r="O164" s="455">
        <f>F164*G164</f>
        <v>0</v>
      </c>
      <c r="P164" s="722"/>
      <c r="Q164" s="611"/>
      <c r="R164" s="611"/>
      <c r="S164" s="624"/>
      <c r="T164" s="625"/>
      <c r="U164" s="626"/>
      <c r="V164" s="624"/>
      <c r="W164" s="624">
        <f t="shared" si="43"/>
        <v>0</v>
      </c>
      <c r="X164" s="624">
        <f t="shared" si="49"/>
        <v>0</v>
      </c>
      <c r="Y164" s="624">
        <f t="shared" si="52"/>
        <v>0</v>
      </c>
      <c r="Z164" s="624">
        <f t="shared" si="52"/>
        <v>0</v>
      </c>
      <c r="AA164" s="624">
        <f t="shared" si="52"/>
        <v>0</v>
      </c>
      <c r="AB164" s="624">
        <f t="shared" si="52"/>
        <v>0</v>
      </c>
      <c r="AC164" s="624">
        <f t="shared" si="52"/>
        <v>0</v>
      </c>
      <c r="AD164" s="624">
        <f t="shared" si="52"/>
        <v>0</v>
      </c>
      <c r="AE164" s="624">
        <f t="shared" si="52"/>
        <v>0</v>
      </c>
      <c r="AF164" s="471"/>
      <c r="AG164" s="473"/>
      <c r="AH164" s="471"/>
      <c r="AI164" s="471"/>
      <c r="AJ164" s="471"/>
      <c r="AM164" s="404"/>
      <c r="AP164" s="404"/>
      <c r="AQ164" s="404"/>
    </row>
    <row r="165" spans="1:43" s="390" customFormat="1" ht="22.25" customHeight="1">
      <c r="A165" s="454"/>
      <c r="B165" s="657"/>
      <c r="C165" s="662"/>
      <c r="D165" s="662">
        <v>2</v>
      </c>
      <c r="E165" s="662">
        <v>19</v>
      </c>
      <c r="F165" s="642">
        <v>0.5</v>
      </c>
      <c r="G165" s="642"/>
      <c r="H165" s="642">
        <v>13</v>
      </c>
      <c r="I165" s="499"/>
      <c r="J165" s="507">
        <f>IF(I165=0,1,I165)*IF(H165=0,1,H165)*IF(G165=0,1,G165)*IF(F165=0,1,F165)*IF(E165=0,1,E165)*IF(D165=0,1,D165)*IF(C165=0,1,C165)</f>
        <v>247</v>
      </c>
      <c r="K165" s="455"/>
      <c r="L165" s="302" t="s">
        <v>45</v>
      </c>
      <c r="M165" s="722"/>
      <c r="N165" s="722"/>
      <c r="O165" s="500"/>
      <c r="P165" s="722"/>
      <c r="Q165" s="611"/>
      <c r="R165" s="611"/>
      <c r="S165" s="624"/>
      <c r="T165" s="625"/>
      <c r="U165" s="626"/>
      <c r="V165" s="624"/>
      <c r="W165" s="624">
        <f t="shared" si="43"/>
        <v>0</v>
      </c>
      <c r="X165" s="624">
        <f t="shared" si="49"/>
        <v>0</v>
      </c>
      <c r="Y165" s="624">
        <f t="shared" si="52"/>
        <v>0</v>
      </c>
      <c r="Z165" s="624">
        <f t="shared" si="52"/>
        <v>0</v>
      </c>
      <c r="AA165" s="624">
        <f t="shared" si="52"/>
        <v>0</v>
      </c>
      <c r="AB165" s="624">
        <f t="shared" si="52"/>
        <v>0</v>
      </c>
      <c r="AC165" s="624">
        <f t="shared" si="52"/>
        <v>0</v>
      </c>
      <c r="AD165" s="624">
        <f t="shared" si="52"/>
        <v>0</v>
      </c>
      <c r="AE165" s="624">
        <f t="shared" si="52"/>
        <v>0</v>
      </c>
      <c r="AF165" s="471"/>
      <c r="AG165" s="473"/>
      <c r="AH165" s="471"/>
      <c r="AI165" s="471"/>
      <c r="AJ165" s="471"/>
      <c r="AM165" s="404"/>
      <c r="AP165" s="404"/>
      <c r="AQ165" s="404"/>
    </row>
    <row r="166" spans="1:43" s="390" customFormat="1" ht="26.25" customHeight="1">
      <c r="A166" s="454"/>
      <c r="B166" s="660"/>
      <c r="C166" s="662"/>
      <c r="D166" s="662"/>
      <c r="E166" s="662"/>
      <c r="F166" s="498"/>
      <c r="G166" s="642"/>
      <c r="H166" s="642"/>
      <c r="I166" s="458" t="str">
        <f>B163</f>
        <v>Stiffener</v>
      </c>
      <c r="J166" s="455"/>
      <c r="K166" s="455">
        <f>SUM(J164:J166)</f>
        <v>247</v>
      </c>
      <c r="L166" s="312" t="s">
        <v>45</v>
      </c>
      <c r="M166" s="726"/>
      <c r="N166" s="726"/>
      <c r="O166" s="726"/>
      <c r="P166" s="726"/>
      <c r="Q166" s="611"/>
      <c r="R166" s="611"/>
      <c r="S166" s="611"/>
      <c r="T166" s="626"/>
      <c r="U166" s="624"/>
      <c r="V166" s="624"/>
      <c r="W166" s="624">
        <f t="shared" si="43"/>
        <v>0</v>
      </c>
      <c r="X166" s="624">
        <f t="shared" si="49"/>
        <v>0</v>
      </c>
      <c r="Y166" s="624">
        <f t="shared" ref="Y166:AE168" si="53">IF($R166=Y$5,$V166,0)</f>
        <v>0</v>
      </c>
      <c r="Z166" s="624">
        <f t="shared" si="53"/>
        <v>0</v>
      </c>
      <c r="AA166" s="624">
        <f t="shared" si="53"/>
        <v>0</v>
      </c>
      <c r="AB166" s="624">
        <f t="shared" si="53"/>
        <v>0</v>
      </c>
      <c r="AC166" s="624">
        <f t="shared" si="53"/>
        <v>0</v>
      </c>
      <c r="AD166" s="624">
        <f t="shared" si="53"/>
        <v>0</v>
      </c>
      <c r="AE166" s="624">
        <f t="shared" si="53"/>
        <v>0</v>
      </c>
      <c r="AF166" s="404"/>
      <c r="AG166" s="471"/>
      <c r="AH166" s="471"/>
      <c r="AI166" s="471"/>
      <c r="AJ166" s="471"/>
      <c r="AM166" s="404"/>
      <c r="AP166" s="404"/>
      <c r="AQ166" s="404"/>
    </row>
    <row r="167" spans="1:43" s="390" customFormat="1" ht="21.9" customHeight="1">
      <c r="A167" s="454"/>
      <c r="B167" s="659" t="s">
        <v>650</v>
      </c>
      <c r="C167" s="662"/>
      <c r="D167" s="662"/>
      <c r="E167" s="662"/>
      <c r="F167" s="498"/>
      <c r="G167" s="642"/>
      <c r="H167" s="648"/>
      <c r="I167" s="501"/>
      <c r="J167" s="455"/>
      <c r="K167" s="455"/>
      <c r="L167" s="312"/>
      <c r="M167" s="726"/>
      <c r="N167" s="726"/>
      <c r="O167" s="726"/>
      <c r="P167" s="726"/>
      <c r="Q167" s="611"/>
      <c r="R167" s="611"/>
      <c r="S167" s="624"/>
      <c r="T167" s="625"/>
      <c r="U167" s="626"/>
      <c r="V167" s="624"/>
      <c r="W167" s="624">
        <f t="shared" si="43"/>
        <v>0</v>
      </c>
      <c r="X167" s="624">
        <f t="shared" si="49"/>
        <v>0</v>
      </c>
      <c r="Y167" s="624">
        <f t="shared" si="53"/>
        <v>0</v>
      </c>
      <c r="Z167" s="624">
        <f t="shared" si="53"/>
        <v>0</v>
      </c>
      <c r="AA167" s="624">
        <f t="shared" si="53"/>
        <v>0</v>
      </c>
      <c r="AB167" s="624">
        <f t="shared" si="53"/>
        <v>0</v>
      </c>
      <c r="AC167" s="624">
        <f t="shared" si="53"/>
        <v>0</v>
      </c>
      <c r="AD167" s="624">
        <f t="shared" si="53"/>
        <v>0</v>
      </c>
      <c r="AE167" s="624">
        <f t="shared" si="53"/>
        <v>0</v>
      </c>
      <c r="AF167" s="404"/>
      <c r="AG167" s="471"/>
      <c r="AH167" s="471"/>
      <c r="AI167" s="471"/>
      <c r="AJ167" s="471"/>
      <c r="AM167" s="404"/>
      <c r="AP167" s="404"/>
      <c r="AQ167" s="404"/>
    </row>
    <row r="168" spans="1:43" s="390" customFormat="1" ht="22.25" customHeight="1">
      <c r="A168" s="454"/>
      <c r="B168" s="659" t="s">
        <v>151</v>
      </c>
      <c r="C168" s="662"/>
      <c r="D168" s="662"/>
      <c r="E168" s="662"/>
      <c r="F168" s="498"/>
      <c r="G168" s="642"/>
      <c r="H168" s="642"/>
      <c r="I168" s="499"/>
      <c r="J168" s="507"/>
      <c r="K168" s="455"/>
      <c r="L168" s="312"/>
      <c r="M168" s="722">
        <f>F168*2+G168*2</f>
        <v>0</v>
      </c>
      <c r="N168" s="722">
        <f>M168*H168</f>
        <v>0</v>
      </c>
      <c r="O168" s="455">
        <f>F168*G168</f>
        <v>0</v>
      </c>
      <c r="P168" s="722"/>
      <c r="Q168" s="611"/>
      <c r="R168" s="611"/>
      <c r="S168" s="624"/>
      <c r="T168" s="625"/>
      <c r="U168" s="626"/>
      <c r="V168" s="624"/>
      <c r="W168" s="624">
        <f t="shared" si="43"/>
        <v>0</v>
      </c>
      <c r="X168" s="624">
        <f t="shared" si="49"/>
        <v>0</v>
      </c>
      <c r="Y168" s="624">
        <f t="shared" si="53"/>
        <v>0</v>
      </c>
      <c r="Z168" s="624">
        <f t="shared" si="53"/>
        <v>0</v>
      </c>
      <c r="AA168" s="624">
        <f t="shared" si="53"/>
        <v>0</v>
      </c>
      <c r="AB168" s="624">
        <f t="shared" si="53"/>
        <v>0</v>
      </c>
      <c r="AC168" s="624">
        <f t="shared" si="53"/>
        <v>0</v>
      </c>
      <c r="AD168" s="624">
        <f t="shared" si="53"/>
        <v>0</v>
      </c>
      <c r="AE168" s="624">
        <f t="shared" si="53"/>
        <v>0</v>
      </c>
      <c r="AF168" s="471"/>
      <c r="AG168" s="473"/>
      <c r="AH168" s="471"/>
      <c r="AI168" s="471"/>
      <c r="AJ168" s="471"/>
      <c r="AM168" s="404"/>
      <c r="AP168" s="404"/>
      <c r="AQ168" s="404"/>
    </row>
    <row r="169" spans="1:43" s="885" customFormat="1" ht="20" customHeight="1">
      <c r="A169" s="788"/>
      <c r="B169" s="939" t="s">
        <v>774</v>
      </c>
      <c r="C169" s="940"/>
      <c r="D169" s="940">
        <v>2</v>
      </c>
      <c r="E169" s="940">
        <v>2</v>
      </c>
      <c r="F169" s="941">
        <f>(9.67+6.83)*2</f>
        <v>33</v>
      </c>
      <c r="G169" s="942"/>
      <c r="H169" s="942">
        <v>0.33</v>
      </c>
      <c r="I169" s="943"/>
      <c r="J169" s="507">
        <f t="shared" ref="J169:J175" si="54">IF(I169=0,1,I169)*IF(H169=0,1,H169)*IF(G169=0,1,G169)*IF(F169=0,1,F169)*IF(E169=0,1,E169)*IF(D169=0,1,D169)*IF(C169=0,1,C169)</f>
        <v>43.56</v>
      </c>
      <c r="K169" s="943"/>
      <c r="L169" s="802"/>
      <c r="M169" s="944"/>
      <c r="N169" s="944"/>
      <c r="O169" s="944"/>
      <c r="P169" s="944"/>
      <c r="Q169" s="944"/>
      <c r="R169" s="944"/>
      <c r="S169" s="944"/>
      <c r="T169" s="944"/>
      <c r="U169" s="944"/>
      <c r="V169" s="944"/>
      <c r="Y169" s="886"/>
      <c r="AB169" s="886"/>
      <c r="AC169" s="886"/>
    </row>
    <row r="170" spans="1:43" s="885" customFormat="1" ht="20" customHeight="1">
      <c r="A170" s="788"/>
      <c r="B170" s="939" t="s">
        <v>775</v>
      </c>
      <c r="C170" s="940"/>
      <c r="D170" s="940">
        <v>2</v>
      </c>
      <c r="E170" s="940">
        <v>1</v>
      </c>
      <c r="F170" s="941">
        <f>(6.17+6.83)*2</f>
        <v>26</v>
      </c>
      <c r="G170" s="942"/>
      <c r="H170" s="942">
        <v>0.33</v>
      </c>
      <c r="I170" s="943"/>
      <c r="J170" s="507">
        <f t="shared" si="54"/>
        <v>17.16</v>
      </c>
      <c r="K170" s="943"/>
      <c r="L170" s="802"/>
      <c r="M170" s="944"/>
      <c r="N170" s="944"/>
      <c r="O170" s="944"/>
      <c r="P170" s="944"/>
      <c r="Q170" s="944"/>
      <c r="R170" s="944"/>
      <c r="S170" s="944"/>
      <c r="T170" s="944"/>
      <c r="U170" s="944"/>
      <c r="V170" s="944"/>
      <c r="Y170" s="886"/>
      <c r="AB170" s="886"/>
      <c r="AC170" s="886"/>
    </row>
    <row r="171" spans="1:43" s="885" customFormat="1" ht="20" customHeight="1">
      <c r="A171" s="788"/>
      <c r="B171" s="939"/>
      <c r="C171" s="940"/>
      <c r="D171" s="940">
        <v>2</v>
      </c>
      <c r="E171" s="940">
        <v>1</v>
      </c>
      <c r="F171" s="941">
        <f>(11+6.83)*2</f>
        <v>35.659999999999997</v>
      </c>
      <c r="G171" s="942"/>
      <c r="H171" s="942">
        <v>0.33</v>
      </c>
      <c r="I171" s="943"/>
      <c r="J171" s="507">
        <f t="shared" si="54"/>
        <v>23.535599999999999</v>
      </c>
      <c r="K171" s="943"/>
      <c r="L171" s="802"/>
      <c r="M171" s="944"/>
      <c r="N171" s="944"/>
      <c r="O171" s="944"/>
      <c r="P171" s="944"/>
      <c r="Q171" s="944"/>
      <c r="R171" s="944"/>
      <c r="S171" s="944"/>
      <c r="T171" s="944"/>
      <c r="U171" s="944"/>
      <c r="V171" s="944"/>
      <c r="Y171" s="886"/>
      <c r="AB171" s="886"/>
      <c r="AC171" s="886"/>
    </row>
    <row r="172" spans="1:43" s="885" customFormat="1" ht="20" customHeight="1">
      <c r="A172" s="788"/>
      <c r="B172" s="939"/>
      <c r="C172" s="940"/>
      <c r="D172" s="940">
        <v>2</v>
      </c>
      <c r="E172" s="940">
        <v>1</v>
      </c>
      <c r="F172" s="941">
        <f>(4.67+6.83)*2</f>
        <v>23</v>
      </c>
      <c r="G172" s="942"/>
      <c r="H172" s="942">
        <v>0.33</v>
      </c>
      <c r="I172" s="943"/>
      <c r="J172" s="507">
        <f t="shared" si="54"/>
        <v>15.180000000000001</v>
      </c>
      <c r="K172" s="943"/>
      <c r="L172" s="802"/>
      <c r="M172" s="944"/>
      <c r="N172" s="944"/>
      <c r="O172" s="944"/>
      <c r="P172" s="944"/>
      <c r="Q172" s="944"/>
      <c r="R172" s="944"/>
      <c r="S172" s="944"/>
      <c r="T172" s="944"/>
      <c r="U172" s="944"/>
      <c r="V172" s="944"/>
      <c r="Y172" s="886"/>
      <c r="AB172" s="886"/>
      <c r="AC172" s="886"/>
    </row>
    <row r="173" spans="1:43" s="885" customFormat="1" ht="20" customHeight="1">
      <c r="A173" s="788"/>
      <c r="B173" s="939" t="s">
        <v>776</v>
      </c>
      <c r="C173" s="940"/>
      <c r="D173" s="940">
        <v>2</v>
      </c>
      <c r="E173" s="940">
        <v>2</v>
      </c>
      <c r="F173" s="941">
        <f>(4.67+6.83)*2</f>
        <v>23</v>
      </c>
      <c r="G173" s="942"/>
      <c r="H173" s="942">
        <v>0.33</v>
      </c>
      <c r="I173" s="943"/>
      <c r="J173" s="507">
        <f t="shared" si="54"/>
        <v>30.360000000000003</v>
      </c>
      <c r="K173" s="943"/>
      <c r="L173" s="802"/>
      <c r="M173" s="944"/>
      <c r="N173" s="944"/>
      <c r="O173" s="944"/>
      <c r="P173" s="944"/>
      <c r="Q173" s="944"/>
      <c r="R173" s="944"/>
      <c r="S173" s="944"/>
      <c r="T173" s="944"/>
      <c r="U173" s="944"/>
      <c r="V173" s="944"/>
      <c r="Y173" s="886"/>
      <c r="AB173" s="886"/>
      <c r="AC173" s="886"/>
    </row>
    <row r="174" spans="1:43" s="885" customFormat="1" ht="20" customHeight="1">
      <c r="A174" s="788"/>
      <c r="B174" s="939" t="s">
        <v>777</v>
      </c>
      <c r="C174" s="940"/>
      <c r="D174" s="940">
        <v>2</v>
      </c>
      <c r="E174" s="940">
        <v>1</v>
      </c>
      <c r="F174" s="941">
        <f>(11.67+6.83)*2</f>
        <v>37</v>
      </c>
      <c r="G174" s="942"/>
      <c r="H174" s="942">
        <v>0.33</v>
      </c>
      <c r="I174" s="943"/>
      <c r="J174" s="507">
        <f t="shared" si="54"/>
        <v>24.42</v>
      </c>
      <c r="K174" s="943"/>
      <c r="L174" s="802"/>
      <c r="M174" s="944"/>
      <c r="N174" s="944"/>
      <c r="O174" s="944"/>
      <c r="P174" s="944"/>
      <c r="Q174" s="944"/>
      <c r="R174" s="944"/>
      <c r="S174" s="944"/>
      <c r="T174" s="944"/>
      <c r="U174" s="944"/>
      <c r="V174" s="944"/>
      <c r="Y174" s="886"/>
      <c r="AB174" s="886"/>
      <c r="AC174" s="886"/>
    </row>
    <row r="175" spans="1:43" s="885" customFormat="1" ht="20" customHeight="1">
      <c r="A175" s="788"/>
      <c r="B175" s="939"/>
      <c r="C175" s="940"/>
      <c r="D175" s="940">
        <v>2</v>
      </c>
      <c r="E175" s="940">
        <v>2</v>
      </c>
      <c r="F175" s="941">
        <f>(4.67+6.83)*2</f>
        <v>23</v>
      </c>
      <c r="G175" s="942"/>
      <c r="H175" s="942">
        <v>0.33</v>
      </c>
      <c r="I175" s="943"/>
      <c r="J175" s="507">
        <f t="shared" si="54"/>
        <v>30.360000000000003</v>
      </c>
      <c r="K175" s="943"/>
      <c r="L175" s="802"/>
      <c r="M175" s="944"/>
      <c r="N175" s="944"/>
      <c r="O175" s="944"/>
      <c r="P175" s="944"/>
      <c r="Q175" s="944"/>
      <c r="R175" s="944"/>
      <c r="S175" s="944"/>
      <c r="T175" s="944"/>
      <c r="U175" s="944"/>
      <c r="V175" s="944"/>
      <c r="Y175" s="886"/>
      <c r="AB175" s="886"/>
      <c r="AC175" s="886"/>
    </row>
    <row r="176" spans="1:43" s="390" customFormat="1" ht="26.25" customHeight="1" thickBot="1">
      <c r="A176" s="454"/>
      <c r="B176" s="660"/>
      <c r="C176" s="662"/>
      <c r="D176" s="662"/>
      <c r="E176" s="662"/>
      <c r="F176" s="498"/>
      <c r="G176" s="642"/>
      <c r="H176" s="642"/>
      <c r="I176" s="458" t="str">
        <f>B167</f>
        <v>Sunshade</v>
      </c>
      <c r="J176" s="455"/>
      <c r="K176" s="455">
        <f>SUM(J168:J176)</f>
        <v>184.57560000000001</v>
      </c>
      <c r="L176" s="312" t="s">
        <v>45</v>
      </c>
      <c r="M176" s="726"/>
      <c r="N176" s="726"/>
      <c r="O176" s="726"/>
      <c r="P176" s="726"/>
      <c r="Q176" s="611"/>
      <c r="R176" s="611"/>
      <c r="S176" s="611"/>
      <c r="T176" s="626"/>
      <c r="U176" s="624"/>
      <c r="V176" s="624"/>
      <c r="W176" s="624">
        <f t="shared" si="43"/>
        <v>0</v>
      </c>
      <c r="X176" s="624">
        <f t="shared" si="49"/>
        <v>0</v>
      </c>
      <c r="Y176" s="624">
        <f t="shared" ref="Y176:AE178" si="55">IF($R176=Y$5,$V176,0)</f>
        <v>0</v>
      </c>
      <c r="Z176" s="624">
        <f t="shared" si="55"/>
        <v>0</v>
      </c>
      <c r="AA176" s="624">
        <f t="shared" si="55"/>
        <v>0</v>
      </c>
      <c r="AB176" s="624">
        <f t="shared" si="55"/>
        <v>0</v>
      </c>
      <c r="AC176" s="624">
        <f t="shared" si="55"/>
        <v>0</v>
      </c>
      <c r="AD176" s="624">
        <f t="shared" si="55"/>
        <v>0</v>
      </c>
      <c r="AE176" s="624">
        <f t="shared" si="55"/>
        <v>0</v>
      </c>
      <c r="AF176" s="404"/>
      <c r="AG176" s="471"/>
      <c r="AH176" s="471"/>
      <c r="AI176" s="471"/>
      <c r="AJ176" s="471"/>
      <c r="AM176" s="404"/>
      <c r="AP176" s="404"/>
      <c r="AQ176" s="404"/>
    </row>
    <row r="177" spans="1:48" s="423" customFormat="1" ht="22.25" customHeight="1" thickBot="1">
      <c r="A177" s="454"/>
      <c r="B177" s="878"/>
      <c r="C177" s="662"/>
      <c r="D177" s="662"/>
      <c r="E177" s="662"/>
      <c r="F177" s="504"/>
      <c r="G177" s="643"/>
      <c r="H177" s="648"/>
      <c r="I177" s="879"/>
      <c r="J177" s="455"/>
      <c r="K177" s="509">
        <f>SUM(K46:K176)</f>
        <v>7126.9812000000002</v>
      </c>
      <c r="L177" s="880" t="s">
        <v>45</v>
      </c>
      <c r="M177" s="724">
        <v>7512</v>
      </c>
      <c r="N177" s="725"/>
      <c r="O177" s="725"/>
      <c r="P177" s="725"/>
      <c r="Q177" s="618"/>
      <c r="R177" s="618"/>
      <c r="S177" s="618"/>
      <c r="T177" s="618"/>
      <c r="U177" s="618"/>
      <c r="V177" s="641"/>
      <c r="W177" s="624">
        <f t="shared" si="43"/>
        <v>0</v>
      </c>
      <c r="X177" s="624">
        <f t="shared" si="49"/>
        <v>0</v>
      </c>
      <c r="Y177" s="624">
        <f t="shared" si="55"/>
        <v>0</v>
      </c>
      <c r="Z177" s="624">
        <f t="shared" si="55"/>
        <v>0</v>
      </c>
      <c r="AA177" s="624">
        <f t="shared" si="55"/>
        <v>0</v>
      </c>
      <c r="AB177" s="624">
        <f t="shared" si="55"/>
        <v>0</v>
      </c>
      <c r="AC177" s="624">
        <f t="shared" si="55"/>
        <v>0</v>
      </c>
      <c r="AD177" s="624">
        <f t="shared" si="55"/>
        <v>0</v>
      </c>
      <c r="AE177" s="624">
        <f t="shared" si="55"/>
        <v>0</v>
      </c>
      <c r="AF177" s="472">
        <f>AF78/25</f>
        <v>39.6</v>
      </c>
      <c r="AG177" s="472">
        <f>3.81/3.281</f>
        <v>1.1612313319110028</v>
      </c>
      <c r="AH177" s="472"/>
      <c r="AI177" s="472"/>
      <c r="AJ177" s="472"/>
      <c r="AK177" s="472"/>
      <c r="AL177" s="472"/>
      <c r="AM177" s="472"/>
      <c r="AN177" s="472"/>
      <c r="AO177" s="472"/>
      <c r="AR177" s="427"/>
      <c r="AU177" s="427"/>
      <c r="AV177" s="427"/>
    </row>
    <row r="178" spans="1:48" s="423" customFormat="1" ht="22.5" customHeight="1" thickBot="1">
      <c r="A178" s="454"/>
      <c r="B178" s="881"/>
      <c r="C178" s="662"/>
      <c r="D178" s="662"/>
      <c r="E178" s="663"/>
      <c r="F178" s="512"/>
      <c r="G178" s="644"/>
      <c r="H178" s="649"/>
      <c r="I178" s="513"/>
      <c r="J178" s="513"/>
      <c r="K178" s="882">
        <f>K177/100</f>
        <v>71.269812000000002</v>
      </c>
      <c r="L178" s="883" t="s">
        <v>315</v>
      </c>
      <c r="M178" s="725"/>
      <c r="N178" s="725"/>
      <c r="O178" s="725"/>
      <c r="P178" s="725"/>
      <c r="Q178" s="618"/>
      <c r="R178" s="618"/>
      <c r="S178" s="618"/>
      <c r="T178" s="618"/>
      <c r="U178" s="618"/>
      <c r="V178" s="641"/>
      <c r="W178" s="624">
        <f t="shared" si="43"/>
        <v>0</v>
      </c>
      <c r="X178" s="624">
        <f t="shared" si="49"/>
        <v>0</v>
      </c>
      <c r="Y178" s="624">
        <f t="shared" si="55"/>
        <v>0</v>
      </c>
      <c r="Z178" s="624">
        <f t="shared" si="55"/>
        <v>0</v>
      </c>
      <c r="AA178" s="624">
        <f t="shared" si="55"/>
        <v>0</v>
      </c>
      <c r="AB178" s="624">
        <f t="shared" si="55"/>
        <v>0</v>
      </c>
      <c r="AC178" s="624">
        <f t="shared" si="55"/>
        <v>0</v>
      </c>
      <c r="AD178" s="624">
        <f t="shared" si="55"/>
        <v>0</v>
      </c>
      <c r="AE178" s="624">
        <f t="shared" si="55"/>
        <v>0</v>
      </c>
      <c r="AF178" s="472">
        <f>AF177/12</f>
        <v>3.3000000000000003</v>
      </c>
      <c r="AG178" s="472">
        <f>40/12</f>
        <v>3.3333333333333335</v>
      </c>
      <c r="AH178" s="472"/>
      <c r="AI178" s="472"/>
      <c r="AJ178" s="472"/>
      <c r="AK178" s="472"/>
      <c r="AL178" s="472"/>
      <c r="AM178" s="472"/>
      <c r="AN178" s="472"/>
      <c r="AO178" s="472"/>
      <c r="AR178" s="427"/>
      <c r="AU178" s="427"/>
      <c r="AV178" s="427"/>
    </row>
    <row r="179" spans="1:48" s="917" customFormat="1" ht="22.25" customHeight="1" thickTop="1">
      <c r="A179" s="478"/>
      <c r="B179" s="925"/>
      <c r="C179" s="665"/>
      <c r="D179" s="665"/>
      <c r="E179" s="666"/>
      <c r="F179" s="869"/>
      <c r="G179" s="870"/>
      <c r="H179" s="868"/>
      <c r="I179" s="480"/>
      <c r="J179" s="916"/>
      <c r="K179" s="915"/>
      <c r="L179" s="926"/>
      <c r="M179" s="727"/>
      <c r="N179" s="727"/>
      <c r="O179" s="727"/>
      <c r="P179" s="727"/>
      <c r="Q179" s="755"/>
      <c r="R179" s="755"/>
      <c r="S179" s="755"/>
      <c r="T179" s="755"/>
      <c r="U179" s="755"/>
      <c r="V179" s="766"/>
      <c r="W179" s="757">
        <f t="shared" si="43"/>
        <v>0</v>
      </c>
      <c r="X179" s="757">
        <f t="shared" si="49"/>
        <v>0</v>
      </c>
      <c r="Y179" s="757">
        <f t="shared" ref="Y179:AE184" si="56">IF($R179=Y$5,$V179,0)</f>
        <v>0</v>
      </c>
      <c r="Z179" s="757">
        <f t="shared" si="56"/>
        <v>0</v>
      </c>
      <c r="AA179" s="757">
        <f t="shared" si="56"/>
        <v>0</v>
      </c>
      <c r="AB179" s="757">
        <f t="shared" si="56"/>
        <v>0</v>
      </c>
      <c r="AC179" s="757">
        <f t="shared" si="56"/>
        <v>0</v>
      </c>
      <c r="AD179" s="757">
        <f t="shared" si="56"/>
        <v>0</v>
      </c>
      <c r="AE179" s="757">
        <f t="shared" si="56"/>
        <v>0</v>
      </c>
      <c r="AF179" s="474"/>
      <c r="AG179" s="474"/>
      <c r="AH179" s="474"/>
      <c r="AI179" s="474"/>
      <c r="AJ179" s="474"/>
      <c r="AK179" s="474"/>
      <c r="AL179" s="474"/>
      <c r="AM179" s="474"/>
      <c r="AN179" s="474"/>
      <c r="AO179" s="474"/>
      <c r="AR179" s="913"/>
      <c r="AU179" s="913"/>
      <c r="AV179" s="913"/>
    </row>
    <row r="180" spans="1:48" s="390" customFormat="1" ht="22.25" customHeight="1">
      <c r="A180" s="454">
        <v>5</v>
      </c>
      <c r="B180" s="649" t="s">
        <v>613</v>
      </c>
      <c r="C180" s="662"/>
      <c r="D180" s="662"/>
      <c r="E180" s="662"/>
      <c r="F180" s="504"/>
      <c r="G180" s="643"/>
      <c r="H180" s="648"/>
      <c r="I180" s="501"/>
      <c r="J180" s="421"/>
      <c r="K180" s="421"/>
      <c r="L180" s="432"/>
      <c r="M180" s="725"/>
      <c r="N180" s="725"/>
      <c r="O180" s="725"/>
      <c r="P180" s="725"/>
      <c r="Q180" s="618"/>
      <c r="R180" s="618"/>
      <c r="S180" s="618"/>
      <c r="T180" s="618"/>
      <c r="U180" s="618"/>
      <c r="V180" s="641"/>
      <c r="W180" s="624">
        <f t="shared" si="43"/>
        <v>0</v>
      </c>
      <c r="X180" s="624">
        <f t="shared" si="49"/>
        <v>0</v>
      </c>
      <c r="Y180" s="624">
        <f t="shared" si="56"/>
        <v>0</v>
      </c>
      <c r="Z180" s="624">
        <f t="shared" si="56"/>
        <v>0</v>
      </c>
      <c r="AA180" s="624">
        <f t="shared" si="56"/>
        <v>0</v>
      </c>
      <c r="AB180" s="624">
        <f t="shared" si="56"/>
        <v>0</v>
      </c>
      <c r="AC180" s="624">
        <f t="shared" si="56"/>
        <v>0</v>
      </c>
      <c r="AD180" s="624">
        <f t="shared" si="56"/>
        <v>0</v>
      </c>
      <c r="AE180" s="624">
        <f t="shared" si="56"/>
        <v>0</v>
      </c>
      <c r="AF180" s="471">
        <f>1/AF13</f>
        <v>1.6037723291216667E-4</v>
      </c>
      <c r="AG180" s="471">
        <f>AF10*2.8</f>
        <v>34.141333333333328</v>
      </c>
      <c r="AH180" s="471"/>
      <c r="AI180" s="471"/>
      <c r="AJ180" s="471"/>
      <c r="AK180" s="471"/>
      <c r="AL180" s="471"/>
      <c r="AM180" s="471"/>
      <c r="AN180" s="471"/>
      <c r="AO180" s="471"/>
      <c r="AR180" s="404"/>
      <c r="AU180" s="404"/>
      <c r="AV180" s="404"/>
    </row>
    <row r="181" spans="1:48" s="390" customFormat="1" ht="22.25" customHeight="1">
      <c r="A181" s="454"/>
      <c r="B181" s="659" t="s">
        <v>353</v>
      </c>
      <c r="C181" s="662"/>
      <c r="D181" s="662"/>
      <c r="E181" s="662"/>
      <c r="F181" s="498"/>
      <c r="G181" s="642"/>
      <c r="H181" s="648"/>
      <c r="I181" s="501"/>
      <c r="J181" s="455"/>
      <c r="K181" s="455"/>
      <c r="L181" s="312"/>
      <c r="M181" s="726"/>
      <c r="N181" s="726"/>
      <c r="O181" s="726"/>
      <c r="P181" s="726"/>
      <c r="Q181" s="611"/>
      <c r="R181" s="611"/>
      <c r="S181" s="624"/>
      <c r="T181" s="625"/>
      <c r="U181" s="626"/>
      <c r="V181" s="624"/>
      <c r="W181" s="624">
        <f t="shared" si="43"/>
        <v>0</v>
      </c>
      <c r="X181" s="624">
        <f t="shared" si="49"/>
        <v>0</v>
      </c>
      <c r="Y181" s="624">
        <f t="shared" si="56"/>
        <v>0</v>
      </c>
      <c r="Z181" s="624">
        <f t="shared" si="56"/>
        <v>0</v>
      </c>
      <c r="AA181" s="624">
        <f t="shared" si="56"/>
        <v>0</v>
      </c>
      <c r="AB181" s="624">
        <f t="shared" si="56"/>
        <v>0</v>
      </c>
      <c r="AC181" s="624">
        <f t="shared" si="56"/>
        <v>0</v>
      </c>
      <c r="AD181" s="624">
        <f t="shared" si="56"/>
        <v>0</v>
      </c>
      <c r="AE181" s="624">
        <f t="shared" si="56"/>
        <v>0</v>
      </c>
      <c r="AF181" s="404"/>
      <c r="AG181" s="471"/>
      <c r="AH181" s="471"/>
      <c r="AI181" s="471"/>
      <c r="AJ181" s="471"/>
      <c r="AM181" s="404"/>
      <c r="AP181" s="404"/>
      <c r="AQ181" s="404"/>
    </row>
    <row r="182" spans="1:48" s="390" customFormat="1" ht="24" customHeight="1">
      <c r="A182" s="454"/>
      <c r="B182" s="657" t="str">
        <f>B72</f>
        <v>F1 (3'-0"x3'-0"x0'-9")</v>
      </c>
      <c r="C182" s="662"/>
      <c r="D182" s="662"/>
      <c r="E182" s="662">
        <f>E72</f>
        <v>6</v>
      </c>
      <c r="F182" s="498">
        <f t="shared" ref="F182:G185" si="57">F20-2</f>
        <v>3</v>
      </c>
      <c r="G182" s="642">
        <f t="shared" si="57"/>
        <v>3</v>
      </c>
      <c r="H182" s="642">
        <v>0.5</v>
      </c>
      <c r="I182" s="501"/>
      <c r="J182" s="507">
        <f>IF(I182=0,1,I182)*IF(H182=0,1,H182)*IF(G182=0,1,G182)*IF(F182=0,1,F182)*IF(E182=0,1,E182)*IF(D182=0,1,D182)*IF(C182=0,1,C182)</f>
        <v>27</v>
      </c>
      <c r="K182" s="455"/>
      <c r="L182" s="312"/>
      <c r="M182" s="726"/>
      <c r="N182" s="726"/>
      <c r="O182" s="726"/>
      <c r="P182" s="726"/>
      <c r="Q182" s="611"/>
      <c r="R182" s="611"/>
      <c r="S182" s="624"/>
      <c r="T182" s="626"/>
      <c r="U182" s="626"/>
      <c r="V182" s="624"/>
      <c r="W182" s="624">
        <f t="shared" si="43"/>
        <v>0</v>
      </c>
      <c r="X182" s="624">
        <f t="shared" si="49"/>
        <v>0</v>
      </c>
      <c r="Y182" s="624">
        <f t="shared" si="56"/>
        <v>0</v>
      </c>
      <c r="Z182" s="624">
        <f t="shared" si="56"/>
        <v>0</v>
      </c>
      <c r="AA182" s="624">
        <f t="shared" si="56"/>
        <v>0</v>
      </c>
      <c r="AB182" s="624">
        <f t="shared" si="56"/>
        <v>0</v>
      </c>
      <c r="AC182" s="624">
        <f t="shared" si="56"/>
        <v>0</v>
      </c>
      <c r="AD182" s="624">
        <f t="shared" si="56"/>
        <v>0</v>
      </c>
      <c r="AE182" s="624">
        <f t="shared" si="56"/>
        <v>0</v>
      </c>
      <c r="AF182" s="404"/>
      <c r="AG182" s="471"/>
      <c r="AH182" s="471"/>
      <c r="AI182" s="471"/>
      <c r="AJ182" s="471"/>
      <c r="AM182" s="404"/>
      <c r="AP182" s="404"/>
      <c r="AQ182" s="404"/>
    </row>
    <row r="183" spans="1:48" s="390" customFormat="1" ht="24" customHeight="1">
      <c r="A183" s="454"/>
      <c r="B183" s="657" t="str">
        <f>B73</f>
        <v>F2 (4'-0"x4'-0"x0'-9")</v>
      </c>
      <c r="C183" s="662"/>
      <c r="D183" s="662"/>
      <c r="E183" s="662">
        <f>E73</f>
        <v>3</v>
      </c>
      <c r="F183" s="498">
        <f t="shared" si="57"/>
        <v>4</v>
      </c>
      <c r="G183" s="642">
        <f t="shared" si="57"/>
        <v>4</v>
      </c>
      <c r="H183" s="642">
        <v>0.5</v>
      </c>
      <c r="I183" s="501"/>
      <c r="J183" s="507">
        <f>IF(I183=0,1,I183)*IF(H183=0,1,H183)*IF(G183=0,1,G183)*IF(F183=0,1,F183)*IF(E183=0,1,E183)*IF(D183=0,1,D183)*IF(C183=0,1,C183)</f>
        <v>24</v>
      </c>
      <c r="K183" s="455"/>
      <c r="L183" s="312"/>
      <c r="M183" s="726"/>
      <c r="N183" s="726"/>
      <c r="O183" s="726"/>
      <c r="P183" s="726"/>
      <c r="Q183" s="611"/>
      <c r="R183" s="611"/>
      <c r="S183" s="624"/>
      <c r="T183" s="626"/>
      <c r="U183" s="626"/>
      <c r="V183" s="624"/>
      <c r="W183" s="624">
        <f t="shared" si="43"/>
        <v>0</v>
      </c>
      <c r="X183" s="624">
        <f t="shared" si="49"/>
        <v>0</v>
      </c>
      <c r="Y183" s="624">
        <f t="shared" si="56"/>
        <v>0</v>
      </c>
      <c r="Z183" s="624">
        <f t="shared" si="56"/>
        <v>0</v>
      </c>
      <c r="AA183" s="624">
        <f t="shared" si="56"/>
        <v>0</v>
      </c>
      <c r="AB183" s="624">
        <f t="shared" si="56"/>
        <v>0</v>
      </c>
      <c r="AC183" s="624">
        <f t="shared" si="56"/>
        <v>0</v>
      </c>
      <c r="AD183" s="624">
        <f t="shared" si="56"/>
        <v>0</v>
      </c>
      <c r="AE183" s="624">
        <f t="shared" si="56"/>
        <v>0</v>
      </c>
      <c r="AF183" s="404"/>
      <c r="AG183" s="471"/>
      <c r="AH183" s="471"/>
      <c r="AI183" s="471"/>
      <c r="AJ183" s="471"/>
      <c r="AM183" s="404"/>
      <c r="AP183" s="404"/>
      <c r="AQ183" s="404"/>
    </row>
    <row r="184" spans="1:48" s="390" customFormat="1" ht="24" customHeight="1">
      <c r="A184" s="454"/>
      <c r="B184" s="657" t="str">
        <f>B74</f>
        <v>F3 (5'-0"x5'-0"x0'-10")</v>
      </c>
      <c r="C184" s="662"/>
      <c r="D184" s="662"/>
      <c r="E184" s="662">
        <f>E74</f>
        <v>11</v>
      </c>
      <c r="F184" s="498">
        <f t="shared" si="57"/>
        <v>5</v>
      </c>
      <c r="G184" s="642">
        <f t="shared" si="57"/>
        <v>5</v>
      </c>
      <c r="H184" s="642">
        <v>0.5</v>
      </c>
      <c r="I184" s="501"/>
      <c r="J184" s="507">
        <f>IF(I184=0,1,I184)*IF(H184=0,1,H184)*IF(G184=0,1,G184)*IF(F184=0,1,F184)*IF(E184=0,1,E184)*IF(D184=0,1,D184)*IF(C184=0,1,C184)</f>
        <v>137.5</v>
      </c>
      <c r="K184" s="455"/>
      <c r="L184" s="312"/>
      <c r="M184" s="726"/>
      <c r="N184" s="726"/>
      <c r="O184" s="726"/>
      <c r="P184" s="726"/>
      <c r="Q184" s="611"/>
      <c r="R184" s="611"/>
      <c r="S184" s="624"/>
      <c r="T184" s="626"/>
      <c r="U184" s="626"/>
      <c r="V184" s="624"/>
      <c r="W184" s="624">
        <f t="shared" si="43"/>
        <v>0</v>
      </c>
      <c r="X184" s="624">
        <f t="shared" si="49"/>
        <v>0</v>
      </c>
      <c r="Y184" s="624">
        <f t="shared" si="56"/>
        <v>0</v>
      </c>
      <c r="Z184" s="624">
        <f t="shared" si="56"/>
        <v>0</v>
      </c>
      <c r="AA184" s="624">
        <f t="shared" si="56"/>
        <v>0</v>
      </c>
      <c r="AB184" s="624">
        <f t="shared" si="56"/>
        <v>0</v>
      </c>
      <c r="AC184" s="624">
        <f t="shared" si="56"/>
        <v>0</v>
      </c>
      <c r="AD184" s="624">
        <f t="shared" si="56"/>
        <v>0</v>
      </c>
      <c r="AE184" s="624">
        <f t="shared" si="56"/>
        <v>0</v>
      </c>
      <c r="AF184" s="404"/>
      <c r="AG184" s="471"/>
      <c r="AH184" s="471"/>
      <c r="AI184" s="471"/>
      <c r="AJ184" s="471"/>
      <c r="AM184" s="404"/>
      <c r="AP184" s="404"/>
      <c r="AQ184" s="404"/>
    </row>
    <row r="185" spans="1:48" s="390" customFormat="1" ht="24" customHeight="1" thickBot="1">
      <c r="A185" s="454"/>
      <c r="B185" s="657" t="str">
        <f>B75</f>
        <v>F4 (5'-6"x5'-6"x1'-0")</v>
      </c>
      <c r="C185" s="662"/>
      <c r="D185" s="662"/>
      <c r="E185" s="662">
        <f>E75</f>
        <v>3</v>
      </c>
      <c r="F185" s="498">
        <f t="shared" si="57"/>
        <v>5.5</v>
      </c>
      <c r="G185" s="642">
        <f t="shared" si="57"/>
        <v>5.5</v>
      </c>
      <c r="H185" s="642">
        <v>0.5</v>
      </c>
      <c r="I185" s="501"/>
      <c r="J185" s="507">
        <f>IF(I185=0,1,I185)*IF(H185=0,1,H185)*IF(G185=0,1,G185)*IF(F185=0,1,F185)*IF(E185=0,1,E185)*IF(D185=0,1,D185)*IF(C185=0,1,C185)</f>
        <v>45.375</v>
      </c>
      <c r="K185" s="455"/>
      <c r="L185" s="895"/>
      <c r="M185" s="726"/>
      <c r="N185" s="726"/>
      <c r="O185" s="726"/>
      <c r="P185" s="726"/>
      <c r="Q185" s="611"/>
      <c r="R185" s="611"/>
      <c r="S185" s="624"/>
      <c r="T185" s="626"/>
      <c r="U185" s="626"/>
      <c r="V185" s="624"/>
      <c r="W185" s="624"/>
      <c r="X185" s="624"/>
      <c r="Y185" s="624"/>
      <c r="Z185" s="624"/>
      <c r="AA185" s="624"/>
      <c r="AB185" s="624"/>
      <c r="AC185" s="624"/>
      <c r="AD185" s="624"/>
      <c r="AE185" s="624"/>
      <c r="AF185" s="404"/>
      <c r="AG185" s="471"/>
      <c r="AH185" s="471"/>
      <c r="AI185" s="471"/>
      <c r="AJ185" s="471"/>
      <c r="AM185" s="404"/>
      <c r="AP185" s="404"/>
      <c r="AQ185" s="404"/>
    </row>
    <row r="186" spans="1:48" s="423" customFormat="1" ht="22.25" customHeight="1" thickBot="1">
      <c r="A186" s="454"/>
      <c r="B186" s="878"/>
      <c r="C186" s="662"/>
      <c r="D186" s="662"/>
      <c r="E186" s="662"/>
      <c r="F186" s="501"/>
      <c r="G186" s="501"/>
      <c r="H186" s="648"/>
      <c r="I186" s="879"/>
      <c r="J186" s="455"/>
      <c r="K186" s="509">
        <f>SUM(J181:J186)</f>
        <v>233.875</v>
      </c>
      <c r="L186" s="880" t="s">
        <v>301</v>
      </c>
      <c r="M186" s="723"/>
      <c r="N186" s="723"/>
      <c r="O186" s="723"/>
      <c r="P186" s="723"/>
      <c r="Q186" s="618"/>
      <c r="R186" s="618"/>
      <c r="S186" s="618"/>
      <c r="T186" s="618"/>
      <c r="U186" s="618"/>
      <c r="V186" s="641"/>
      <c r="W186" s="624">
        <f t="shared" si="43"/>
        <v>0</v>
      </c>
      <c r="X186" s="624">
        <f t="shared" si="49"/>
        <v>0</v>
      </c>
      <c r="Y186" s="624">
        <f t="shared" ref="Y186:AE193" si="58">IF($R186=Y$5,$V186,0)</f>
        <v>0</v>
      </c>
      <c r="Z186" s="624">
        <f t="shared" si="58"/>
        <v>0</v>
      </c>
      <c r="AA186" s="624">
        <f t="shared" si="58"/>
        <v>0</v>
      </c>
      <c r="AB186" s="624">
        <f t="shared" si="58"/>
        <v>0</v>
      </c>
      <c r="AC186" s="624">
        <f t="shared" si="58"/>
        <v>0</v>
      </c>
      <c r="AD186" s="624">
        <f t="shared" si="58"/>
        <v>0</v>
      </c>
      <c r="AE186" s="624">
        <f t="shared" si="58"/>
        <v>0</v>
      </c>
      <c r="AF186" s="472">
        <f>609/25</f>
        <v>24.36</v>
      </c>
      <c r="AG186" s="472">
        <f>381/25</f>
        <v>15.24</v>
      </c>
      <c r="AH186" s="472"/>
      <c r="AI186" s="472"/>
      <c r="AJ186" s="472"/>
      <c r="AK186" s="472"/>
      <c r="AL186" s="472"/>
      <c r="AM186" s="472"/>
      <c r="AN186" s="472"/>
      <c r="AO186" s="472"/>
      <c r="AR186" s="427"/>
      <c r="AU186" s="427"/>
      <c r="AV186" s="427"/>
    </row>
    <row r="187" spans="1:48" s="423" customFormat="1" ht="20" customHeight="1" thickBot="1">
      <c r="A187" s="454"/>
      <c r="B187" s="881"/>
      <c r="C187" s="662"/>
      <c r="D187" s="662"/>
      <c r="E187" s="663"/>
      <c r="F187" s="512"/>
      <c r="G187" s="644"/>
      <c r="H187" s="649"/>
      <c r="I187" s="513"/>
      <c r="J187" s="513"/>
      <c r="K187" s="882">
        <f>K186/100</f>
        <v>2.3387500000000001</v>
      </c>
      <c r="L187" s="883" t="s">
        <v>316</v>
      </c>
      <c r="M187" s="723"/>
      <c r="N187" s="723"/>
      <c r="O187" s="723"/>
      <c r="P187" s="723"/>
      <c r="Q187" s="618"/>
      <c r="R187" s="618"/>
      <c r="S187" s="618"/>
      <c r="T187" s="618"/>
      <c r="U187" s="618"/>
      <c r="V187" s="641"/>
      <c r="W187" s="624">
        <f t="shared" si="43"/>
        <v>0</v>
      </c>
      <c r="X187" s="624">
        <f t="shared" si="49"/>
        <v>0</v>
      </c>
      <c r="Y187" s="624">
        <f t="shared" si="58"/>
        <v>0</v>
      </c>
      <c r="Z187" s="624">
        <f t="shared" si="58"/>
        <v>0</v>
      </c>
      <c r="AA187" s="624">
        <f t="shared" si="58"/>
        <v>0</v>
      </c>
      <c r="AB187" s="624">
        <f t="shared" si="58"/>
        <v>0</v>
      </c>
      <c r="AC187" s="624">
        <f t="shared" si="58"/>
        <v>0</v>
      </c>
      <c r="AD187" s="624">
        <f t="shared" si="58"/>
        <v>0</v>
      </c>
      <c r="AE187" s="624">
        <f t="shared" si="58"/>
        <v>0</v>
      </c>
      <c r="AF187" s="472">
        <f>AF186/12</f>
        <v>2.0299999999999998</v>
      </c>
      <c r="AG187" s="472">
        <f>AG186/12</f>
        <v>1.27</v>
      </c>
      <c r="AH187" s="472"/>
      <c r="AI187" s="472"/>
      <c r="AJ187" s="472"/>
      <c r="AK187" s="472"/>
      <c r="AL187" s="472"/>
      <c r="AM187" s="472"/>
      <c r="AN187" s="472"/>
      <c r="AO187" s="472"/>
      <c r="AR187" s="427"/>
      <c r="AU187" s="427"/>
      <c r="AV187" s="427"/>
    </row>
    <row r="188" spans="1:48" s="390" customFormat="1" ht="18" customHeight="1" thickTop="1">
      <c r="A188" s="454"/>
      <c r="B188" s="655"/>
      <c r="C188" s="662"/>
      <c r="D188" s="662"/>
      <c r="E188" s="662"/>
      <c r="F188" s="504"/>
      <c r="G188" s="643"/>
      <c r="H188" s="648"/>
      <c r="I188" s="501"/>
      <c r="J188" s="455"/>
      <c r="K188" s="455"/>
      <c r="L188" s="457"/>
      <c r="M188" s="726"/>
      <c r="N188" s="726"/>
      <c r="O188" s="726"/>
      <c r="P188" s="726"/>
      <c r="Q188" s="618"/>
      <c r="R188" s="618"/>
      <c r="S188" s="618"/>
      <c r="T188" s="618"/>
      <c r="U188" s="618"/>
      <c r="V188" s="641"/>
      <c r="W188" s="624">
        <f t="shared" si="43"/>
        <v>0</v>
      </c>
      <c r="X188" s="624">
        <f t="shared" si="49"/>
        <v>0</v>
      </c>
      <c r="Y188" s="624">
        <f t="shared" si="58"/>
        <v>0</v>
      </c>
      <c r="Z188" s="624">
        <f t="shared" si="58"/>
        <v>0</v>
      </c>
      <c r="AA188" s="624">
        <f t="shared" si="58"/>
        <v>0</v>
      </c>
      <c r="AB188" s="624">
        <f t="shared" si="58"/>
        <v>0</v>
      </c>
      <c r="AC188" s="624">
        <f t="shared" si="58"/>
        <v>0</v>
      </c>
      <c r="AD188" s="624">
        <f t="shared" si="58"/>
        <v>0</v>
      </c>
      <c r="AE188" s="624">
        <f t="shared" si="58"/>
        <v>0</v>
      </c>
      <c r="AF188" s="472"/>
      <c r="AG188" s="472">
        <f>381+229</f>
        <v>610</v>
      </c>
      <c r="AH188" s="472">
        <f>AG188/25</f>
        <v>24.4</v>
      </c>
      <c r="AI188" s="472"/>
      <c r="AJ188" s="472"/>
      <c r="AK188" s="472"/>
      <c r="AL188" s="472"/>
      <c r="AM188" s="472"/>
      <c r="AN188" s="471"/>
      <c r="AO188" s="471"/>
      <c r="AR188" s="404"/>
      <c r="AU188" s="404"/>
      <c r="AV188" s="404"/>
    </row>
    <row r="189" spans="1:48" s="390" customFormat="1" ht="22.25" customHeight="1">
      <c r="A189" s="454">
        <v>6</v>
      </c>
      <c r="B189" s="649" t="s">
        <v>356</v>
      </c>
      <c r="C189" s="662"/>
      <c r="D189" s="662"/>
      <c r="E189" s="662"/>
      <c r="F189" s="504"/>
      <c r="G189" s="643"/>
      <c r="H189" s="648"/>
      <c r="I189" s="501"/>
      <c r="J189" s="421"/>
      <c r="K189" s="421"/>
      <c r="L189" s="432"/>
      <c r="M189" s="723"/>
      <c r="N189" s="723"/>
      <c r="O189" s="723"/>
      <c r="P189" s="723"/>
      <c r="Q189" s="618"/>
      <c r="R189" s="618"/>
      <c r="S189" s="618"/>
      <c r="T189" s="618"/>
      <c r="U189" s="618"/>
      <c r="V189" s="641"/>
      <c r="W189" s="624">
        <f t="shared" si="43"/>
        <v>0</v>
      </c>
      <c r="X189" s="624">
        <f t="shared" si="49"/>
        <v>0</v>
      </c>
      <c r="Y189" s="624">
        <f t="shared" si="58"/>
        <v>0</v>
      </c>
      <c r="Z189" s="624">
        <f t="shared" si="58"/>
        <v>0</v>
      </c>
      <c r="AA189" s="624">
        <f t="shared" si="58"/>
        <v>0</v>
      </c>
      <c r="AB189" s="624">
        <f t="shared" si="58"/>
        <v>0</v>
      </c>
      <c r="AC189" s="624">
        <f t="shared" si="58"/>
        <v>0</v>
      </c>
      <c r="AD189" s="624">
        <f t="shared" si="58"/>
        <v>0</v>
      </c>
      <c r="AE189" s="624">
        <f t="shared" si="58"/>
        <v>0</v>
      </c>
      <c r="AF189" s="471">
        <f>1/AF17</f>
        <v>2.8167603500294196</v>
      </c>
      <c r="AG189" s="471">
        <f>AF14*2.8</f>
        <v>178.92895999999999</v>
      </c>
      <c r="AH189" s="471">
        <f>914/25</f>
        <v>36.56</v>
      </c>
      <c r="AI189" s="471"/>
      <c r="AJ189" s="471"/>
      <c r="AK189" s="471"/>
      <c r="AL189" s="471"/>
      <c r="AM189" s="471"/>
      <c r="AN189" s="471"/>
      <c r="AO189" s="471"/>
      <c r="AR189" s="404"/>
      <c r="AU189" s="404"/>
      <c r="AV189" s="404"/>
    </row>
    <row r="190" spans="1:48" s="390" customFormat="1" ht="22.25" customHeight="1">
      <c r="A190" s="454"/>
      <c r="B190" s="658" t="str">
        <f>B46</f>
        <v>(1:3:6) Lean Concrete</v>
      </c>
      <c r="C190" s="662"/>
      <c r="D190" s="662"/>
      <c r="E190" s="662"/>
      <c r="F190" s="501"/>
      <c r="G190" s="501"/>
      <c r="H190" s="647"/>
      <c r="I190" s="499"/>
      <c r="J190" s="507"/>
      <c r="K190" s="507"/>
      <c r="L190" s="436"/>
      <c r="M190" s="723"/>
      <c r="N190" s="723"/>
      <c r="O190" s="723"/>
      <c r="P190" s="723"/>
      <c r="Q190" s="618"/>
      <c r="R190" s="618"/>
      <c r="S190" s="618"/>
      <c r="T190" s="618"/>
      <c r="U190" s="618"/>
      <c r="V190" s="641"/>
      <c r="W190" s="624">
        <f t="shared" si="43"/>
        <v>0</v>
      </c>
      <c r="X190" s="624">
        <f t="shared" si="49"/>
        <v>0</v>
      </c>
      <c r="Y190" s="624">
        <f t="shared" si="58"/>
        <v>0</v>
      </c>
      <c r="Z190" s="624">
        <f t="shared" si="58"/>
        <v>0</v>
      </c>
      <c r="AA190" s="624">
        <f t="shared" si="58"/>
        <v>0</v>
      </c>
      <c r="AB190" s="624">
        <f t="shared" si="58"/>
        <v>0</v>
      </c>
      <c r="AC190" s="624">
        <f t="shared" si="58"/>
        <v>0</v>
      </c>
      <c r="AD190" s="624">
        <f t="shared" si="58"/>
        <v>0</v>
      </c>
      <c r="AE190" s="624">
        <f t="shared" si="58"/>
        <v>0</v>
      </c>
      <c r="AF190" s="471"/>
      <c r="AG190" s="471"/>
      <c r="AH190" s="471">
        <f>AH189/12</f>
        <v>3.0466666666666669</v>
      </c>
      <c r="AI190" s="471"/>
      <c r="AJ190" s="471"/>
      <c r="AK190" s="471"/>
      <c r="AL190" s="471"/>
      <c r="AM190" s="471"/>
      <c r="AN190" s="471"/>
      <c r="AO190" s="471"/>
      <c r="AR190" s="404"/>
      <c r="AU190" s="404"/>
      <c r="AV190" s="404"/>
    </row>
    <row r="191" spans="1:48" s="390" customFormat="1" ht="22.25" customHeight="1">
      <c r="A191" s="454"/>
      <c r="B191" s="659" t="s">
        <v>353</v>
      </c>
      <c r="C191" s="662"/>
      <c r="D191" s="662"/>
      <c r="E191" s="662"/>
      <c r="F191" s="498"/>
      <c r="G191" s="642"/>
      <c r="H191" s="648"/>
      <c r="I191" s="501"/>
      <c r="J191" s="455"/>
      <c r="K191" s="455"/>
      <c r="L191" s="312"/>
      <c r="M191" s="726"/>
      <c r="N191" s="726"/>
      <c r="O191" s="726"/>
      <c r="P191" s="726"/>
      <c r="Q191" s="611"/>
      <c r="R191" s="611"/>
      <c r="S191" s="624"/>
      <c r="T191" s="625"/>
      <c r="U191" s="626"/>
      <c r="V191" s="624"/>
      <c r="W191" s="624">
        <f t="shared" si="43"/>
        <v>0</v>
      </c>
      <c r="X191" s="624">
        <f t="shared" si="49"/>
        <v>0</v>
      </c>
      <c r="Y191" s="624">
        <f t="shared" si="58"/>
        <v>0</v>
      </c>
      <c r="Z191" s="624">
        <f t="shared" si="58"/>
        <v>0</v>
      </c>
      <c r="AA191" s="624">
        <f t="shared" si="58"/>
        <v>0</v>
      </c>
      <c r="AB191" s="624">
        <f t="shared" si="58"/>
        <v>0</v>
      </c>
      <c r="AC191" s="624">
        <f t="shared" si="58"/>
        <v>0</v>
      </c>
      <c r="AD191" s="624">
        <f t="shared" si="58"/>
        <v>0</v>
      </c>
      <c r="AE191" s="624">
        <f t="shared" si="58"/>
        <v>0</v>
      </c>
      <c r="AF191" s="404"/>
      <c r="AG191" s="471"/>
      <c r="AH191" s="471"/>
      <c r="AI191" s="471"/>
      <c r="AJ191" s="471"/>
      <c r="AM191" s="404"/>
      <c r="AP191" s="404"/>
      <c r="AQ191" s="404"/>
    </row>
    <row r="192" spans="1:48" s="390" customFormat="1" ht="24" customHeight="1">
      <c r="A192" s="454"/>
      <c r="B192" s="657" t="str">
        <f>B182</f>
        <v>F1 (3'-0"x3'-0"x0'-9")</v>
      </c>
      <c r="C192" s="662"/>
      <c r="D192" s="662"/>
      <c r="E192" s="662">
        <f>E72</f>
        <v>6</v>
      </c>
      <c r="F192" s="498">
        <f t="shared" ref="F192:G195" si="59">F182</f>
        <v>3</v>
      </c>
      <c r="G192" s="642">
        <f t="shared" si="59"/>
        <v>3</v>
      </c>
      <c r="H192" s="642">
        <f>H48</f>
        <v>0.25</v>
      </c>
      <c r="I192" s="501"/>
      <c r="J192" s="507">
        <f>IF(I192=0,1,I192)*IF(H192=0,1,H192)*IF(G192=0,1,G192)*IF(F192=0,1,F192)*IF(E192=0,1,E192)*IF(D192=0,1,D192)*IF(C192=0,1,C192)</f>
        <v>13.5</v>
      </c>
      <c r="K192" s="455"/>
      <c r="L192" s="312" t="s">
        <v>301</v>
      </c>
      <c r="M192" s="726"/>
      <c r="N192" s="726"/>
      <c r="O192" s="726"/>
      <c r="P192" s="726"/>
      <c r="Q192" s="611"/>
      <c r="R192" s="611"/>
      <c r="S192" s="624"/>
      <c r="T192" s="626"/>
      <c r="U192" s="626"/>
      <c r="V192" s="624"/>
      <c r="W192" s="624">
        <f>IF($R192=W$5,$V192,0)</f>
        <v>0</v>
      </c>
      <c r="X192" s="624">
        <f t="shared" si="49"/>
        <v>0</v>
      </c>
      <c r="Y192" s="624">
        <f t="shared" si="58"/>
        <v>0</v>
      </c>
      <c r="Z192" s="624">
        <f t="shared" si="58"/>
        <v>0</v>
      </c>
      <c r="AA192" s="624">
        <f t="shared" si="58"/>
        <v>0</v>
      </c>
      <c r="AB192" s="624">
        <f t="shared" si="58"/>
        <v>0</v>
      </c>
      <c r="AC192" s="624">
        <f t="shared" si="58"/>
        <v>0</v>
      </c>
      <c r="AD192" s="624">
        <f t="shared" si="58"/>
        <v>0</v>
      </c>
      <c r="AE192" s="624">
        <f t="shared" si="58"/>
        <v>0</v>
      </c>
      <c r="AF192" s="404"/>
      <c r="AG192" s="471"/>
      <c r="AH192" s="471"/>
      <c r="AI192" s="471"/>
      <c r="AJ192" s="471"/>
      <c r="AM192" s="404"/>
      <c r="AP192" s="404"/>
      <c r="AQ192" s="404"/>
    </row>
    <row r="193" spans="1:43" s="390" customFormat="1" ht="24" customHeight="1">
      <c r="A193" s="454"/>
      <c r="B193" s="657" t="str">
        <f>B183</f>
        <v>F2 (4'-0"x4'-0"x0'-9")</v>
      </c>
      <c r="C193" s="662"/>
      <c r="D193" s="662"/>
      <c r="E193" s="662">
        <f>E73</f>
        <v>3</v>
      </c>
      <c r="F193" s="498">
        <f t="shared" si="59"/>
        <v>4</v>
      </c>
      <c r="G193" s="642">
        <f t="shared" si="59"/>
        <v>4</v>
      </c>
      <c r="H193" s="642">
        <f>H49</f>
        <v>0.25</v>
      </c>
      <c r="I193" s="501"/>
      <c r="J193" s="507">
        <f>IF(I193=0,1,I193)*IF(H193=0,1,H193)*IF(G193=0,1,G193)*IF(F193=0,1,F193)*IF(E193=0,1,E193)*IF(D193=0,1,D193)*IF(C193=0,1,C193)</f>
        <v>12</v>
      </c>
      <c r="K193" s="455"/>
      <c r="L193" s="312" t="s">
        <v>301</v>
      </c>
      <c r="M193" s="726"/>
      <c r="N193" s="726"/>
      <c r="O193" s="726"/>
      <c r="P193" s="726"/>
      <c r="Q193" s="611"/>
      <c r="R193" s="611"/>
      <c r="S193" s="624"/>
      <c r="T193" s="626"/>
      <c r="U193" s="626"/>
      <c r="V193" s="624"/>
      <c r="W193" s="624">
        <f>IF($R193=W$5,$V193,0)</f>
        <v>0</v>
      </c>
      <c r="X193" s="624">
        <f t="shared" si="49"/>
        <v>0</v>
      </c>
      <c r="Y193" s="624">
        <f t="shared" si="58"/>
        <v>0</v>
      </c>
      <c r="Z193" s="624">
        <f t="shared" si="58"/>
        <v>0</v>
      </c>
      <c r="AA193" s="624">
        <f t="shared" si="58"/>
        <v>0</v>
      </c>
      <c r="AB193" s="624">
        <f t="shared" si="58"/>
        <v>0</v>
      </c>
      <c r="AC193" s="624">
        <f t="shared" si="58"/>
        <v>0</v>
      </c>
      <c r="AD193" s="624">
        <f t="shared" si="58"/>
        <v>0</v>
      </c>
      <c r="AE193" s="624">
        <f t="shared" si="58"/>
        <v>0</v>
      </c>
      <c r="AF193" s="404"/>
      <c r="AG193" s="471"/>
      <c r="AH193" s="471"/>
      <c r="AI193" s="471"/>
      <c r="AJ193" s="471"/>
      <c r="AM193" s="404"/>
      <c r="AP193" s="404"/>
      <c r="AQ193" s="404"/>
    </row>
    <row r="194" spans="1:43" s="390" customFormat="1" ht="24" customHeight="1">
      <c r="A194" s="454"/>
      <c r="B194" s="657" t="str">
        <f>B184</f>
        <v>F3 (5'-0"x5'-0"x0'-10")</v>
      </c>
      <c r="C194" s="662"/>
      <c r="D194" s="662"/>
      <c r="E194" s="662">
        <f>E74</f>
        <v>11</v>
      </c>
      <c r="F194" s="498">
        <f t="shared" si="59"/>
        <v>5</v>
      </c>
      <c r="G194" s="642">
        <f t="shared" si="59"/>
        <v>5</v>
      </c>
      <c r="H194" s="642">
        <f>H50</f>
        <v>0.25</v>
      </c>
      <c r="I194" s="501"/>
      <c r="J194" s="507">
        <f>IF(I194=0,1,I194)*IF(H194=0,1,H194)*IF(G194=0,1,G194)*IF(F194=0,1,F194)*IF(E194=0,1,E194)*IF(D194=0,1,D194)*IF(C194=0,1,C194)</f>
        <v>68.75</v>
      </c>
      <c r="K194" s="455"/>
      <c r="L194" s="312" t="s">
        <v>301</v>
      </c>
      <c r="M194" s="726"/>
      <c r="N194" s="726"/>
      <c r="O194" s="726"/>
      <c r="P194" s="726"/>
      <c r="Q194" s="611"/>
      <c r="R194" s="611"/>
      <c r="S194" s="624"/>
      <c r="T194" s="626"/>
      <c r="U194" s="626"/>
      <c r="V194" s="624"/>
      <c r="W194" s="624"/>
      <c r="X194" s="624"/>
      <c r="Y194" s="624"/>
      <c r="Z194" s="624"/>
      <c r="AA194" s="624"/>
      <c r="AB194" s="624"/>
      <c r="AC194" s="624"/>
      <c r="AD194" s="624"/>
      <c r="AE194" s="624"/>
      <c r="AF194" s="404"/>
      <c r="AG194" s="471"/>
      <c r="AH194" s="471"/>
      <c r="AI194" s="471"/>
      <c r="AJ194" s="471"/>
      <c r="AM194" s="404"/>
      <c r="AP194" s="404"/>
      <c r="AQ194" s="404"/>
    </row>
    <row r="195" spans="1:43" s="390" customFormat="1" ht="24" customHeight="1">
      <c r="A195" s="454"/>
      <c r="B195" s="657" t="str">
        <f>B185</f>
        <v>F4 (5'-6"x5'-6"x1'-0")</v>
      </c>
      <c r="C195" s="662"/>
      <c r="D195" s="662"/>
      <c r="E195" s="662">
        <f>E75</f>
        <v>3</v>
      </c>
      <c r="F195" s="498">
        <f t="shared" si="59"/>
        <v>5.5</v>
      </c>
      <c r="G195" s="642">
        <f t="shared" si="59"/>
        <v>5.5</v>
      </c>
      <c r="H195" s="642">
        <f>H51</f>
        <v>0.25</v>
      </c>
      <c r="I195" s="501"/>
      <c r="J195" s="507">
        <f>IF(I195=0,1,I195)*IF(H195=0,1,H195)*IF(G195=0,1,G195)*IF(F195=0,1,F195)*IF(E195=0,1,E195)*IF(D195=0,1,D195)*IF(C195=0,1,C195)</f>
        <v>22.6875</v>
      </c>
      <c r="K195" s="455"/>
      <c r="L195" s="312" t="s">
        <v>301</v>
      </c>
      <c r="M195" s="726"/>
      <c r="N195" s="726"/>
      <c r="O195" s="726"/>
      <c r="P195" s="726"/>
      <c r="Q195" s="611"/>
      <c r="R195" s="611"/>
      <c r="S195" s="624"/>
      <c r="T195" s="626"/>
      <c r="U195" s="626"/>
      <c r="V195" s="624"/>
      <c r="W195" s="624"/>
      <c r="X195" s="624"/>
      <c r="Y195" s="624"/>
      <c r="Z195" s="624"/>
      <c r="AA195" s="624"/>
      <c r="AB195" s="624"/>
      <c r="AC195" s="624"/>
      <c r="AD195" s="624"/>
      <c r="AE195" s="624"/>
      <c r="AF195" s="404"/>
      <c r="AG195" s="471"/>
      <c r="AH195" s="471"/>
      <c r="AI195" s="471"/>
      <c r="AJ195" s="471"/>
      <c r="AM195" s="404"/>
      <c r="AP195" s="404"/>
      <c r="AQ195" s="404"/>
    </row>
    <row r="196" spans="1:43" s="390" customFormat="1" ht="26.25" customHeight="1">
      <c r="A196" s="454"/>
      <c r="B196" s="660"/>
      <c r="C196" s="662"/>
      <c r="D196" s="662"/>
      <c r="E196" s="662"/>
      <c r="F196" s="498"/>
      <c r="G196" s="642"/>
      <c r="H196" s="642"/>
      <c r="I196" s="513" t="str">
        <f>B191</f>
        <v>Footing</v>
      </c>
      <c r="J196" s="455"/>
      <c r="K196" s="455">
        <f>SUM(J191:J196)</f>
        <v>116.9375</v>
      </c>
      <c r="L196" s="312" t="s">
        <v>301</v>
      </c>
      <c r="M196" s="726"/>
      <c r="N196" s="726"/>
      <c r="O196" s="726"/>
      <c r="P196" s="726"/>
      <c r="Q196" s="611"/>
      <c r="R196" s="611"/>
      <c r="S196" s="611"/>
      <c r="T196" s="626"/>
      <c r="U196" s="624"/>
      <c r="V196" s="624"/>
      <c r="W196" s="624">
        <f t="shared" ref="W196:W209" si="60">IF($R196=W$5,$V196,0)</f>
        <v>0</v>
      </c>
      <c r="X196" s="624">
        <f t="shared" si="49"/>
        <v>0</v>
      </c>
      <c r="Y196" s="624">
        <f t="shared" ref="Y196:AE209" si="61">IF($R196=Y$5,$V196,0)</f>
        <v>0</v>
      </c>
      <c r="Z196" s="624">
        <f t="shared" si="61"/>
        <v>0</v>
      </c>
      <c r="AA196" s="624">
        <f t="shared" si="61"/>
        <v>0</v>
      </c>
      <c r="AB196" s="624">
        <f t="shared" si="61"/>
        <v>0</v>
      </c>
      <c r="AC196" s="624">
        <f t="shared" si="61"/>
        <v>0</v>
      </c>
      <c r="AD196" s="624">
        <f t="shared" si="61"/>
        <v>0</v>
      </c>
      <c r="AE196" s="624">
        <f t="shared" si="61"/>
        <v>0</v>
      </c>
      <c r="AF196" s="404"/>
      <c r="AG196" s="471"/>
      <c r="AH196" s="471"/>
      <c r="AI196" s="471"/>
      <c r="AJ196" s="471"/>
      <c r="AM196" s="404"/>
      <c r="AP196" s="404"/>
      <c r="AQ196" s="404"/>
    </row>
    <row r="197" spans="1:43" s="390" customFormat="1" ht="22.25" customHeight="1">
      <c r="A197" s="454"/>
      <c r="B197" s="659" t="s">
        <v>349</v>
      </c>
      <c r="C197" s="662"/>
      <c r="D197" s="662"/>
      <c r="E197" s="662"/>
      <c r="F197" s="498"/>
      <c r="G197" s="642"/>
      <c r="H197" s="642"/>
      <c r="I197" s="501"/>
      <c r="J197" s="507"/>
      <c r="K197" s="455"/>
      <c r="L197" s="312"/>
      <c r="M197" s="726"/>
      <c r="N197" s="726"/>
      <c r="O197" s="726"/>
      <c r="P197" s="726"/>
      <c r="Q197" s="611"/>
      <c r="R197" s="611"/>
      <c r="S197" s="611"/>
      <c r="T197" s="626"/>
      <c r="U197" s="624"/>
      <c r="V197" s="624"/>
      <c r="W197" s="624">
        <f t="shared" si="60"/>
        <v>0</v>
      </c>
      <c r="X197" s="624">
        <f t="shared" si="49"/>
        <v>0</v>
      </c>
      <c r="Y197" s="624">
        <f t="shared" si="61"/>
        <v>0</v>
      </c>
      <c r="Z197" s="624">
        <f t="shared" si="61"/>
        <v>0</v>
      </c>
      <c r="AA197" s="624">
        <f t="shared" si="61"/>
        <v>0</v>
      </c>
      <c r="AB197" s="624">
        <f t="shared" si="61"/>
        <v>0</v>
      </c>
      <c r="AC197" s="624">
        <f t="shared" si="61"/>
        <v>0</v>
      </c>
      <c r="AD197" s="624">
        <f t="shared" si="61"/>
        <v>0</v>
      </c>
      <c r="AE197" s="624">
        <f t="shared" si="61"/>
        <v>0</v>
      </c>
      <c r="AF197" s="404"/>
      <c r="AG197" s="471"/>
      <c r="AH197" s="471"/>
      <c r="AI197" s="471"/>
      <c r="AJ197" s="471"/>
      <c r="AM197" s="404"/>
      <c r="AP197" s="404"/>
      <c r="AQ197" s="404"/>
    </row>
    <row r="198" spans="1:43" s="390" customFormat="1" ht="22.25" customHeight="1">
      <c r="A198" s="454"/>
      <c r="B198" s="657" t="str">
        <f t="shared" ref="B198:B212" si="62">B54</f>
        <v>Line A</v>
      </c>
      <c r="C198" s="662"/>
      <c r="D198" s="662"/>
      <c r="E198" s="662">
        <f t="shared" ref="E198:E212" si="63">E54</f>
        <v>1</v>
      </c>
      <c r="F198" s="498">
        <f>35-3*0.83</f>
        <v>32.51</v>
      </c>
      <c r="G198" s="642">
        <v>1.67</v>
      </c>
      <c r="H198" s="642">
        <v>0.5</v>
      </c>
      <c r="I198" s="499"/>
      <c r="J198" s="507">
        <f>IF(I198=0,1,I198)*IF(H198=0,1,H198)*IF(G198=0,1,G198)*IF(F198=0,1,F198)*IF(E198=0,1,E198)*IF(D198=0,1,D198)*IF(C198=0,1,C198)</f>
        <v>27.145849999999996</v>
      </c>
      <c r="K198" s="455"/>
      <c r="L198" s="312" t="s">
        <v>45</v>
      </c>
      <c r="M198" s="726"/>
      <c r="N198" s="722"/>
      <c r="O198" s="722"/>
      <c r="P198" s="722"/>
      <c r="Q198" s="611"/>
      <c r="R198" s="611"/>
      <c r="S198" s="611"/>
      <c r="T198" s="611"/>
      <c r="U198" s="611"/>
      <c r="V198" s="624"/>
      <c r="W198" s="624">
        <f t="shared" si="60"/>
        <v>0</v>
      </c>
      <c r="X198" s="624">
        <f t="shared" si="49"/>
        <v>0</v>
      </c>
      <c r="Y198" s="624">
        <f t="shared" si="61"/>
        <v>0</v>
      </c>
      <c r="Z198" s="624">
        <f t="shared" si="61"/>
        <v>0</v>
      </c>
      <c r="AA198" s="624">
        <f t="shared" si="61"/>
        <v>0</v>
      </c>
      <c r="AB198" s="624">
        <f t="shared" si="61"/>
        <v>0</v>
      </c>
      <c r="AC198" s="624">
        <f t="shared" si="61"/>
        <v>0</v>
      </c>
      <c r="AD198" s="624">
        <f t="shared" si="61"/>
        <v>0</v>
      </c>
      <c r="AE198" s="624">
        <f t="shared" si="61"/>
        <v>0</v>
      </c>
      <c r="AF198" s="471">
        <f>14*0.75*1*2</f>
        <v>21</v>
      </c>
      <c r="AG198" s="473"/>
      <c r="AH198" s="471"/>
      <c r="AI198" s="471"/>
      <c r="AJ198" s="471"/>
      <c r="AM198" s="404"/>
      <c r="AP198" s="404"/>
      <c r="AQ198" s="404"/>
    </row>
    <row r="199" spans="1:43" s="390" customFormat="1" ht="22.25" customHeight="1">
      <c r="A199" s="454"/>
      <c r="B199" s="657" t="str">
        <f t="shared" si="62"/>
        <v>Line A'</v>
      </c>
      <c r="C199" s="662"/>
      <c r="D199" s="662"/>
      <c r="E199" s="662">
        <f t="shared" si="63"/>
        <v>1</v>
      </c>
      <c r="F199" s="498">
        <f>5-1*0.83</f>
        <v>4.17</v>
      </c>
      <c r="G199" s="642">
        <v>1.67</v>
      </c>
      <c r="H199" s="642">
        <f t="shared" ref="H199:H212" si="64">H198</f>
        <v>0.5</v>
      </c>
      <c r="I199" s="499"/>
      <c r="J199" s="507">
        <f>IF(I199=0,1,I199)*IF(H199=0,1,H199)*IF(G199=0,1,G199)*IF(F199=0,1,F199)*IF(E199=0,1,E199)*IF(D199=0,1,D199)*IF(C199=0,1,C199)</f>
        <v>3.4819499999999999</v>
      </c>
      <c r="K199" s="455"/>
      <c r="L199" s="312" t="s">
        <v>45</v>
      </c>
      <c r="M199" s="726"/>
      <c r="N199" s="722"/>
      <c r="O199" s="722"/>
      <c r="P199" s="722"/>
      <c r="Q199" s="611"/>
      <c r="R199" s="611"/>
      <c r="S199" s="624"/>
      <c r="T199" s="625"/>
      <c r="U199" s="626"/>
      <c r="V199" s="624"/>
      <c r="W199" s="624">
        <f t="shared" si="60"/>
        <v>0</v>
      </c>
      <c r="X199" s="624">
        <f t="shared" si="49"/>
        <v>0</v>
      </c>
      <c r="Y199" s="624">
        <f t="shared" si="61"/>
        <v>0</v>
      </c>
      <c r="Z199" s="624">
        <f t="shared" si="61"/>
        <v>0</v>
      </c>
      <c r="AA199" s="624">
        <f t="shared" si="61"/>
        <v>0</v>
      </c>
      <c r="AB199" s="624">
        <f t="shared" si="61"/>
        <v>0</v>
      </c>
      <c r="AC199" s="624">
        <f t="shared" si="61"/>
        <v>0</v>
      </c>
      <c r="AD199" s="624">
        <f t="shared" si="61"/>
        <v>0</v>
      </c>
      <c r="AE199" s="624">
        <f t="shared" si="61"/>
        <v>0</v>
      </c>
      <c r="AF199" s="471"/>
      <c r="AG199" s="473"/>
      <c r="AH199" s="471"/>
      <c r="AI199" s="471"/>
      <c r="AJ199" s="471"/>
      <c r="AM199" s="404"/>
      <c r="AP199" s="404"/>
      <c r="AQ199" s="404"/>
    </row>
    <row r="200" spans="1:43" s="390" customFormat="1" ht="22.25" customHeight="1">
      <c r="A200" s="454"/>
      <c r="B200" s="657" t="str">
        <f t="shared" si="62"/>
        <v>Line B</v>
      </c>
      <c r="C200" s="662"/>
      <c r="D200" s="662"/>
      <c r="E200" s="662">
        <f t="shared" si="63"/>
        <v>1</v>
      </c>
      <c r="F200" s="498">
        <f>35+5-4*0.83</f>
        <v>36.68</v>
      </c>
      <c r="G200" s="642">
        <v>1.67</v>
      </c>
      <c r="H200" s="642">
        <f t="shared" si="64"/>
        <v>0.5</v>
      </c>
      <c r="I200" s="499"/>
      <c r="J200" s="507">
        <f t="shared" ref="J200:J205" si="65">IF(I200=0,1,I200)*IF(H200=0,1,H200)*IF(G200=0,1,G200)*IF(F200=0,1,F200)*IF(E200=0,1,E200)*IF(D200=0,1,D200)*IF(C200=0,1,C200)</f>
        <v>30.627799999999997</v>
      </c>
      <c r="K200" s="455"/>
      <c r="L200" s="312" t="s">
        <v>45</v>
      </c>
      <c r="M200" s="726"/>
      <c r="N200" s="722">
        <f>16.5*2</f>
        <v>33</v>
      </c>
      <c r="O200" s="722"/>
      <c r="P200" s="722"/>
      <c r="Q200" s="611"/>
      <c r="R200" s="611"/>
      <c r="S200" s="624"/>
      <c r="T200" s="625"/>
      <c r="U200" s="626"/>
      <c r="V200" s="624"/>
      <c r="W200" s="624">
        <f t="shared" si="60"/>
        <v>0</v>
      </c>
      <c r="X200" s="624">
        <f t="shared" si="49"/>
        <v>0</v>
      </c>
      <c r="Y200" s="624">
        <f t="shared" si="61"/>
        <v>0</v>
      </c>
      <c r="Z200" s="624">
        <f t="shared" si="61"/>
        <v>0</v>
      </c>
      <c r="AA200" s="624">
        <f t="shared" si="61"/>
        <v>0</v>
      </c>
      <c r="AB200" s="624">
        <f t="shared" si="61"/>
        <v>0</v>
      </c>
      <c r="AC200" s="624">
        <f t="shared" si="61"/>
        <v>0</v>
      </c>
      <c r="AD200" s="624">
        <f t="shared" si="61"/>
        <v>0</v>
      </c>
      <c r="AE200" s="624">
        <f t="shared" si="61"/>
        <v>0</v>
      </c>
      <c r="AF200" s="471"/>
      <c r="AG200" s="473"/>
      <c r="AH200" s="471"/>
      <c r="AI200" s="471"/>
      <c r="AJ200" s="471"/>
      <c r="AM200" s="404"/>
      <c r="AP200" s="404"/>
      <c r="AQ200" s="404"/>
    </row>
    <row r="201" spans="1:43" s="390" customFormat="1" ht="22.25" customHeight="1">
      <c r="A201" s="454"/>
      <c r="B201" s="657" t="str">
        <f t="shared" si="62"/>
        <v>Line B',C'</v>
      </c>
      <c r="C201" s="662"/>
      <c r="D201" s="662"/>
      <c r="E201" s="662">
        <f t="shared" si="63"/>
        <v>2</v>
      </c>
      <c r="F201" s="498">
        <f>14.5-1*$G$29</f>
        <v>12.83</v>
      </c>
      <c r="G201" s="642">
        <v>1.67</v>
      </c>
      <c r="H201" s="642">
        <f t="shared" si="64"/>
        <v>0.5</v>
      </c>
      <c r="I201" s="499"/>
      <c r="J201" s="507">
        <f t="shared" si="65"/>
        <v>21.426099999999998</v>
      </c>
      <c r="K201" s="455"/>
      <c r="L201" s="312" t="s">
        <v>45</v>
      </c>
      <c r="M201" s="726"/>
      <c r="N201" s="722">
        <v>300000</v>
      </c>
      <c r="O201" s="722"/>
      <c r="P201" s="722"/>
      <c r="Q201" s="611"/>
      <c r="R201" s="611"/>
      <c r="S201" s="624"/>
      <c r="T201" s="625"/>
      <c r="U201" s="626"/>
      <c r="V201" s="624"/>
      <c r="W201" s="624">
        <f t="shared" si="60"/>
        <v>0</v>
      </c>
      <c r="X201" s="624">
        <f t="shared" si="49"/>
        <v>0</v>
      </c>
      <c r="Y201" s="624">
        <f t="shared" si="61"/>
        <v>0</v>
      </c>
      <c r="Z201" s="624">
        <f t="shared" si="61"/>
        <v>0</v>
      </c>
      <c r="AA201" s="624">
        <f t="shared" si="61"/>
        <v>0</v>
      </c>
      <c r="AB201" s="624">
        <f t="shared" si="61"/>
        <v>0</v>
      </c>
      <c r="AC201" s="624">
        <f t="shared" si="61"/>
        <v>0</v>
      </c>
      <c r="AD201" s="624">
        <f t="shared" si="61"/>
        <v>0</v>
      </c>
      <c r="AE201" s="624">
        <f t="shared" si="61"/>
        <v>0</v>
      </c>
      <c r="AF201" s="471"/>
      <c r="AG201" s="473"/>
      <c r="AH201" s="471"/>
      <c r="AI201" s="471"/>
      <c r="AJ201" s="471"/>
      <c r="AM201" s="404"/>
      <c r="AP201" s="404"/>
      <c r="AQ201" s="404"/>
    </row>
    <row r="202" spans="1:43" s="390" customFormat="1" ht="22.25" customHeight="1">
      <c r="A202" s="454"/>
      <c r="B202" s="657" t="str">
        <f t="shared" si="62"/>
        <v>Line C</v>
      </c>
      <c r="C202" s="662"/>
      <c r="D202" s="662"/>
      <c r="E202" s="662">
        <f t="shared" si="63"/>
        <v>1</v>
      </c>
      <c r="F202" s="498">
        <f>35-1.5*1-1.5*0.83</f>
        <v>32.255000000000003</v>
      </c>
      <c r="G202" s="642">
        <v>1.67</v>
      </c>
      <c r="H202" s="642">
        <f t="shared" si="64"/>
        <v>0.5</v>
      </c>
      <c r="I202" s="499"/>
      <c r="J202" s="507">
        <f t="shared" si="65"/>
        <v>26.932925000000001</v>
      </c>
      <c r="K202" s="455"/>
      <c r="L202" s="312" t="s">
        <v>45</v>
      </c>
      <c r="M202" s="726"/>
      <c r="N202" s="722">
        <f>N201/N200</f>
        <v>9090.9090909090901</v>
      </c>
      <c r="O202" s="722"/>
      <c r="P202" s="722"/>
      <c r="Q202" s="611"/>
      <c r="R202" s="611"/>
      <c r="S202" s="624"/>
      <c r="T202" s="625"/>
      <c r="U202" s="626"/>
      <c r="V202" s="624"/>
      <c r="W202" s="624">
        <f t="shared" si="60"/>
        <v>0</v>
      </c>
      <c r="X202" s="624">
        <f t="shared" si="49"/>
        <v>0</v>
      </c>
      <c r="Y202" s="624">
        <f t="shared" si="61"/>
        <v>0</v>
      </c>
      <c r="Z202" s="624">
        <f t="shared" si="61"/>
        <v>0</v>
      </c>
      <c r="AA202" s="624">
        <f t="shared" si="61"/>
        <v>0</v>
      </c>
      <c r="AB202" s="624">
        <f t="shared" si="61"/>
        <v>0</v>
      </c>
      <c r="AC202" s="624">
        <f t="shared" si="61"/>
        <v>0</v>
      </c>
      <c r="AD202" s="624">
        <f t="shared" si="61"/>
        <v>0</v>
      </c>
      <c r="AE202" s="624">
        <f t="shared" si="61"/>
        <v>0</v>
      </c>
      <c r="AF202" s="471"/>
      <c r="AG202" s="473"/>
      <c r="AH202" s="471"/>
      <c r="AI202" s="471"/>
      <c r="AJ202" s="471"/>
      <c r="AM202" s="404"/>
      <c r="AP202" s="404"/>
      <c r="AQ202" s="404"/>
    </row>
    <row r="203" spans="1:43" s="390" customFormat="1" ht="22.25" customHeight="1">
      <c r="A203" s="454"/>
      <c r="B203" s="657" t="str">
        <f t="shared" si="62"/>
        <v>Line D</v>
      </c>
      <c r="C203" s="662"/>
      <c r="D203" s="662"/>
      <c r="E203" s="662">
        <f t="shared" si="63"/>
        <v>1</v>
      </c>
      <c r="F203" s="498">
        <f>35-2.5*1-0.5*0.83</f>
        <v>32.085000000000001</v>
      </c>
      <c r="G203" s="642">
        <v>1.67</v>
      </c>
      <c r="H203" s="642">
        <f t="shared" si="64"/>
        <v>0.5</v>
      </c>
      <c r="I203" s="499"/>
      <c r="J203" s="507">
        <f t="shared" si="65"/>
        <v>26.790975</v>
      </c>
      <c r="K203" s="455"/>
      <c r="L203" s="312" t="s">
        <v>45</v>
      </c>
      <c r="M203" s="726"/>
      <c r="N203" s="722"/>
      <c r="O203" s="722"/>
      <c r="P203" s="722"/>
      <c r="Q203" s="611"/>
      <c r="R203" s="611"/>
      <c r="S203" s="624"/>
      <c r="T203" s="625"/>
      <c r="U203" s="626"/>
      <c r="V203" s="624"/>
      <c r="W203" s="624">
        <f t="shared" si="60"/>
        <v>0</v>
      </c>
      <c r="X203" s="624">
        <f t="shared" si="49"/>
        <v>0</v>
      </c>
      <c r="Y203" s="624">
        <f t="shared" si="61"/>
        <v>0</v>
      </c>
      <c r="Z203" s="624">
        <f t="shared" si="61"/>
        <v>0</v>
      </c>
      <c r="AA203" s="624">
        <f t="shared" si="61"/>
        <v>0</v>
      </c>
      <c r="AB203" s="624">
        <f t="shared" si="61"/>
        <v>0</v>
      </c>
      <c r="AC203" s="624">
        <f t="shared" si="61"/>
        <v>0</v>
      </c>
      <c r="AD203" s="624">
        <f t="shared" si="61"/>
        <v>0</v>
      </c>
      <c r="AE203" s="624">
        <f t="shared" si="61"/>
        <v>0</v>
      </c>
      <c r="AF203" s="471"/>
      <c r="AG203" s="473"/>
      <c r="AH203" s="471"/>
      <c r="AI203" s="471"/>
      <c r="AJ203" s="471"/>
      <c r="AM203" s="404"/>
      <c r="AP203" s="404"/>
      <c r="AQ203" s="404"/>
    </row>
    <row r="204" spans="1:43" s="390" customFormat="1" ht="22.25" customHeight="1">
      <c r="A204" s="454"/>
      <c r="B204" s="657" t="str">
        <f t="shared" si="62"/>
        <v>Line D'</v>
      </c>
      <c r="C204" s="662"/>
      <c r="D204" s="662"/>
      <c r="E204" s="662">
        <f t="shared" si="63"/>
        <v>1</v>
      </c>
      <c r="F204" s="498">
        <f>9.5-1*0.83</f>
        <v>8.67</v>
      </c>
      <c r="G204" s="642">
        <v>1.67</v>
      </c>
      <c r="H204" s="642">
        <f t="shared" si="64"/>
        <v>0.5</v>
      </c>
      <c r="I204" s="499"/>
      <c r="J204" s="507">
        <f t="shared" si="65"/>
        <v>7.2394499999999997</v>
      </c>
      <c r="K204" s="455"/>
      <c r="L204" s="312" t="s">
        <v>45</v>
      </c>
      <c r="M204" s="726"/>
      <c r="N204" s="722"/>
      <c r="O204" s="722"/>
      <c r="P204" s="722"/>
      <c r="Q204" s="611"/>
      <c r="R204" s="611"/>
      <c r="S204" s="624"/>
      <c r="T204" s="625"/>
      <c r="U204" s="626"/>
      <c r="V204" s="624"/>
      <c r="W204" s="624">
        <f t="shared" si="60"/>
        <v>0</v>
      </c>
      <c r="X204" s="624">
        <f t="shared" si="49"/>
        <v>0</v>
      </c>
      <c r="Y204" s="624">
        <f t="shared" si="61"/>
        <v>0</v>
      </c>
      <c r="Z204" s="624">
        <f t="shared" si="61"/>
        <v>0</v>
      </c>
      <c r="AA204" s="624">
        <f t="shared" si="61"/>
        <v>0</v>
      </c>
      <c r="AB204" s="624">
        <f t="shared" si="61"/>
        <v>0</v>
      </c>
      <c r="AC204" s="624">
        <f t="shared" si="61"/>
        <v>0</v>
      </c>
      <c r="AD204" s="624">
        <f t="shared" si="61"/>
        <v>0</v>
      </c>
      <c r="AE204" s="624">
        <f t="shared" si="61"/>
        <v>0</v>
      </c>
      <c r="AF204" s="471"/>
      <c r="AG204" s="473"/>
      <c r="AH204" s="471"/>
      <c r="AI204" s="471"/>
      <c r="AJ204" s="471"/>
      <c r="AM204" s="404"/>
      <c r="AP204" s="404"/>
      <c r="AQ204" s="404"/>
    </row>
    <row r="205" spans="1:43" s="390" customFormat="1" ht="22.25" customHeight="1">
      <c r="A205" s="454"/>
      <c r="B205" s="657" t="str">
        <f t="shared" si="62"/>
        <v>Line 1</v>
      </c>
      <c r="C205" s="662"/>
      <c r="D205" s="662"/>
      <c r="E205" s="662">
        <f t="shared" si="63"/>
        <v>1</v>
      </c>
      <c r="F205" s="498">
        <f>45-1.5*1-1.5*0.83</f>
        <v>42.255000000000003</v>
      </c>
      <c r="G205" s="642">
        <v>1.67</v>
      </c>
      <c r="H205" s="642">
        <f t="shared" si="64"/>
        <v>0.5</v>
      </c>
      <c r="I205" s="499"/>
      <c r="J205" s="507">
        <f t="shared" si="65"/>
        <v>35.282924999999999</v>
      </c>
      <c r="K205" s="455"/>
      <c r="L205" s="312" t="s">
        <v>45</v>
      </c>
      <c r="M205" s="726"/>
      <c r="N205" s="722"/>
      <c r="O205" s="722"/>
      <c r="P205" s="722"/>
      <c r="Q205" s="611"/>
      <c r="R205" s="611"/>
      <c r="S205" s="624"/>
      <c r="T205" s="625"/>
      <c r="U205" s="626"/>
      <c r="V205" s="624"/>
      <c r="W205" s="624">
        <f t="shared" si="60"/>
        <v>0</v>
      </c>
      <c r="X205" s="624">
        <f t="shared" si="49"/>
        <v>0</v>
      </c>
      <c r="Y205" s="624">
        <f t="shared" si="61"/>
        <v>0</v>
      </c>
      <c r="Z205" s="624">
        <f t="shared" si="61"/>
        <v>0</v>
      </c>
      <c r="AA205" s="624">
        <f t="shared" si="61"/>
        <v>0</v>
      </c>
      <c r="AB205" s="624">
        <f t="shared" si="61"/>
        <v>0</v>
      </c>
      <c r="AC205" s="624">
        <f t="shared" si="61"/>
        <v>0</v>
      </c>
      <c r="AD205" s="624">
        <f t="shared" si="61"/>
        <v>0</v>
      </c>
      <c r="AE205" s="624">
        <f t="shared" si="61"/>
        <v>0</v>
      </c>
      <c r="AF205" s="471"/>
      <c r="AG205" s="473"/>
      <c r="AH205" s="471"/>
      <c r="AI205" s="471"/>
      <c r="AJ205" s="471"/>
      <c r="AM205" s="404"/>
      <c r="AP205" s="404"/>
      <c r="AQ205" s="404"/>
    </row>
    <row r="206" spans="1:43" s="390" customFormat="1" ht="22.25" customHeight="1">
      <c r="A206" s="454"/>
      <c r="B206" s="657" t="str">
        <f t="shared" si="62"/>
        <v>Line 1'</v>
      </c>
      <c r="C206" s="662"/>
      <c r="D206" s="662"/>
      <c r="E206" s="662">
        <f t="shared" si="63"/>
        <v>2</v>
      </c>
      <c r="F206" s="498">
        <f>7.83-1*$G$34</f>
        <v>6.16</v>
      </c>
      <c r="G206" s="642">
        <v>1.67</v>
      </c>
      <c r="H206" s="642">
        <f t="shared" si="64"/>
        <v>0.5</v>
      </c>
      <c r="I206" s="499"/>
      <c r="J206" s="507">
        <f t="shared" ref="J206:J212" si="66">IF(I206=0,1,I206)*IF(H206=0,1,H206)*IF(G206=0,1,G206)*IF(F206=0,1,F206)*IF(E206=0,1,E206)*IF(D206=0,1,D206)*IF(C206=0,1,C206)</f>
        <v>10.2872</v>
      </c>
      <c r="K206" s="455"/>
      <c r="L206" s="312" t="s">
        <v>45</v>
      </c>
      <c r="M206" s="726"/>
      <c r="N206" s="722"/>
      <c r="O206" s="722"/>
      <c r="P206" s="722"/>
      <c r="Q206" s="611"/>
      <c r="R206" s="611"/>
      <c r="S206" s="624"/>
      <c r="T206" s="625"/>
      <c r="U206" s="626"/>
      <c r="V206" s="624"/>
      <c r="W206" s="624">
        <f t="shared" si="60"/>
        <v>0</v>
      </c>
      <c r="X206" s="624">
        <f t="shared" si="49"/>
        <v>0</v>
      </c>
      <c r="Y206" s="624">
        <f t="shared" si="61"/>
        <v>0</v>
      </c>
      <c r="Z206" s="624">
        <f t="shared" si="61"/>
        <v>0</v>
      </c>
      <c r="AA206" s="624">
        <f t="shared" si="61"/>
        <v>0</v>
      </c>
      <c r="AB206" s="624">
        <f t="shared" si="61"/>
        <v>0</v>
      </c>
      <c r="AC206" s="624">
        <f t="shared" si="61"/>
        <v>0</v>
      </c>
      <c r="AD206" s="624">
        <f t="shared" si="61"/>
        <v>0</v>
      </c>
      <c r="AE206" s="624">
        <f t="shared" si="61"/>
        <v>0</v>
      </c>
      <c r="AF206" s="471"/>
      <c r="AG206" s="473"/>
      <c r="AH206" s="471"/>
      <c r="AI206" s="471"/>
      <c r="AJ206" s="471"/>
      <c r="AM206" s="404"/>
      <c r="AP206" s="404"/>
      <c r="AQ206" s="404"/>
    </row>
    <row r="207" spans="1:43" s="390" customFormat="1" ht="22.25" customHeight="1">
      <c r="A207" s="454"/>
      <c r="B207" s="657" t="str">
        <f t="shared" si="62"/>
        <v>Line 1"</v>
      </c>
      <c r="C207" s="662"/>
      <c r="D207" s="662"/>
      <c r="E207" s="662">
        <f t="shared" si="63"/>
        <v>1</v>
      </c>
      <c r="F207" s="498">
        <f>5-0.5*0.83-0.5*$G$35</f>
        <v>3.75</v>
      </c>
      <c r="G207" s="642">
        <v>1.67</v>
      </c>
      <c r="H207" s="642">
        <f t="shared" si="64"/>
        <v>0.5</v>
      </c>
      <c r="I207" s="499"/>
      <c r="J207" s="507">
        <f t="shared" si="66"/>
        <v>3.1312499999999996</v>
      </c>
      <c r="K207" s="455"/>
      <c r="L207" s="312" t="s">
        <v>45</v>
      </c>
      <c r="M207" s="726"/>
      <c r="N207" s="722"/>
      <c r="O207" s="722"/>
      <c r="P207" s="722"/>
      <c r="Q207" s="611"/>
      <c r="R207" s="611"/>
      <c r="S207" s="624"/>
      <c r="T207" s="625"/>
      <c r="U207" s="626"/>
      <c r="V207" s="624"/>
      <c r="W207" s="624">
        <f t="shared" si="60"/>
        <v>0</v>
      </c>
      <c r="X207" s="624">
        <f t="shared" si="49"/>
        <v>0</v>
      </c>
      <c r="Y207" s="624">
        <f t="shared" si="61"/>
        <v>0</v>
      </c>
      <c r="Z207" s="624">
        <f t="shared" si="61"/>
        <v>0</v>
      </c>
      <c r="AA207" s="624">
        <f t="shared" si="61"/>
        <v>0</v>
      </c>
      <c r="AB207" s="624">
        <f t="shared" si="61"/>
        <v>0</v>
      </c>
      <c r="AC207" s="624">
        <f t="shared" si="61"/>
        <v>0</v>
      </c>
      <c r="AD207" s="624">
        <f t="shared" si="61"/>
        <v>0</v>
      </c>
      <c r="AE207" s="624">
        <f t="shared" si="61"/>
        <v>0</v>
      </c>
      <c r="AF207" s="471"/>
      <c r="AG207" s="473"/>
      <c r="AH207" s="471"/>
      <c r="AI207" s="471"/>
      <c r="AJ207" s="471"/>
      <c r="AM207" s="404"/>
      <c r="AP207" s="404"/>
      <c r="AQ207" s="404"/>
    </row>
    <row r="208" spans="1:43" s="390" customFormat="1" ht="22.25" customHeight="1">
      <c r="A208" s="454"/>
      <c r="B208" s="657" t="str">
        <f t="shared" si="62"/>
        <v>Line 2</v>
      </c>
      <c r="C208" s="662"/>
      <c r="D208" s="662"/>
      <c r="E208" s="662">
        <f t="shared" si="63"/>
        <v>1</v>
      </c>
      <c r="F208" s="498">
        <f>45+5-1.5*1-2.5*0.83</f>
        <v>46.424999999999997</v>
      </c>
      <c r="G208" s="642">
        <v>1.67</v>
      </c>
      <c r="H208" s="642">
        <f t="shared" si="64"/>
        <v>0.5</v>
      </c>
      <c r="I208" s="513"/>
      <c r="J208" s="507">
        <f t="shared" si="66"/>
        <v>38.764874999999996</v>
      </c>
      <c r="K208" s="455"/>
      <c r="L208" s="312" t="s">
        <v>45</v>
      </c>
      <c r="M208" s="726"/>
      <c r="N208" s="722"/>
      <c r="O208" s="722"/>
      <c r="P208" s="722"/>
      <c r="Q208" s="611"/>
      <c r="R208" s="611"/>
      <c r="S208" s="624"/>
      <c r="T208" s="625"/>
      <c r="U208" s="626"/>
      <c r="V208" s="641"/>
      <c r="W208" s="624">
        <f t="shared" si="60"/>
        <v>0</v>
      </c>
      <c r="X208" s="624">
        <f t="shared" si="49"/>
        <v>0</v>
      </c>
      <c r="Y208" s="624">
        <f t="shared" si="61"/>
        <v>0</v>
      </c>
      <c r="Z208" s="624">
        <f t="shared" si="61"/>
        <v>0</v>
      </c>
      <c r="AA208" s="624">
        <f t="shared" si="61"/>
        <v>0</v>
      </c>
      <c r="AB208" s="624">
        <f t="shared" si="61"/>
        <v>0</v>
      </c>
      <c r="AC208" s="624">
        <f t="shared" si="61"/>
        <v>0</v>
      </c>
      <c r="AD208" s="624">
        <f t="shared" si="61"/>
        <v>0</v>
      </c>
      <c r="AE208" s="624">
        <f t="shared" si="61"/>
        <v>0</v>
      </c>
      <c r="AF208" s="471"/>
      <c r="AG208" s="473"/>
      <c r="AH208" s="471"/>
      <c r="AI208" s="471"/>
      <c r="AJ208" s="471"/>
      <c r="AM208" s="404"/>
      <c r="AP208" s="404"/>
      <c r="AQ208" s="404"/>
    </row>
    <row r="209" spans="1:48" s="390" customFormat="1" ht="22.25" customHeight="1">
      <c r="A209" s="454"/>
      <c r="B209" s="657" t="str">
        <f t="shared" si="62"/>
        <v>Line 2'</v>
      </c>
      <c r="C209" s="662"/>
      <c r="D209" s="662"/>
      <c r="E209" s="662">
        <f t="shared" si="63"/>
        <v>1</v>
      </c>
      <c r="F209" s="498">
        <f>5-1*$G$37</f>
        <v>3.33</v>
      </c>
      <c r="G209" s="642">
        <v>1.67</v>
      </c>
      <c r="H209" s="642">
        <f t="shared" si="64"/>
        <v>0.5</v>
      </c>
      <c r="I209" s="513"/>
      <c r="J209" s="507">
        <f t="shared" si="66"/>
        <v>2.7805499999999999</v>
      </c>
      <c r="K209" s="455"/>
      <c r="L209" s="312" t="s">
        <v>45</v>
      </c>
      <c r="M209" s="726"/>
      <c r="N209" s="722"/>
      <c r="O209" s="722"/>
      <c r="P209" s="722"/>
      <c r="Q209" s="611"/>
      <c r="R209" s="611"/>
      <c r="S209" s="624"/>
      <c r="T209" s="625"/>
      <c r="U209" s="626"/>
      <c r="V209" s="641"/>
      <c r="W209" s="624">
        <f t="shared" si="60"/>
        <v>0</v>
      </c>
      <c r="X209" s="624">
        <f t="shared" si="49"/>
        <v>0</v>
      </c>
      <c r="Y209" s="624">
        <f t="shared" si="61"/>
        <v>0</v>
      </c>
      <c r="Z209" s="624">
        <f t="shared" si="61"/>
        <v>0</v>
      </c>
      <c r="AA209" s="624">
        <f t="shared" si="61"/>
        <v>0</v>
      </c>
      <c r="AB209" s="624">
        <f t="shared" si="61"/>
        <v>0</v>
      </c>
      <c r="AC209" s="624">
        <f t="shared" si="61"/>
        <v>0</v>
      </c>
      <c r="AD209" s="624">
        <f t="shared" si="61"/>
        <v>0</v>
      </c>
      <c r="AE209" s="624">
        <f t="shared" si="61"/>
        <v>0</v>
      </c>
      <c r="AF209" s="471"/>
      <c r="AG209" s="473"/>
      <c r="AH209" s="471"/>
      <c r="AI209" s="471"/>
      <c r="AJ209" s="471"/>
      <c r="AM209" s="404"/>
      <c r="AP209" s="404"/>
      <c r="AQ209" s="404"/>
    </row>
    <row r="210" spans="1:48" s="390" customFormat="1" ht="22.25" customHeight="1">
      <c r="A210" s="454"/>
      <c r="B210" s="657" t="str">
        <f t="shared" si="62"/>
        <v>Line 3</v>
      </c>
      <c r="C210" s="662"/>
      <c r="D210" s="662"/>
      <c r="E210" s="662">
        <f t="shared" si="63"/>
        <v>1</v>
      </c>
      <c r="F210" s="498">
        <f>45+5+5-1*1-4*0.83</f>
        <v>50.68</v>
      </c>
      <c r="G210" s="642">
        <v>1.67</v>
      </c>
      <c r="H210" s="642">
        <f t="shared" si="64"/>
        <v>0.5</v>
      </c>
      <c r="I210" s="513"/>
      <c r="J210" s="507">
        <f t="shared" si="66"/>
        <v>42.317799999999998</v>
      </c>
      <c r="K210" s="455"/>
      <c r="L210" s="312" t="s">
        <v>45</v>
      </c>
      <c r="M210" s="726"/>
      <c r="N210" s="722"/>
      <c r="O210" s="722"/>
      <c r="P210" s="722"/>
      <c r="Q210" s="611"/>
      <c r="R210" s="611"/>
      <c r="S210" s="624"/>
      <c r="T210" s="625"/>
      <c r="U210" s="626"/>
      <c r="V210" s="641"/>
      <c r="W210" s="624"/>
      <c r="X210" s="624"/>
      <c r="Y210" s="624"/>
      <c r="Z210" s="624"/>
      <c r="AA210" s="624"/>
      <c r="AB210" s="624"/>
      <c r="AC210" s="624"/>
      <c r="AD210" s="624"/>
      <c r="AE210" s="624"/>
      <c r="AF210" s="471"/>
      <c r="AG210" s="473"/>
      <c r="AH210" s="471"/>
      <c r="AI210" s="471"/>
      <c r="AJ210" s="471"/>
      <c r="AM210" s="404"/>
      <c r="AP210" s="404"/>
      <c r="AQ210" s="404"/>
    </row>
    <row r="211" spans="1:48" s="390" customFormat="1" ht="22.25" customHeight="1">
      <c r="A211" s="454"/>
      <c r="B211" s="657" t="str">
        <f t="shared" si="62"/>
        <v>Line 3'</v>
      </c>
      <c r="C211" s="662"/>
      <c r="D211" s="662"/>
      <c r="E211" s="662">
        <f t="shared" si="63"/>
        <v>1</v>
      </c>
      <c r="F211" s="498">
        <f>15-1*$G$39</f>
        <v>13.33</v>
      </c>
      <c r="G211" s="642">
        <v>1.67</v>
      </c>
      <c r="H211" s="642">
        <f t="shared" si="64"/>
        <v>0.5</v>
      </c>
      <c r="I211" s="513"/>
      <c r="J211" s="507">
        <f t="shared" si="66"/>
        <v>11.130549999999999</v>
      </c>
      <c r="K211" s="455"/>
      <c r="L211" s="312" t="s">
        <v>45</v>
      </c>
      <c r="M211" s="726"/>
      <c r="N211" s="722"/>
      <c r="O211" s="722"/>
      <c r="P211" s="722"/>
      <c r="Q211" s="611"/>
      <c r="R211" s="611"/>
      <c r="S211" s="624"/>
      <c r="T211" s="625"/>
      <c r="U211" s="626"/>
      <c r="V211" s="641"/>
      <c r="W211" s="624"/>
      <c r="X211" s="624"/>
      <c r="Y211" s="624"/>
      <c r="Z211" s="624"/>
      <c r="AA211" s="624"/>
      <c r="AB211" s="624"/>
      <c r="AC211" s="624"/>
      <c r="AD211" s="624"/>
      <c r="AE211" s="624"/>
      <c r="AF211" s="471"/>
      <c r="AG211" s="473"/>
      <c r="AH211" s="471"/>
      <c r="AI211" s="471"/>
      <c r="AJ211" s="471"/>
      <c r="AM211" s="404"/>
      <c r="AP211" s="404"/>
      <c r="AQ211" s="404"/>
    </row>
    <row r="212" spans="1:48" s="390" customFormat="1" ht="22.25" customHeight="1">
      <c r="A212" s="454"/>
      <c r="B212" s="657" t="str">
        <f t="shared" si="62"/>
        <v>Line 4</v>
      </c>
      <c r="C212" s="662"/>
      <c r="D212" s="662"/>
      <c r="E212" s="662">
        <f t="shared" si="63"/>
        <v>1</v>
      </c>
      <c r="F212" s="498">
        <f>45-4*0.83</f>
        <v>41.68</v>
      </c>
      <c r="G212" s="642">
        <v>1.67</v>
      </c>
      <c r="H212" s="642">
        <f t="shared" si="64"/>
        <v>0.5</v>
      </c>
      <c r="I212" s="513"/>
      <c r="J212" s="507">
        <f t="shared" si="66"/>
        <v>34.802799999999998</v>
      </c>
      <c r="K212" s="455"/>
      <c r="L212" s="312" t="s">
        <v>45</v>
      </c>
      <c r="M212" s="726"/>
      <c r="N212" s="722"/>
      <c r="O212" s="722"/>
      <c r="P212" s="722"/>
      <c r="Q212" s="611"/>
      <c r="R212" s="611"/>
      <c r="S212" s="624"/>
      <c r="T212" s="625"/>
      <c r="U212" s="626"/>
      <c r="V212" s="641"/>
      <c r="W212" s="624"/>
      <c r="X212" s="624"/>
      <c r="Y212" s="624"/>
      <c r="Z212" s="624"/>
      <c r="AA212" s="624"/>
      <c r="AB212" s="624"/>
      <c r="AC212" s="624"/>
      <c r="AD212" s="624"/>
      <c r="AE212" s="624"/>
      <c r="AF212" s="471"/>
      <c r="AG212" s="473"/>
      <c r="AH212" s="471"/>
      <c r="AI212" s="471"/>
      <c r="AJ212" s="471"/>
      <c r="AM212" s="404"/>
      <c r="AP212" s="404"/>
      <c r="AQ212" s="404"/>
    </row>
    <row r="213" spans="1:48" s="390" customFormat="1" ht="22.25" customHeight="1">
      <c r="A213" s="454"/>
      <c r="B213" s="657"/>
      <c r="C213" s="662"/>
      <c r="D213" s="662"/>
      <c r="E213" s="662"/>
      <c r="F213" s="498"/>
      <c r="G213" s="642"/>
      <c r="H213" s="642"/>
      <c r="I213" s="784" t="str">
        <f>B197</f>
        <v>Retaining Wall</v>
      </c>
      <c r="J213" s="507"/>
      <c r="K213" s="455">
        <f>SUM(J197:J213)</f>
        <v>322.14299999999997</v>
      </c>
      <c r="L213" s="312" t="s">
        <v>45</v>
      </c>
      <c r="M213" s="722">
        <f>[4]Detail!$K$60</f>
        <v>184.14299999999997</v>
      </c>
      <c r="N213" s="722">
        <f>M213-K213</f>
        <v>-138</v>
      </c>
      <c r="O213" s="722"/>
      <c r="P213" s="722"/>
      <c r="Q213" s="611"/>
      <c r="R213" s="611"/>
      <c r="S213" s="624"/>
      <c r="T213" s="625"/>
      <c r="U213" s="626"/>
      <c r="V213" s="624"/>
      <c r="W213" s="624">
        <f t="shared" ref="W213:AE213" si="67">IF($R213=W$5,$V213,0)</f>
        <v>0</v>
      </c>
      <c r="X213" s="624">
        <f t="shared" si="67"/>
        <v>0</v>
      </c>
      <c r="Y213" s="624">
        <f t="shared" si="67"/>
        <v>0</v>
      </c>
      <c r="Z213" s="624">
        <f t="shared" si="67"/>
        <v>0</v>
      </c>
      <c r="AA213" s="624">
        <f t="shared" si="67"/>
        <v>0</v>
      </c>
      <c r="AB213" s="624">
        <f t="shared" si="67"/>
        <v>0</v>
      </c>
      <c r="AC213" s="624">
        <f t="shared" si="67"/>
        <v>0</v>
      </c>
      <c r="AD213" s="624">
        <f t="shared" si="67"/>
        <v>0</v>
      </c>
      <c r="AE213" s="624">
        <f t="shared" si="67"/>
        <v>0</v>
      </c>
      <c r="AF213" s="471"/>
      <c r="AG213" s="473"/>
      <c r="AH213" s="471"/>
      <c r="AI213" s="471"/>
      <c r="AJ213" s="471"/>
      <c r="AM213" s="404"/>
      <c r="AP213" s="404"/>
      <c r="AQ213" s="404"/>
    </row>
    <row r="214" spans="1:48" s="390" customFormat="1" ht="21.9" customHeight="1">
      <c r="A214" s="454"/>
      <c r="B214" s="659" t="s">
        <v>564</v>
      </c>
      <c r="C214" s="662"/>
      <c r="D214" s="662"/>
      <c r="E214" s="662"/>
      <c r="F214" s="498"/>
      <c r="G214" s="642"/>
      <c r="H214" s="648"/>
      <c r="I214" s="501"/>
      <c r="J214" s="455"/>
      <c r="K214" s="455"/>
      <c r="L214" s="312"/>
      <c r="M214" s="726"/>
      <c r="N214" s="726"/>
      <c r="O214" s="726"/>
      <c r="P214" s="726"/>
      <c r="Q214" s="611"/>
      <c r="R214" s="611"/>
      <c r="S214" s="624"/>
      <c r="T214" s="625"/>
      <c r="U214" s="626"/>
      <c r="V214" s="624"/>
      <c r="W214" s="624">
        <f t="shared" ref="W214:AE220" si="68">IF($R214=W$5,$V214,0)</f>
        <v>0</v>
      </c>
      <c r="X214" s="624">
        <f t="shared" si="68"/>
        <v>0</v>
      </c>
      <c r="Y214" s="624">
        <f t="shared" si="68"/>
        <v>0</v>
      </c>
      <c r="Z214" s="624">
        <f t="shared" si="68"/>
        <v>0</v>
      </c>
      <c r="AA214" s="624">
        <f t="shared" si="68"/>
        <v>0</v>
      </c>
      <c r="AB214" s="624">
        <f t="shared" si="68"/>
        <v>0</v>
      </c>
      <c r="AC214" s="624">
        <f t="shared" si="68"/>
        <v>0</v>
      </c>
      <c r="AD214" s="624">
        <f t="shared" si="68"/>
        <v>0</v>
      </c>
      <c r="AE214" s="624">
        <f t="shared" si="68"/>
        <v>0</v>
      </c>
      <c r="AF214" s="404"/>
      <c r="AG214" s="471"/>
      <c r="AH214" s="471"/>
      <c r="AI214" s="471"/>
      <c r="AJ214" s="471"/>
      <c r="AM214" s="404"/>
      <c r="AP214" s="404"/>
      <c r="AQ214" s="404"/>
    </row>
    <row r="215" spans="1:48" s="390" customFormat="1" ht="22.25" customHeight="1">
      <c r="A215" s="454"/>
      <c r="B215" s="657"/>
      <c r="C215" s="662"/>
      <c r="D215" s="662">
        <v>1</v>
      </c>
      <c r="E215" s="662">
        <v>1</v>
      </c>
      <c r="F215" s="498">
        <v>35</v>
      </c>
      <c r="G215" s="642">
        <v>45</v>
      </c>
      <c r="H215" s="642">
        <v>0.38</v>
      </c>
      <c r="I215" s="499"/>
      <c r="J215" s="507">
        <f>IF(I215=0,1,I215)*IF(H215=0,1,H215)*IF(G215=0,1,G215)*IF(F215=0,1,F215)*IF(E215=0,1,E215)*IF(D215=0,1,D215)*IF(C215=0,1,C215)</f>
        <v>598.5</v>
      </c>
      <c r="K215" s="455"/>
      <c r="L215" s="312" t="s">
        <v>301</v>
      </c>
      <c r="M215" s="722">
        <f>F215*2+G215*2</f>
        <v>160</v>
      </c>
      <c r="N215" s="722">
        <f>M215*H215</f>
        <v>60.8</v>
      </c>
      <c r="O215" s="455">
        <f>F215*G215</f>
        <v>1575</v>
      </c>
      <c r="P215" s="722"/>
      <c r="Q215" s="611"/>
      <c r="R215" s="611"/>
      <c r="S215" s="624"/>
      <c r="T215" s="625"/>
      <c r="U215" s="626"/>
      <c r="V215" s="624"/>
      <c r="W215" s="624">
        <f t="shared" si="68"/>
        <v>0</v>
      </c>
      <c r="X215" s="624">
        <f t="shared" si="68"/>
        <v>0</v>
      </c>
      <c r="Y215" s="624">
        <f t="shared" si="68"/>
        <v>0</v>
      </c>
      <c r="Z215" s="624">
        <f t="shared" si="68"/>
        <v>0</v>
      </c>
      <c r="AA215" s="624">
        <f t="shared" si="68"/>
        <v>0</v>
      </c>
      <c r="AB215" s="624">
        <f t="shared" si="68"/>
        <v>0</v>
      </c>
      <c r="AC215" s="624">
        <f t="shared" si="68"/>
        <v>0</v>
      </c>
      <c r="AD215" s="624">
        <f t="shared" si="68"/>
        <v>0</v>
      </c>
      <c r="AE215" s="624">
        <f t="shared" si="68"/>
        <v>0</v>
      </c>
      <c r="AF215" s="471"/>
      <c r="AG215" s="473"/>
      <c r="AH215" s="471"/>
      <c r="AI215" s="471"/>
      <c r="AJ215" s="471"/>
      <c r="AM215" s="404"/>
      <c r="AP215" s="404"/>
      <c r="AQ215" s="404"/>
    </row>
    <row r="216" spans="1:48" s="390" customFormat="1" ht="22.25" customHeight="1">
      <c r="A216" s="454"/>
      <c r="B216" s="657"/>
      <c r="C216" s="662"/>
      <c r="D216" s="662">
        <v>1</v>
      </c>
      <c r="E216" s="662">
        <v>1</v>
      </c>
      <c r="F216" s="498">
        <v>9.5</v>
      </c>
      <c r="G216" s="642">
        <v>5</v>
      </c>
      <c r="H216" s="642">
        <v>0.38</v>
      </c>
      <c r="I216" s="499"/>
      <c r="J216" s="507">
        <f>IF(I216=0,1,I216)*IF(H216=0,1,H216)*IF(G216=0,1,G216)*IF(F216=0,1,F216)*IF(E216=0,1,E216)*IF(D216=0,1,D216)*IF(C216=0,1,C216)</f>
        <v>18.05</v>
      </c>
      <c r="K216" s="455"/>
      <c r="L216" s="312" t="s">
        <v>301</v>
      </c>
      <c r="M216" s="722">
        <f>F216*2+G216*2</f>
        <v>29</v>
      </c>
      <c r="N216" s="722">
        <f>M216*H216</f>
        <v>11.02</v>
      </c>
      <c r="O216" s="455">
        <f>F216*G216</f>
        <v>47.5</v>
      </c>
      <c r="P216" s="722"/>
      <c r="Q216" s="611"/>
      <c r="R216" s="611"/>
      <c r="S216" s="624"/>
      <c r="T216" s="625"/>
      <c r="U216" s="626"/>
      <c r="V216" s="624"/>
      <c r="W216" s="624">
        <f t="shared" ref="W216:AE216" si="69">IF($R216=W$5,$V216,0)</f>
        <v>0</v>
      </c>
      <c r="X216" s="624">
        <f t="shared" si="69"/>
        <v>0</v>
      </c>
      <c r="Y216" s="624">
        <f t="shared" si="69"/>
        <v>0</v>
      </c>
      <c r="Z216" s="624">
        <f t="shared" si="69"/>
        <v>0</v>
      </c>
      <c r="AA216" s="624">
        <f t="shared" si="69"/>
        <v>0</v>
      </c>
      <c r="AB216" s="624">
        <f t="shared" si="69"/>
        <v>0</v>
      </c>
      <c r="AC216" s="624">
        <f t="shared" si="69"/>
        <v>0</v>
      </c>
      <c r="AD216" s="624">
        <f t="shared" si="69"/>
        <v>0</v>
      </c>
      <c r="AE216" s="624">
        <f t="shared" si="69"/>
        <v>0</v>
      </c>
      <c r="AF216" s="471"/>
      <c r="AG216" s="473"/>
      <c r="AH216" s="471"/>
      <c r="AI216" s="471"/>
      <c r="AJ216" s="471"/>
      <c r="AM216" s="404"/>
      <c r="AP216" s="404"/>
      <c r="AQ216" s="404"/>
    </row>
    <row r="217" spans="1:48" s="390" customFormat="1" ht="21.9" customHeight="1">
      <c r="A217" s="454"/>
      <c r="B217" s="659" t="s">
        <v>350</v>
      </c>
      <c r="C217" s="662"/>
      <c r="D217" s="662"/>
      <c r="E217" s="662"/>
      <c r="F217" s="498"/>
      <c r="G217" s="642"/>
      <c r="H217" s="648"/>
      <c r="I217" s="501"/>
      <c r="J217" s="455"/>
      <c r="K217" s="455"/>
      <c r="L217" s="312"/>
      <c r="M217" s="726"/>
      <c r="N217" s="726"/>
      <c r="O217" s="726"/>
      <c r="P217" s="726"/>
      <c r="Q217" s="611"/>
      <c r="R217" s="611"/>
      <c r="S217" s="624"/>
      <c r="T217" s="625"/>
      <c r="U217" s="626"/>
      <c r="V217" s="624"/>
      <c r="W217" s="624">
        <f t="shared" si="68"/>
        <v>0</v>
      </c>
      <c r="X217" s="624">
        <f t="shared" si="68"/>
        <v>0</v>
      </c>
      <c r="Y217" s="624">
        <f t="shared" si="68"/>
        <v>0</v>
      </c>
      <c r="Z217" s="624">
        <f t="shared" si="68"/>
        <v>0</v>
      </c>
      <c r="AA217" s="624">
        <f t="shared" si="68"/>
        <v>0</v>
      </c>
      <c r="AB217" s="624">
        <f t="shared" si="68"/>
        <v>0</v>
      </c>
      <c r="AC217" s="624">
        <f t="shared" si="68"/>
        <v>0</v>
      </c>
      <c r="AD217" s="624">
        <f t="shared" si="68"/>
        <v>0</v>
      </c>
      <c r="AE217" s="624">
        <f t="shared" si="68"/>
        <v>0</v>
      </c>
      <c r="AF217" s="404"/>
      <c r="AG217" s="471"/>
      <c r="AH217" s="471"/>
      <c r="AI217" s="471"/>
      <c r="AJ217" s="471"/>
      <c r="AM217" s="404"/>
      <c r="AP217" s="404"/>
      <c r="AQ217" s="404"/>
    </row>
    <row r="218" spans="1:48" s="390" customFormat="1" ht="22.25" customHeight="1">
      <c r="A218" s="454"/>
      <c r="B218" s="657"/>
      <c r="C218" s="662"/>
      <c r="D218" s="662">
        <v>1</v>
      </c>
      <c r="E218" s="662">
        <v>1</v>
      </c>
      <c r="F218" s="498">
        <v>6</v>
      </c>
      <c r="G218" s="642">
        <v>5</v>
      </c>
      <c r="H218" s="642">
        <v>0.5</v>
      </c>
      <c r="I218" s="499"/>
      <c r="J218" s="507">
        <f>IF(I218=0,1,I218)*IF(H218=0,1,H218)*IF(G218=0,1,G218)*IF(F218=0,1,F218)*IF(E218=0,1,E218)*IF(D218=0,1,D218)*IF(C218=0,1,C218)</f>
        <v>15</v>
      </c>
      <c r="K218" s="455"/>
      <c r="L218" s="312" t="s">
        <v>301</v>
      </c>
      <c r="M218" s="722">
        <f>F218*2+G218*2</f>
        <v>22</v>
      </c>
      <c r="N218" s="722">
        <f>M218*H218</f>
        <v>11</v>
      </c>
      <c r="O218" s="455">
        <f>F218*G218</f>
        <v>30</v>
      </c>
      <c r="P218" s="722"/>
      <c r="Q218" s="611"/>
      <c r="R218" s="611"/>
      <c r="S218" s="624"/>
      <c r="T218" s="625"/>
      <c r="U218" s="626"/>
      <c r="V218" s="624"/>
      <c r="W218" s="624">
        <f t="shared" si="68"/>
        <v>0</v>
      </c>
      <c r="X218" s="624">
        <f t="shared" si="68"/>
        <v>0</v>
      </c>
      <c r="Y218" s="624">
        <f t="shared" si="68"/>
        <v>0</v>
      </c>
      <c r="Z218" s="624">
        <f t="shared" si="68"/>
        <v>0</v>
      </c>
      <c r="AA218" s="624">
        <f t="shared" si="68"/>
        <v>0</v>
      </c>
      <c r="AB218" s="624">
        <f t="shared" si="68"/>
        <v>0</v>
      </c>
      <c r="AC218" s="624">
        <f t="shared" si="68"/>
        <v>0</v>
      </c>
      <c r="AD218" s="624">
        <f t="shared" si="68"/>
        <v>0</v>
      </c>
      <c r="AE218" s="624">
        <f t="shared" si="68"/>
        <v>0</v>
      </c>
      <c r="AF218" s="471"/>
      <c r="AG218" s="473"/>
      <c r="AH218" s="471"/>
      <c r="AI218" s="471"/>
      <c r="AJ218" s="471"/>
      <c r="AM218" s="404"/>
      <c r="AP218" s="404"/>
      <c r="AQ218" s="404"/>
    </row>
    <row r="219" spans="1:48" s="390" customFormat="1" ht="21.9" customHeight="1">
      <c r="A219" s="454"/>
      <c r="B219" s="659" t="s">
        <v>778</v>
      </c>
      <c r="C219" s="662"/>
      <c r="D219" s="662"/>
      <c r="E219" s="662"/>
      <c r="F219" s="498"/>
      <c r="G219" s="642"/>
      <c r="H219" s="648"/>
      <c r="I219" s="501"/>
      <c r="J219" s="455"/>
      <c r="K219" s="455"/>
      <c r="L219" s="312"/>
      <c r="M219" s="726"/>
      <c r="N219" s="726"/>
      <c r="O219" s="726"/>
      <c r="P219" s="726"/>
      <c r="Q219" s="611"/>
      <c r="R219" s="611"/>
      <c r="S219" s="624"/>
      <c r="T219" s="625"/>
      <c r="U219" s="626"/>
      <c r="V219" s="624"/>
      <c r="W219" s="624">
        <f t="shared" si="68"/>
        <v>0</v>
      </c>
      <c r="X219" s="624">
        <f t="shared" si="68"/>
        <v>0</v>
      </c>
      <c r="Y219" s="624">
        <f t="shared" si="68"/>
        <v>0</v>
      </c>
      <c r="Z219" s="624">
        <f t="shared" si="68"/>
        <v>0</v>
      </c>
      <c r="AA219" s="624">
        <f t="shared" si="68"/>
        <v>0</v>
      </c>
      <c r="AB219" s="624">
        <f t="shared" si="68"/>
        <v>0</v>
      </c>
      <c r="AC219" s="624">
        <f t="shared" si="68"/>
        <v>0</v>
      </c>
      <c r="AD219" s="624">
        <f t="shared" si="68"/>
        <v>0</v>
      </c>
      <c r="AE219" s="624">
        <f t="shared" si="68"/>
        <v>0</v>
      </c>
      <c r="AF219" s="404"/>
      <c r="AG219" s="471"/>
      <c r="AH219" s="471"/>
      <c r="AI219" s="471"/>
      <c r="AJ219" s="471"/>
      <c r="AM219" s="404"/>
      <c r="AP219" s="404"/>
      <c r="AQ219" s="404"/>
    </row>
    <row r="220" spans="1:48" s="390" customFormat="1" ht="22.25" customHeight="1">
      <c r="A220" s="454"/>
      <c r="B220" s="657"/>
      <c r="C220" s="662"/>
      <c r="D220" s="662">
        <v>1</v>
      </c>
      <c r="E220" s="662">
        <v>1</v>
      </c>
      <c r="F220" s="498">
        <v>5</v>
      </c>
      <c r="G220" s="642">
        <v>5</v>
      </c>
      <c r="H220" s="642">
        <v>0.5</v>
      </c>
      <c r="I220" s="499"/>
      <c r="J220" s="507">
        <f>IF(I220=0,1,I220)*IF(H220=0,1,H220)*IF(G220=0,1,G220)*IF(F220=0,1,F220)*IF(E220=0,1,E220)*IF(D220=0,1,D220)*IF(C220=0,1,C220)</f>
        <v>12.5</v>
      </c>
      <c r="K220" s="455"/>
      <c r="L220" s="312" t="s">
        <v>301</v>
      </c>
      <c r="M220" s="722">
        <f>F220*2+G220*2</f>
        <v>20</v>
      </c>
      <c r="N220" s="722">
        <f>M220*H220</f>
        <v>10</v>
      </c>
      <c r="O220" s="455">
        <f>F220*G220</f>
        <v>25</v>
      </c>
      <c r="P220" s="722"/>
      <c r="Q220" s="611"/>
      <c r="R220" s="611"/>
      <c r="S220" s="624"/>
      <c r="T220" s="625"/>
      <c r="U220" s="626"/>
      <c r="V220" s="624"/>
      <c r="W220" s="624">
        <f t="shared" si="68"/>
        <v>0</v>
      </c>
      <c r="X220" s="624">
        <f t="shared" si="68"/>
        <v>0</v>
      </c>
      <c r="Y220" s="624">
        <f t="shared" si="68"/>
        <v>0</v>
      </c>
      <c r="Z220" s="624">
        <f t="shared" si="68"/>
        <v>0</v>
      </c>
      <c r="AA220" s="624">
        <f t="shared" si="68"/>
        <v>0</v>
      </c>
      <c r="AB220" s="624">
        <f t="shared" si="68"/>
        <v>0</v>
      </c>
      <c r="AC220" s="624">
        <f t="shared" si="68"/>
        <v>0</v>
      </c>
      <c r="AD220" s="624">
        <f t="shared" si="68"/>
        <v>0</v>
      </c>
      <c r="AE220" s="624">
        <f t="shared" si="68"/>
        <v>0</v>
      </c>
      <c r="AF220" s="471"/>
      <c r="AG220" s="473"/>
      <c r="AH220" s="471"/>
      <c r="AI220" s="471"/>
      <c r="AJ220" s="471"/>
      <c r="AM220" s="404"/>
      <c r="AP220" s="404"/>
      <c r="AQ220" s="404"/>
    </row>
    <row r="221" spans="1:48" s="390" customFormat="1" ht="26.25" customHeight="1" thickBot="1">
      <c r="A221" s="454"/>
      <c r="B221" s="660"/>
      <c r="C221" s="662"/>
      <c r="D221" s="662"/>
      <c r="E221" s="662"/>
      <c r="F221" s="498"/>
      <c r="G221" s="642"/>
      <c r="H221" s="642"/>
      <c r="I221" s="458" t="str">
        <f>B214</f>
        <v>Ground Floor Slab</v>
      </c>
      <c r="J221" s="455"/>
      <c r="K221" s="455">
        <f>SUM(J215:J221)</f>
        <v>644.04999999999995</v>
      </c>
      <c r="L221" s="312" t="s">
        <v>301</v>
      </c>
      <c r="M221" s="726"/>
      <c r="N221" s="726"/>
      <c r="O221" s="726"/>
      <c r="P221" s="726"/>
      <c r="Q221" s="611"/>
      <c r="R221" s="611"/>
      <c r="S221" s="611"/>
      <c r="T221" s="626"/>
      <c r="U221" s="624"/>
      <c r="V221" s="624"/>
      <c r="W221" s="624">
        <f t="shared" ref="W221:AB221" si="70">IF($R221=W$5,$V221,0)</f>
        <v>0</v>
      </c>
      <c r="X221" s="624">
        <f t="shared" si="70"/>
        <v>0</v>
      </c>
      <c r="Y221" s="624">
        <f t="shared" si="70"/>
        <v>0</v>
      </c>
      <c r="Z221" s="624">
        <f t="shared" si="70"/>
        <v>0</v>
      </c>
      <c r="AA221" s="624">
        <f t="shared" si="70"/>
        <v>0</v>
      </c>
      <c r="AB221" s="624">
        <f t="shared" si="70"/>
        <v>0</v>
      </c>
      <c r="AC221" s="624">
        <f t="shared" ref="W221:AE243" si="71">IF($R221=AC$5,$V221,0)</f>
        <v>0</v>
      </c>
      <c r="AD221" s="624">
        <f t="shared" si="71"/>
        <v>0</v>
      </c>
      <c r="AE221" s="624">
        <f t="shared" si="71"/>
        <v>0</v>
      </c>
      <c r="AF221" s="404"/>
      <c r="AG221" s="471"/>
      <c r="AH221" s="471"/>
      <c r="AI221" s="471"/>
      <c r="AJ221" s="471"/>
      <c r="AM221" s="404"/>
      <c r="AP221" s="404"/>
      <c r="AQ221" s="404"/>
    </row>
    <row r="222" spans="1:48" s="390" customFormat="1" ht="22.25" customHeight="1" thickBot="1">
      <c r="A222" s="454"/>
      <c r="B222" s="655"/>
      <c r="C222" s="662"/>
      <c r="D222" s="662"/>
      <c r="E222" s="662"/>
      <c r="F222" s="504"/>
      <c r="G222" s="643"/>
      <c r="H222" s="648"/>
      <c r="I222" s="501"/>
      <c r="J222" s="455"/>
      <c r="K222" s="509">
        <f>SUM(K189:K221)</f>
        <v>1083.1305</v>
      </c>
      <c r="L222" s="880" t="s">
        <v>301</v>
      </c>
      <c r="M222" s="725"/>
      <c r="N222" s="725"/>
      <c r="O222" s="725"/>
      <c r="P222" s="725"/>
      <c r="Q222" s="618"/>
      <c r="R222" s="618"/>
      <c r="S222" s="618"/>
      <c r="T222" s="618"/>
      <c r="U222" s="618"/>
      <c r="V222" s="641"/>
      <c r="W222" s="624">
        <f t="shared" si="71"/>
        <v>0</v>
      </c>
      <c r="X222" s="624">
        <f t="shared" si="71"/>
        <v>0</v>
      </c>
      <c r="Y222" s="624">
        <f t="shared" si="71"/>
        <v>0</v>
      </c>
      <c r="Z222" s="624">
        <f t="shared" si="71"/>
        <v>0</v>
      </c>
      <c r="AA222" s="624">
        <f t="shared" si="71"/>
        <v>0</v>
      </c>
      <c r="AB222" s="624">
        <f t="shared" si="71"/>
        <v>0</v>
      </c>
      <c r="AC222" s="624">
        <f t="shared" si="71"/>
        <v>0</v>
      </c>
      <c r="AD222" s="624">
        <f t="shared" si="71"/>
        <v>0</v>
      </c>
      <c r="AE222" s="624">
        <f t="shared" si="71"/>
        <v>0</v>
      </c>
      <c r="AF222" s="472"/>
      <c r="AG222" s="472"/>
      <c r="AH222" s="472"/>
      <c r="AI222" s="472"/>
      <c r="AJ222" s="472"/>
      <c r="AK222" s="472"/>
      <c r="AL222" s="472"/>
      <c r="AM222" s="472"/>
      <c r="AN222" s="471"/>
      <c r="AO222" s="471"/>
      <c r="AR222" s="404"/>
      <c r="AU222" s="404"/>
      <c r="AV222" s="404"/>
    </row>
    <row r="223" spans="1:48" s="390" customFormat="1" ht="22.25" customHeight="1" thickBot="1">
      <c r="A223" s="454"/>
      <c r="B223" s="655"/>
      <c r="C223" s="662"/>
      <c r="D223" s="662"/>
      <c r="E223" s="662"/>
      <c r="F223" s="504"/>
      <c r="G223" s="643"/>
      <c r="H223" s="648"/>
      <c r="I223" s="501"/>
      <c r="J223" s="455"/>
      <c r="K223" s="502">
        <f>K222/100</f>
        <v>10.831305</v>
      </c>
      <c r="L223" s="503" t="s">
        <v>316</v>
      </c>
      <c r="M223" s="725"/>
      <c r="N223" s="725"/>
      <c r="O223" s="725"/>
      <c r="P223" s="725"/>
      <c r="Q223" s="618"/>
      <c r="R223" s="618"/>
      <c r="S223" s="618"/>
      <c r="T223" s="618"/>
      <c r="U223" s="618"/>
      <c r="V223" s="641"/>
      <c r="W223" s="624">
        <f t="shared" si="71"/>
        <v>0</v>
      </c>
      <c r="X223" s="624">
        <f t="shared" si="71"/>
        <v>0</v>
      </c>
      <c r="Y223" s="624">
        <f t="shared" si="71"/>
        <v>0</v>
      </c>
      <c r="Z223" s="624">
        <f t="shared" si="71"/>
        <v>0</v>
      </c>
      <c r="AA223" s="624">
        <f t="shared" si="71"/>
        <v>0</v>
      </c>
      <c r="AB223" s="624">
        <f t="shared" si="71"/>
        <v>0</v>
      </c>
      <c r="AC223" s="624">
        <f t="shared" si="71"/>
        <v>0</v>
      </c>
      <c r="AD223" s="624">
        <f t="shared" si="71"/>
        <v>0</v>
      </c>
      <c r="AE223" s="624">
        <f t="shared" si="71"/>
        <v>0</v>
      </c>
      <c r="AF223" s="472"/>
      <c r="AG223" s="472"/>
      <c r="AH223" s="472"/>
      <c r="AI223" s="472"/>
      <c r="AJ223" s="472"/>
      <c r="AK223" s="472"/>
      <c r="AL223" s="472"/>
      <c r="AM223" s="472"/>
      <c r="AN223" s="471"/>
      <c r="AO223" s="471"/>
      <c r="AR223" s="404"/>
      <c r="AU223" s="404"/>
      <c r="AV223" s="404"/>
    </row>
    <row r="224" spans="1:48" s="476" customFormat="1" ht="22.75" customHeight="1" thickTop="1">
      <c r="A224" s="478"/>
      <c r="B224" s="867"/>
      <c r="C224" s="665"/>
      <c r="D224" s="665"/>
      <c r="E224" s="665"/>
      <c r="F224" s="484"/>
      <c r="G224" s="645"/>
      <c r="H224" s="651"/>
      <c r="I224" s="485"/>
      <c r="J224" s="916"/>
      <c r="K224" s="479"/>
      <c r="L224" s="818"/>
      <c r="M224" s="727"/>
      <c r="N224" s="727"/>
      <c r="O224" s="727"/>
      <c r="P224" s="727"/>
      <c r="Q224" s="755"/>
      <c r="R224" s="755"/>
      <c r="S224" s="755"/>
      <c r="T224" s="755"/>
      <c r="U224" s="755"/>
      <c r="V224" s="766"/>
      <c r="W224" s="757">
        <f t="shared" si="71"/>
        <v>0</v>
      </c>
      <c r="X224" s="757">
        <f t="shared" si="71"/>
        <v>0</v>
      </c>
      <c r="Y224" s="757">
        <f t="shared" si="71"/>
        <v>0</v>
      </c>
      <c r="Z224" s="757">
        <f t="shared" si="71"/>
        <v>0</v>
      </c>
      <c r="AA224" s="757">
        <f t="shared" si="71"/>
        <v>0</v>
      </c>
      <c r="AB224" s="757">
        <f t="shared" si="71"/>
        <v>0</v>
      </c>
      <c r="AC224" s="757">
        <f t="shared" si="71"/>
        <v>0</v>
      </c>
      <c r="AD224" s="757">
        <f t="shared" si="71"/>
        <v>0</v>
      </c>
      <c r="AE224" s="757">
        <f t="shared" si="71"/>
        <v>0</v>
      </c>
      <c r="AF224" s="474"/>
      <c r="AG224" s="474"/>
      <c r="AH224" s="474"/>
      <c r="AI224" s="474"/>
      <c r="AJ224" s="474"/>
      <c r="AK224" s="474"/>
      <c r="AL224" s="474"/>
      <c r="AM224" s="474"/>
      <c r="AN224" s="475"/>
      <c r="AO224" s="475"/>
      <c r="AR224" s="477"/>
      <c r="AU224" s="477"/>
      <c r="AV224" s="477"/>
    </row>
    <row r="225" spans="1:48" s="390" customFormat="1" ht="22.25" customHeight="1">
      <c r="A225" s="454">
        <v>7</v>
      </c>
      <c r="B225" s="649" t="s">
        <v>339</v>
      </c>
      <c r="C225" s="662"/>
      <c r="D225" s="662"/>
      <c r="E225" s="662"/>
      <c r="F225" s="504"/>
      <c r="G225" s="643"/>
      <c r="H225" s="648"/>
      <c r="I225" s="501"/>
      <c r="J225" s="421"/>
      <c r="K225" s="421"/>
      <c r="L225" s="432"/>
      <c r="M225" s="725"/>
      <c r="N225" s="725"/>
      <c r="O225" s="725"/>
      <c r="P225" s="725"/>
      <c r="Q225" s="618"/>
      <c r="R225" s="618"/>
      <c r="S225" s="618"/>
      <c r="T225" s="618"/>
      <c r="U225" s="618"/>
      <c r="V225" s="641"/>
      <c r="W225" s="624">
        <f t="shared" si="71"/>
        <v>0</v>
      </c>
      <c r="X225" s="624">
        <f t="shared" si="71"/>
        <v>0</v>
      </c>
      <c r="Y225" s="624">
        <f t="shared" si="71"/>
        <v>0</v>
      </c>
      <c r="Z225" s="624">
        <f t="shared" si="71"/>
        <v>0</v>
      </c>
      <c r="AA225" s="624">
        <f t="shared" si="71"/>
        <v>0</v>
      </c>
      <c r="AB225" s="624">
        <f t="shared" si="71"/>
        <v>0</v>
      </c>
      <c r="AC225" s="624">
        <f t="shared" si="71"/>
        <v>0</v>
      </c>
      <c r="AD225" s="624">
        <f t="shared" si="71"/>
        <v>0</v>
      </c>
      <c r="AE225" s="624">
        <f t="shared" si="71"/>
        <v>0</v>
      </c>
      <c r="AF225" s="471" t="e">
        <f>1/AF47</f>
        <v>#DIV/0!</v>
      </c>
      <c r="AG225" s="471">
        <f>AF44*2.8</f>
        <v>0</v>
      </c>
      <c r="AH225" s="471"/>
      <c r="AI225" s="471"/>
      <c r="AJ225" s="471"/>
      <c r="AK225" s="471"/>
      <c r="AL225" s="471"/>
      <c r="AM225" s="471"/>
      <c r="AN225" s="471"/>
      <c r="AO225" s="471"/>
      <c r="AR225" s="404"/>
      <c r="AU225" s="404"/>
      <c r="AV225" s="404"/>
    </row>
    <row r="226" spans="1:48" s="390" customFormat="1" ht="22.25" customHeight="1">
      <c r="A226" s="454"/>
      <c r="B226" s="658" t="s">
        <v>170</v>
      </c>
      <c r="C226" s="662"/>
      <c r="D226" s="662"/>
      <c r="E226" s="662"/>
      <c r="F226" s="504"/>
      <c r="G226" s="643"/>
      <c r="H226" s="642"/>
      <c r="I226" s="499"/>
      <c r="J226" s="511"/>
      <c r="K226" s="507"/>
      <c r="L226" s="436"/>
      <c r="M226" s="725"/>
      <c r="N226" s="725"/>
      <c r="O226" s="725"/>
      <c r="P226" s="725"/>
      <c r="Q226" s="618"/>
      <c r="R226" s="618"/>
      <c r="S226" s="618"/>
      <c r="T226" s="618"/>
      <c r="U226" s="618"/>
      <c r="V226" s="641"/>
      <c r="W226" s="624">
        <f t="shared" si="71"/>
        <v>0</v>
      </c>
      <c r="X226" s="624">
        <f t="shared" si="71"/>
        <v>0</v>
      </c>
      <c r="Y226" s="624">
        <f t="shared" si="71"/>
        <v>0</v>
      </c>
      <c r="Z226" s="624">
        <f t="shared" si="71"/>
        <v>0</v>
      </c>
      <c r="AA226" s="624">
        <f t="shared" si="71"/>
        <v>0</v>
      </c>
      <c r="AB226" s="624">
        <f t="shared" si="71"/>
        <v>0</v>
      </c>
      <c r="AC226" s="624">
        <f t="shared" si="71"/>
        <v>0</v>
      </c>
      <c r="AD226" s="624">
        <f t="shared" si="71"/>
        <v>0</v>
      </c>
      <c r="AE226" s="624">
        <f t="shared" si="71"/>
        <v>0</v>
      </c>
      <c r="AF226" s="471"/>
      <c r="AG226" s="473" t="e">
        <f>#REF!*#REF!*#REF!</f>
        <v>#REF!</v>
      </c>
      <c r="AH226" s="471"/>
      <c r="AI226" s="471"/>
      <c r="AJ226" s="471">
        <f>11.75+16.25</f>
        <v>28</v>
      </c>
      <c r="AM226" s="404"/>
      <c r="AP226" s="404"/>
      <c r="AQ226" s="404"/>
    </row>
    <row r="227" spans="1:48" s="423" customFormat="1" ht="22.25" customHeight="1">
      <c r="A227" s="454"/>
      <c r="B227" s="658"/>
      <c r="C227" s="662"/>
      <c r="D227" s="662"/>
      <c r="E227" s="662">
        <v>1</v>
      </c>
      <c r="F227" s="498">
        <f>F215</f>
        <v>35</v>
      </c>
      <c r="G227" s="642">
        <f>G215</f>
        <v>45</v>
      </c>
      <c r="H227" s="642">
        <v>2.5</v>
      </c>
      <c r="I227" s="513"/>
      <c r="J227" s="507">
        <f>H227*G227*F227*E227</f>
        <v>3937.5</v>
      </c>
      <c r="K227" s="507"/>
      <c r="L227" s="436"/>
      <c r="M227" s="725"/>
      <c r="N227" s="725"/>
      <c r="O227" s="725"/>
      <c r="P227" s="725"/>
      <c r="Q227" s="618"/>
      <c r="R227" s="618"/>
      <c r="S227" s="618"/>
      <c r="T227" s="618"/>
      <c r="U227" s="618"/>
      <c r="V227" s="641"/>
      <c r="W227" s="624">
        <f t="shared" si="71"/>
        <v>0</v>
      </c>
      <c r="X227" s="624">
        <f t="shared" si="71"/>
        <v>0</v>
      </c>
      <c r="Y227" s="624">
        <f t="shared" si="71"/>
        <v>0</v>
      </c>
      <c r="Z227" s="624">
        <f t="shared" si="71"/>
        <v>0</v>
      </c>
      <c r="AA227" s="624">
        <f t="shared" si="71"/>
        <v>0</v>
      </c>
      <c r="AB227" s="624">
        <f t="shared" si="71"/>
        <v>0</v>
      </c>
      <c r="AC227" s="624">
        <f t="shared" si="71"/>
        <v>0</v>
      </c>
      <c r="AD227" s="624">
        <f t="shared" si="71"/>
        <v>0</v>
      </c>
      <c r="AE227" s="624">
        <f t="shared" si="71"/>
        <v>0</v>
      </c>
      <c r="AF227" s="472"/>
      <c r="AG227" s="472"/>
      <c r="AH227" s="472"/>
      <c r="AI227" s="472"/>
      <c r="AJ227" s="472"/>
      <c r="AK227" s="472"/>
      <c r="AL227" s="472"/>
      <c r="AM227" s="472"/>
      <c r="AN227" s="472"/>
      <c r="AO227" s="472"/>
      <c r="AR227" s="427"/>
      <c r="AU227" s="427"/>
      <c r="AV227" s="427"/>
    </row>
    <row r="228" spans="1:48" s="423" customFormat="1" ht="22.25" customHeight="1">
      <c r="A228" s="454"/>
      <c r="B228" s="658"/>
      <c r="C228" s="662"/>
      <c r="D228" s="662"/>
      <c r="E228" s="662">
        <v>1</v>
      </c>
      <c r="F228" s="498">
        <f>F216</f>
        <v>9.5</v>
      </c>
      <c r="G228" s="642">
        <f>G216</f>
        <v>5</v>
      </c>
      <c r="H228" s="642">
        <v>2.5</v>
      </c>
      <c r="I228" s="513"/>
      <c r="J228" s="507">
        <f>H228*G228*F228*E228</f>
        <v>118.75</v>
      </c>
      <c r="K228" s="507"/>
      <c r="L228" s="436"/>
      <c r="M228" s="725"/>
      <c r="N228" s="725"/>
      <c r="O228" s="725"/>
      <c r="P228" s="725"/>
      <c r="Q228" s="618"/>
      <c r="R228" s="618"/>
      <c r="S228" s="618"/>
      <c r="T228" s="618"/>
      <c r="U228" s="618"/>
      <c r="V228" s="641"/>
      <c r="W228" s="624"/>
      <c r="X228" s="624"/>
      <c r="Y228" s="624"/>
      <c r="Z228" s="624"/>
      <c r="AA228" s="624"/>
      <c r="AB228" s="624"/>
      <c r="AC228" s="624"/>
      <c r="AD228" s="624"/>
      <c r="AE228" s="624"/>
      <c r="AF228" s="472"/>
      <c r="AG228" s="472"/>
      <c r="AH228" s="472"/>
      <c r="AI228" s="472"/>
      <c r="AJ228" s="472"/>
      <c r="AK228" s="472"/>
      <c r="AL228" s="472"/>
      <c r="AM228" s="472"/>
      <c r="AN228" s="472"/>
      <c r="AO228" s="472"/>
      <c r="AR228" s="427"/>
      <c r="AU228" s="427"/>
      <c r="AV228" s="427"/>
    </row>
    <row r="229" spans="1:48" s="390" customFormat="1" ht="22.25" customHeight="1">
      <c r="A229" s="454"/>
      <c r="B229" s="658" t="s">
        <v>350</v>
      </c>
      <c r="C229" s="662"/>
      <c r="D229" s="662"/>
      <c r="E229" s="662"/>
      <c r="F229" s="504"/>
      <c r="G229" s="643"/>
      <c r="H229" s="642"/>
      <c r="I229" s="499"/>
      <c r="J229" s="511"/>
      <c r="K229" s="507"/>
      <c r="L229" s="436"/>
      <c r="M229" s="725"/>
      <c r="N229" s="725"/>
      <c r="O229" s="725"/>
      <c r="P229" s="725"/>
      <c r="Q229" s="618"/>
      <c r="R229" s="618"/>
      <c r="S229" s="618"/>
      <c r="T229" s="618"/>
      <c r="U229" s="618"/>
      <c r="V229" s="641"/>
      <c r="W229" s="624">
        <f t="shared" si="71"/>
        <v>0</v>
      </c>
      <c r="X229" s="624">
        <f t="shared" si="71"/>
        <v>0</v>
      </c>
      <c r="Y229" s="624">
        <f t="shared" si="71"/>
        <v>0</v>
      </c>
      <c r="Z229" s="624">
        <f t="shared" si="71"/>
        <v>0</v>
      </c>
      <c r="AA229" s="624">
        <f t="shared" si="71"/>
        <v>0</v>
      </c>
      <c r="AB229" s="624">
        <f t="shared" si="71"/>
        <v>0</v>
      </c>
      <c r="AC229" s="624">
        <f t="shared" si="71"/>
        <v>0</v>
      </c>
      <c r="AD229" s="624">
        <f t="shared" si="71"/>
        <v>0</v>
      </c>
      <c r="AE229" s="624">
        <f t="shared" si="71"/>
        <v>0</v>
      </c>
      <c r="AF229" s="471"/>
      <c r="AG229" s="473" t="e">
        <f>#REF!*#REF!*#REF!</f>
        <v>#REF!</v>
      </c>
      <c r="AH229" s="471"/>
      <c r="AI229" s="471"/>
      <c r="AJ229" s="471">
        <f>11.75+16.25</f>
        <v>28</v>
      </c>
      <c r="AM229" s="404"/>
      <c r="AP229" s="404"/>
      <c r="AQ229" s="404"/>
    </row>
    <row r="230" spans="1:48" s="423" customFormat="1" ht="22.25" customHeight="1">
      <c r="A230" s="454"/>
      <c r="B230" s="658"/>
      <c r="C230" s="662"/>
      <c r="D230" s="662"/>
      <c r="E230" s="662">
        <v>1</v>
      </c>
      <c r="F230" s="498">
        <f>F218</f>
        <v>6</v>
      </c>
      <c r="G230" s="642">
        <f>G218</f>
        <v>5</v>
      </c>
      <c r="H230" s="642">
        <v>1</v>
      </c>
      <c r="I230" s="513"/>
      <c r="J230" s="507">
        <f>H230*G230*F230*E230</f>
        <v>30</v>
      </c>
      <c r="K230" s="507"/>
      <c r="L230" s="436"/>
      <c r="M230" s="725"/>
      <c r="N230" s="725"/>
      <c r="O230" s="725"/>
      <c r="P230" s="725"/>
      <c r="Q230" s="618"/>
      <c r="R230" s="618"/>
      <c r="S230" s="618"/>
      <c r="T230" s="618"/>
      <c r="U230" s="618"/>
      <c r="V230" s="641"/>
      <c r="W230" s="624">
        <f t="shared" si="71"/>
        <v>0</v>
      </c>
      <c r="X230" s="624">
        <f t="shared" si="71"/>
        <v>0</v>
      </c>
      <c r="Y230" s="624">
        <f t="shared" si="71"/>
        <v>0</v>
      </c>
      <c r="Z230" s="624">
        <f t="shared" si="71"/>
        <v>0</v>
      </c>
      <c r="AA230" s="624">
        <f t="shared" si="71"/>
        <v>0</v>
      </c>
      <c r="AB230" s="624">
        <f t="shared" si="71"/>
        <v>0</v>
      </c>
      <c r="AC230" s="624">
        <f t="shared" si="71"/>
        <v>0</v>
      </c>
      <c r="AD230" s="624">
        <f t="shared" si="71"/>
        <v>0</v>
      </c>
      <c r="AE230" s="624">
        <f t="shared" si="71"/>
        <v>0</v>
      </c>
      <c r="AF230" s="472"/>
      <c r="AG230" s="472"/>
      <c r="AH230" s="472"/>
      <c r="AI230" s="472"/>
      <c r="AJ230" s="472"/>
      <c r="AK230" s="472"/>
      <c r="AL230" s="472"/>
      <c r="AM230" s="472"/>
      <c r="AN230" s="472"/>
      <c r="AO230" s="472"/>
      <c r="AR230" s="427"/>
      <c r="AU230" s="427"/>
      <c r="AV230" s="427"/>
    </row>
    <row r="231" spans="1:48" s="423" customFormat="1" ht="22.25" customHeight="1">
      <c r="A231" s="454"/>
      <c r="B231" s="658"/>
      <c r="C231" s="662"/>
      <c r="D231" s="662"/>
      <c r="E231" s="662">
        <v>1</v>
      </c>
      <c r="F231" s="498">
        <f>F230</f>
        <v>6</v>
      </c>
      <c r="G231" s="642">
        <v>3</v>
      </c>
      <c r="H231" s="642">
        <v>2</v>
      </c>
      <c r="I231" s="513"/>
      <c r="J231" s="507">
        <f>H231*G231*F231*E231</f>
        <v>36</v>
      </c>
      <c r="K231" s="507"/>
      <c r="L231" s="436"/>
      <c r="M231" s="725"/>
      <c r="N231" s="725"/>
      <c r="O231" s="725"/>
      <c r="P231" s="725"/>
      <c r="Q231" s="618"/>
      <c r="R231" s="618"/>
      <c r="S231" s="618"/>
      <c r="T231" s="618"/>
      <c r="U231" s="618"/>
      <c r="V231" s="641"/>
      <c r="W231" s="624"/>
      <c r="X231" s="624"/>
      <c r="Y231" s="624"/>
      <c r="Z231" s="624"/>
      <c r="AA231" s="624"/>
      <c r="AB231" s="624"/>
      <c r="AC231" s="624"/>
      <c r="AD231" s="624"/>
      <c r="AE231" s="624"/>
      <c r="AF231" s="472"/>
      <c r="AG231" s="472"/>
      <c r="AH231" s="472"/>
      <c r="AI231" s="472"/>
      <c r="AJ231" s="472"/>
      <c r="AK231" s="472"/>
      <c r="AL231" s="472"/>
      <c r="AM231" s="472"/>
      <c r="AN231" s="472"/>
      <c r="AO231" s="472"/>
      <c r="AR231" s="427"/>
      <c r="AU231" s="427"/>
      <c r="AV231" s="427"/>
    </row>
    <row r="232" spans="1:48" s="390" customFormat="1" ht="22.25" customHeight="1">
      <c r="A232" s="454"/>
      <c r="B232" s="658" t="s">
        <v>778</v>
      </c>
      <c r="C232" s="662"/>
      <c r="D232" s="662"/>
      <c r="E232" s="662"/>
      <c r="F232" s="504"/>
      <c r="G232" s="643"/>
      <c r="H232" s="642"/>
      <c r="I232" s="499"/>
      <c r="J232" s="511"/>
      <c r="K232" s="507"/>
      <c r="L232" s="436"/>
      <c r="M232" s="725"/>
      <c r="N232" s="725"/>
      <c r="O232" s="725"/>
      <c r="P232" s="725"/>
      <c r="Q232" s="618"/>
      <c r="R232" s="618"/>
      <c r="S232" s="618"/>
      <c r="T232" s="618"/>
      <c r="U232" s="618"/>
      <c r="V232" s="641"/>
      <c r="W232" s="624">
        <f t="shared" si="71"/>
        <v>0</v>
      </c>
      <c r="X232" s="624">
        <f t="shared" si="71"/>
        <v>0</v>
      </c>
      <c r="Y232" s="624">
        <f t="shared" si="71"/>
        <v>0</v>
      </c>
      <c r="Z232" s="624">
        <f t="shared" si="71"/>
        <v>0</v>
      </c>
      <c r="AA232" s="624">
        <f t="shared" si="71"/>
        <v>0</v>
      </c>
      <c r="AB232" s="624">
        <f t="shared" si="71"/>
        <v>0</v>
      </c>
      <c r="AC232" s="624">
        <f t="shared" si="71"/>
        <v>0</v>
      </c>
      <c r="AD232" s="624">
        <f t="shared" si="71"/>
        <v>0</v>
      </c>
      <c r="AE232" s="624">
        <f t="shared" si="71"/>
        <v>0</v>
      </c>
      <c r="AF232" s="471"/>
      <c r="AG232" s="473" t="e">
        <f>#REF!*#REF!*#REF!</f>
        <v>#REF!</v>
      </c>
      <c r="AH232" s="471"/>
      <c r="AI232" s="471"/>
      <c r="AJ232" s="471">
        <f>11.75+16.25</f>
        <v>28</v>
      </c>
      <c r="AM232" s="404"/>
      <c r="AP232" s="404"/>
      <c r="AQ232" s="404"/>
    </row>
    <row r="233" spans="1:48" s="423" customFormat="1" ht="22.25" customHeight="1">
      <c r="A233" s="454"/>
      <c r="B233" s="658"/>
      <c r="C233" s="662"/>
      <c r="D233" s="662"/>
      <c r="E233" s="662">
        <v>1</v>
      </c>
      <c r="F233" s="498">
        <f>F220</f>
        <v>5</v>
      </c>
      <c r="G233" s="642">
        <f>G220</f>
        <v>5</v>
      </c>
      <c r="H233" s="642">
        <v>1</v>
      </c>
      <c r="I233" s="513"/>
      <c r="J233" s="507">
        <f>H233*G233*F233*E233</f>
        <v>25</v>
      </c>
      <c r="K233" s="507"/>
      <c r="L233" s="436"/>
      <c r="M233" s="725"/>
      <c r="N233" s="725"/>
      <c r="O233" s="725"/>
      <c r="P233" s="725"/>
      <c r="Q233" s="618"/>
      <c r="R233" s="618"/>
      <c r="S233" s="618"/>
      <c r="T233" s="618"/>
      <c r="U233" s="618"/>
      <c r="V233" s="641"/>
      <c r="W233" s="624"/>
      <c r="X233" s="624"/>
      <c r="Y233" s="624"/>
      <c r="Z233" s="624"/>
      <c r="AA233" s="624"/>
      <c r="AB233" s="624"/>
      <c r="AC233" s="624"/>
      <c r="AD233" s="624"/>
      <c r="AE233" s="624"/>
      <c r="AF233" s="472"/>
      <c r="AG233" s="472"/>
      <c r="AH233" s="472"/>
      <c r="AI233" s="472"/>
      <c r="AJ233" s="472"/>
      <c r="AK233" s="472"/>
      <c r="AL233" s="472"/>
      <c r="AM233" s="472"/>
      <c r="AN233" s="472"/>
      <c r="AO233" s="472"/>
      <c r="AR233" s="427"/>
      <c r="AU233" s="427"/>
      <c r="AV233" s="427"/>
    </row>
    <row r="234" spans="1:48" s="423" customFormat="1" ht="22.25" customHeight="1">
      <c r="A234" s="454"/>
      <c r="B234" s="658"/>
      <c r="C234" s="662"/>
      <c r="D234" s="662"/>
      <c r="E234" s="662">
        <v>1</v>
      </c>
      <c r="F234" s="498">
        <v>5</v>
      </c>
      <c r="G234" s="642">
        <v>3</v>
      </c>
      <c r="H234" s="642">
        <v>2</v>
      </c>
      <c r="I234" s="513"/>
      <c r="J234" s="507">
        <f>H234*G234*F234*E234</f>
        <v>30</v>
      </c>
      <c r="K234" s="507"/>
      <c r="L234" s="436"/>
      <c r="M234" s="725"/>
      <c r="N234" s="725"/>
      <c r="O234" s="725"/>
      <c r="P234" s="725"/>
      <c r="Q234" s="618"/>
      <c r="R234" s="618"/>
      <c r="S234" s="618"/>
      <c r="T234" s="618"/>
      <c r="U234" s="618"/>
      <c r="V234" s="641"/>
      <c r="W234" s="624"/>
      <c r="X234" s="624"/>
      <c r="Y234" s="624"/>
      <c r="Z234" s="624"/>
      <c r="AA234" s="624"/>
      <c r="AB234" s="624"/>
      <c r="AC234" s="624"/>
      <c r="AD234" s="624"/>
      <c r="AE234" s="624"/>
      <c r="AF234" s="472"/>
      <c r="AG234" s="472"/>
      <c r="AH234" s="472"/>
      <c r="AI234" s="472"/>
      <c r="AJ234" s="472"/>
      <c r="AK234" s="472"/>
      <c r="AL234" s="472"/>
      <c r="AM234" s="472"/>
      <c r="AN234" s="472"/>
      <c r="AO234" s="472"/>
      <c r="AR234" s="427"/>
      <c r="AU234" s="427"/>
      <c r="AV234" s="427"/>
    </row>
    <row r="235" spans="1:48" s="423" customFormat="1" ht="22.25" customHeight="1" thickBot="1">
      <c r="A235" s="454"/>
      <c r="B235" s="658"/>
      <c r="C235" s="662"/>
      <c r="D235" s="662"/>
      <c r="E235" s="662"/>
      <c r="F235" s="498"/>
      <c r="G235" s="642"/>
      <c r="H235" s="642"/>
      <c r="I235" s="458" t="str">
        <f>B226</f>
        <v>Floor</v>
      </c>
      <c r="J235" s="507"/>
      <c r="K235" s="511">
        <f>SUM(J225:J235)</f>
        <v>4177.25</v>
      </c>
      <c r="L235" s="506" t="s">
        <v>301</v>
      </c>
      <c r="M235" s="725"/>
      <c r="N235" s="725"/>
      <c r="O235" s="725"/>
      <c r="P235" s="725"/>
      <c r="Q235" s="618"/>
      <c r="R235" s="618"/>
      <c r="S235" s="618"/>
      <c r="T235" s="618"/>
      <c r="U235" s="618"/>
      <c r="V235" s="641"/>
      <c r="W235" s="624">
        <f t="shared" si="71"/>
        <v>0</v>
      </c>
      <c r="X235" s="624">
        <f t="shared" si="71"/>
        <v>0</v>
      </c>
      <c r="Y235" s="624">
        <f t="shared" si="71"/>
        <v>0</v>
      </c>
      <c r="Z235" s="624">
        <f t="shared" si="71"/>
        <v>0</v>
      </c>
      <c r="AA235" s="624">
        <f t="shared" si="71"/>
        <v>0</v>
      </c>
      <c r="AB235" s="624">
        <f t="shared" si="71"/>
        <v>0</v>
      </c>
      <c r="AC235" s="624">
        <f t="shared" si="71"/>
        <v>0</v>
      </c>
      <c r="AD235" s="624">
        <f t="shared" si="71"/>
        <v>0</v>
      </c>
      <c r="AE235" s="624">
        <f t="shared" si="71"/>
        <v>0</v>
      </c>
      <c r="AF235" s="472"/>
      <c r="AG235" s="472"/>
      <c r="AH235" s="472"/>
      <c r="AI235" s="472"/>
      <c r="AJ235" s="472"/>
      <c r="AK235" s="472"/>
      <c r="AL235" s="472"/>
      <c r="AM235" s="472"/>
      <c r="AN235" s="472"/>
      <c r="AO235" s="472"/>
      <c r="AR235" s="427"/>
      <c r="AU235" s="427"/>
      <c r="AV235" s="427"/>
    </row>
    <row r="236" spans="1:48" s="390" customFormat="1" ht="23.4" customHeight="1" thickBot="1">
      <c r="A236" s="454"/>
      <c r="B236" s="655"/>
      <c r="C236" s="662"/>
      <c r="D236" s="662"/>
      <c r="E236" s="662"/>
      <c r="F236" s="504"/>
      <c r="G236" s="643"/>
      <c r="H236" s="648"/>
      <c r="I236" s="501"/>
      <c r="J236" s="510"/>
      <c r="K236" s="509">
        <f>SUM(K235)</f>
        <v>4177.25</v>
      </c>
      <c r="L236" s="880" t="s">
        <v>301</v>
      </c>
      <c r="M236" s="726"/>
      <c r="N236" s="726"/>
      <c r="O236" s="726"/>
      <c r="P236" s="726"/>
      <c r="Q236" s="618"/>
      <c r="R236" s="618"/>
      <c r="S236" s="618"/>
      <c r="T236" s="618"/>
      <c r="U236" s="618"/>
      <c r="V236" s="641"/>
      <c r="W236" s="624">
        <f t="shared" si="71"/>
        <v>0</v>
      </c>
      <c r="X236" s="624">
        <f t="shared" si="71"/>
        <v>0</v>
      </c>
      <c r="Y236" s="624">
        <f t="shared" si="71"/>
        <v>0</v>
      </c>
      <c r="Z236" s="624">
        <f t="shared" si="71"/>
        <v>0</v>
      </c>
      <c r="AA236" s="624">
        <f t="shared" si="71"/>
        <v>0</v>
      </c>
      <c r="AB236" s="624">
        <f t="shared" si="71"/>
        <v>0</v>
      </c>
      <c r="AC236" s="624">
        <f t="shared" si="71"/>
        <v>0</v>
      </c>
      <c r="AD236" s="624">
        <f t="shared" si="71"/>
        <v>0</v>
      </c>
      <c r="AE236" s="624">
        <f t="shared" si="71"/>
        <v>0</v>
      </c>
      <c r="AF236" s="472"/>
      <c r="AG236" s="472"/>
      <c r="AH236" s="472"/>
      <c r="AI236" s="472"/>
      <c r="AJ236" s="472"/>
      <c r="AK236" s="472"/>
      <c r="AL236" s="472"/>
      <c r="AM236" s="472"/>
      <c r="AN236" s="471"/>
      <c r="AO236" s="471"/>
      <c r="AR236" s="404"/>
      <c r="AU236" s="404"/>
      <c r="AV236" s="404"/>
    </row>
    <row r="237" spans="1:48" s="390" customFormat="1" ht="23.4" customHeight="1" thickBot="1">
      <c r="A237" s="945"/>
      <c r="B237" s="946"/>
      <c r="C237" s="664"/>
      <c r="D237" s="664"/>
      <c r="E237" s="664"/>
      <c r="F237" s="947"/>
      <c r="G237" s="948"/>
      <c r="H237" s="650"/>
      <c r="I237" s="514"/>
      <c r="J237" s="500"/>
      <c r="K237" s="509">
        <f>K236/100</f>
        <v>41.772500000000001</v>
      </c>
      <c r="L237" s="949" t="s">
        <v>316</v>
      </c>
      <c r="M237" s="723"/>
      <c r="N237" s="723"/>
      <c r="O237" s="723"/>
      <c r="P237" s="723"/>
      <c r="Q237" s="618"/>
      <c r="R237" s="618"/>
      <c r="S237" s="618"/>
      <c r="T237" s="618"/>
      <c r="U237" s="618"/>
      <c r="V237" s="641"/>
      <c r="W237" s="624">
        <f t="shared" si="71"/>
        <v>0</v>
      </c>
      <c r="X237" s="624">
        <f t="shared" si="71"/>
        <v>0</v>
      </c>
      <c r="Y237" s="624">
        <f t="shared" si="71"/>
        <v>0</v>
      </c>
      <c r="Z237" s="624">
        <f t="shared" si="71"/>
        <v>0</v>
      </c>
      <c r="AA237" s="624">
        <f t="shared" si="71"/>
        <v>0</v>
      </c>
      <c r="AB237" s="624">
        <f t="shared" si="71"/>
        <v>0</v>
      </c>
      <c r="AC237" s="624">
        <f t="shared" si="71"/>
        <v>0</v>
      </c>
      <c r="AD237" s="624">
        <f t="shared" si="71"/>
        <v>0</v>
      </c>
      <c r="AE237" s="624">
        <f t="shared" si="71"/>
        <v>0</v>
      </c>
      <c r="AF237" s="472"/>
      <c r="AG237" s="472"/>
      <c r="AH237" s="472"/>
      <c r="AI237" s="472"/>
      <c r="AJ237" s="472"/>
      <c r="AK237" s="472"/>
      <c r="AL237" s="472"/>
      <c r="AM237" s="472"/>
      <c r="AN237" s="471"/>
      <c r="AO237" s="471"/>
      <c r="AR237" s="404"/>
      <c r="AU237" s="404"/>
      <c r="AV237" s="404"/>
    </row>
    <row r="238" spans="1:48" s="390" customFormat="1" ht="22.25" customHeight="1">
      <c r="A238" s="454"/>
      <c r="B238" s="455"/>
      <c r="C238" s="662"/>
      <c r="D238" s="662"/>
      <c r="E238" s="662"/>
      <c r="F238" s="501"/>
      <c r="G238" s="501"/>
      <c r="H238" s="408"/>
      <c r="I238" s="501"/>
      <c r="J238" s="455"/>
      <c r="K238" s="510"/>
      <c r="L238" s="506"/>
      <c r="M238" s="723"/>
      <c r="N238" s="723"/>
      <c r="O238" s="723"/>
      <c r="P238" s="723"/>
      <c r="Q238" s="618"/>
      <c r="R238" s="618"/>
      <c r="S238" s="618"/>
      <c r="T238" s="618"/>
      <c r="U238" s="618"/>
      <c r="V238" s="641"/>
      <c r="W238" s="624">
        <f t="shared" si="71"/>
        <v>0</v>
      </c>
      <c r="X238" s="624">
        <f t="shared" si="71"/>
        <v>0</v>
      </c>
      <c r="Y238" s="624">
        <f t="shared" si="71"/>
        <v>0</v>
      </c>
      <c r="Z238" s="624">
        <f t="shared" si="71"/>
        <v>0</v>
      </c>
      <c r="AA238" s="624">
        <f t="shared" si="71"/>
        <v>0</v>
      </c>
      <c r="AB238" s="624">
        <f t="shared" si="71"/>
        <v>0</v>
      </c>
      <c r="AC238" s="624">
        <f t="shared" si="71"/>
        <v>0</v>
      </c>
      <c r="AD238" s="624">
        <f t="shared" si="71"/>
        <v>0</v>
      </c>
      <c r="AE238" s="624">
        <f t="shared" si="71"/>
        <v>0</v>
      </c>
      <c r="AF238" s="472"/>
      <c r="AG238" s="472"/>
      <c r="AH238" s="472"/>
      <c r="AI238" s="472"/>
      <c r="AJ238" s="472"/>
      <c r="AK238" s="472"/>
      <c r="AL238" s="472"/>
      <c r="AM238" s="472"/>
      <c r="AN238" s="471"/>
      <c r="AO238" s="471"/>
      <c r="AR238" s="404"/>
      <c r="AU238" s="404"/>
      <c r="AV238" s="404"/>
    </row>
    <row r="239" spans="1:48" s="390" customFormat="1" ht="22.25" customHeight="1">
      <c r="A239" s="454">
        <v>8</v>
      </c>
      <c r="B239" s="649" t="s">
        <v>498</v>
      </c>
      <c r="C239" s="662"/>
      <c r="D239" s="662"/>
      <c r="E239" s="662"/>
      <c r="F239" s="504"/>
      <c r="G239" s="643"/>
      <c r="H239" s="648"/>
      <c r="I239" s="501"/>
      <c r="J239" s="421"/>
      <c r="K239" s="421"/>
      <c r="L239" s="432"/>
      <c r="M239" s="725"/>
      <c r="N239" s="725"/>
      <c r="O239" s="725"/>
      <c r="P239" s="725"/>
      <c r="Q239" s="618"/>
      <c r="R239" s="618"/>
      <c r="S239" s="618"/>
      <c r="T239" s="618"/>
      <c r="U239" s="618"/>
      <c r="V239" s="641"/>
      <c r="W239" s="624">
        <f t="shared" si="71"/>
        <v>0</v>
      </c>
      <c r="X239" s="624">
        <f t="shared" si="71"/>
        <v>0</v>
      </c>
      <c r="Y239" s="624">
        <f t="shared" si="71"/>
        <v>0</v>
      </c>
      <c r="Z239" s="624">
        <f t="shared" si="71"/>
        <v>0</v>
      </c>
      <c r="AA239" s="624">
        <f t="shared" si="71"/>
        <v>0</v>
      </c>
      <c r="AB239" s="624">
        <f t="shared" si="71"/>
        <v>0</v>
      </c>
      <c r="AC239" s="624">
        <f t="shared" si="71"/>
        <v>0</v>
      </c>
      <c r="AD239" s="624">
        <f t="shared" si="71"/>
        <v>0</v>
      </c>
      <c r="AE239" s="624">
        <f t="shared" si="71"/>
        <v>0</v>
      </c>
      <c r="AF239" s="471" t="e">
        <f>1/#REF!</f>
        <v>#REF!</v>
      </c>
      <c r="AG239" s="471" t="e">
        <f>#REF!*2.8</f>
        <v>#REF!</v>
      </c>
      <c r="AH239" s="471"/>
      <c r="AI239" s="471"/>
      <c r="AJ239" s="471"/>
      <c r="AK239" s="471"/>
      <c r="AL239" s="471"/>
      <c r="AM239" s="471"/>
      <c r="AN239" s="471"/>
      <c r="AO239" s="471"/>
      <c r="AR239" s="404"/>
      <c r="AU239" s="404"/>
      <c r="AV239" s="404"/>
    </row>
    <row r="240" spans="1:48" s="390" customFormat="1" ht="22.25" customHeight="1">
      <c r="A240" s="454"/>
      <c r="B240" s="647" t="s">
        <v>499</v>
      </c>
      <c r="C240" s="662"/>
      <c r="D240" s="662"/>
      <c r="E240" s="662">
        <v>1</v>
      </c>
      <c r="F240" s="504">
        <f>K42</f>
        <v>5607.1230500000001</v>
      </c>
      <c r="G240" s="643"/>
      <c r="H240" s="647"/>
      <c r="I240" s="499"/>
      <c r="J240" s="507">
        <f>IF(I240=0,1,I240)*IF(H240=0,1,H240)*IF(G240=0,1,G240)*IF(F240=0,1,F240)*IF(E240=0,1,E240)*IF(D240=0,1,D240)*IF(C240=0,1,C240)</f>
        <v>5607.1230500000001</v>
      </c>
      <c r="K240" s="507"/>
      <c r="L240" s="436" t="s">
        <v>301</v>
      </c>
      <c r="M240" s="724"/>
      <c r="N240" s="724"/>
      <c r="O240" s="724"/>
      <c r="P240" s="724"/>
      <c r="Q240" s="618"/>
      <c r="R240" s="618"/>
      <c r="S240" s="618"/>
      <c r="T240" s="618"/>
      <c r="U240" s="618"/>
      <c r="V240" s="641"/>
      <c r="W240" s="624">
        <f t="shared" si="71"/>
        <v>0</v>
      </c>
      <c r="X240" s="624">
        <f t="shared" si="71"/>
        <v>0</v>
      </c>
      <c r="Y240" s="624">
        <f t="shared" si="71"/>
        <v>0</v>
      </c>
      <c r="Z240" s="624">
        <f t="shared" si="71"/>
        <v>0</v>
      </c>
      <c r="AA240" s="624">
        <f t="shared" si="71"/>
        <v>0</v>
      </c>
      <c r="AB240" s="624">
        <f t="shared" si="71"/>
        <v>0</v>
      </c>
      <c r="AC240" s="624">
        <f t="shared" si="71"/>
        <v>0</v>
      </c>
      <c r="AD240" s="624">
        <f t="shared" si="71"/>
        <v>0</v>
      </c>
      <c r="AE240" s="624">
        <f t="shared" si="71"/>
        <v>0</v>
      </c>
      <c r="AF240" s="471"/>
      <c r="AG240" s="471"/>
      <c r="AH240" s="471"/>
      <c r="AI240" s="471"/>
      <c r="AJ240" s="471"/>
      <c r="AK240" s="471"/>
      <c r="AL240" s="471"/>
      <c r="AM240" s="471"/>
      <c r="AN240" s="471"/>
      <c r="AO240" s="471"/>
      <c r="AR240" s="404"/>
      <c r="AU240" s="404"/>
      <c r="AV240" s="404"/>
    </row>
    <row r="241" spans="1:48" s="390" customFormat="1" ht="21.75" customHeight="1">
      <c r="A241" s="454"/>
      <c r="B241" s="658" t="s">
        <v>43</v>
      </c>
      <c r="C241" s="662"/>
      <c r="D241" s="662"/>
      <c r="E241" s="662"/>
      <c r="F241" s="504"/>
      <c r="G241" s="643"/>
      <c r="H241" s="642"/>
      <c r="I241" s="499"/>
      <c r="J241" s="511"/>
      <c r="K241" s="507"/>
      <c r="L241" s="436"/>
      <c r="M241" s="724"/>
      <c r="N241" s="724"/>
      <c r="O241" s="724"/>
      <c r="P241" s="724"/>
      <c r="Q241" s="618"/>
      <c r="R241" s="618"/>
      <c r="S241" s="618"/>
      <c r="T241" s="618"/>
      <c r="U241" s="618"/>
      <c r="V241" s="641"/>
      <c r="W241" s="624">
        <f t="shared" si="71"/>
        <v>0</v>
      </c>
      <c r="X241" s="624">
        <f t="shared" si="71"/>
        <v>0</v>
      </c>
      <c r="Y241" s="624">
        <f t="shared" si="71"/>
        <v>0</v>
      </c>
      <c r="Z241" s="624">
        <f t="shared" si="71"/>
        <v>0</v>
      </c>
      <c r="AA241" s="624">
        <f t="shared" si="71"/>
        <v>0</v>
      </c>
      <c r="AB241" s="624">
        <f t="shared" si="71"/>
        <v>0</v>
      </c>
      <c r="AC241" s="624">
        <f t="shared" si="71"/>
        <v>0</v>
      </c>
      <c r="AD241" s="624">
        <f t="shared" si="71"/>
        <v>0</v>
      </c>
      <c r="AE241" s="624">
        <f t="shared" si="71"/>
        <v>0</v>
      </c>
      <c r="AF241" s="471"/>
      <c r="AG241" s="473" t="e">
        <f>#REF!*#REF!*#REF!</f>
        <v>#REF!</v>
      </c>
      <c r="AH241" s="471"/>
      <c r="AI241" s="471"/>
      <c r="AJ241" s="471">
        <f>11.75+16.25</f>
        <v>28</v>
      </c>
      <c r="AM241" s="404"/>
      <c r="AP241" s="404"/>
      <c r="AQ241" s="404"/>
    </row>
    <row r="242" spans="1:48" s="390" customFormat="1" ht="21.75" customHeight="1">
      <c r="A242" s="454"/>
      <c r="B242" s="658" t="s">
        <v>500</v>
      </c>
      <c r="C242" s="662"/>
      <c r="D242" s="662"/>
      <c r="E242" s="662">
        <v>1</v>
      </c>
      <c r="F242" s="498">
        <f>K186</f>
        <v>233.875</v>
      </c>
      <c r="G242" s="642"/>
      <c r="H242" s="642"/>
      <c r="I242" s="507">
        <f>IF(H242=0,1,H242)*IF(G242=0,1,G242)*IF(F242=0,1,F242)*IF(E242=0,1,E242)*IF(D242=0,1,D242)*IF(C242=0,1,C242)</f>
        <v>233.875</v>
      </c>
      <c r="J242" s="511"/>
      <c r="K242" s="507"/>
      <c r="L242" s="312" t="s">
        <v>301</v>
      </c>
      <c r="M242" s="724"/>
      <c r="N242" s="724"/>
      <c r="O242" s="724"/>
      <c r="P242" s="724"/>
      <c r="Q242" s="618"/>
      <c r="R242" s="618"/>
      <c r="S242" s="618"/>
      <c r="T242" s="618"/>
      <c r="U242" s="618"/>
      <c r="V242" s="641"/>
      <c r="W242" s="624">
        <f t="shared" si="71"/>
        <v>0</v>
      </c>
      <c r="X242" s="624">
        <f t="shared" si="71"/>
        <v>0</v>
      </c>
      <c r="Y242" s="624">
        <f t="shared" si="71"/>
        <v>0</v>
      </c>
      <c r="Z242" s="624">
        <f t="shared" si="71"/>
        <v>0</v>
      </c>
      <c r="AA242" s="624">
        <f t="shared" si="71"/>
        <v>0</v>
      </c>
      <c r="AB242" s="624">
        <f t="shared" si="71"/>
        <v>0</v>
      </c>
      <c r="AC242" s="624">
        <f t="shared" si="71"/>
        <v>0</v>
      </c>
      <c r="AD242" s="624">
        <f t="shared" si="71"/>
        <v>0</v>
      </c>
      <c r="AE242" s="624">
        <f t="shared" si="71"/>
        <v>0</v>
      </c>
      <c r="AF242" s="471"/>
      <c r="AG242" s="473"/>
      <c r="AH242" s="471"/>
      <c r="AI242" s="471"/>
      <c r="AJ242" s="471"/>
      <c r="AM242" s="404"/>
      <c r="AP242" s="404"/>
      <c r="AQ242" s="404"/>
    </row>
    <row r="243" spans="1:48" s="390" customFormat="1" ht="21.75" customHeight="1">
      <c r="A243" s="454"/>
      <c r="B243" s="658" t="s">
        <v>501</v>
      </c>
      <c r="C243" s="662"/>
      <c r="D243" s="662"/>
      <c r="E243" s="662">
        <v>1</v>
      </c>
      <c r="F243" s="498">
        <f>K222</f>
        <v>1083.1305</v>
      </c>
      <c r="G243" s="642"/>
      <c r="H243" s="642"/>
      <c r="I243" s="507">
        <f>IF(H243=0,1,H243)*IF(G243=0,1,G243)*IF(F243=0,1,F243)*IF(E243=0,1,E243)*IF(D243=0,1,D243)*IF(C243=0,1,C243)</f>
        <v>1083.1305</v>
      </c>
      <c r="J243" s="511"/>
      <c r="K243" s="507"/>
      <c r="L243" s="312" t="s">
        <v>301</v>
      </c>
      <c r="M243" s="724"/>
      <c r="N243" s="724"/>
      <c r="O243" s="724"/>
      <c r="P243" s="724"/>
      <c r="Q243" s="618"/>
      <c r="R243" s="618"/>
      <c r="S243" s="618"/>
      <c r="T243" s="618"/>
      <c r="U243" s="618"/>
      <c r="V243" s="641"/>
      <c r="W243" s="624">
        <f t="shared" si="71"/>
        <v>0</v>
      </c>
      <c r="X243" s="624">
        <f t="shared" si="71"/>
        <v>0</v>
      </c>
      <c r="Y243" s="624">
        <f t="shared" si="71"/>
        <v>0</v>
      </c>
      <c r="Z243" s="624">
        <f t="shared" si="71"/>
        <v>0</v>
      </c>
      <c r="AA243" s="624">
        <f t="shared" si="71"/>
        <v>0</v>
      </c>
      <c r="AB243" s="624">
        <f t="shared" si="71"/>
        <v>0</v>
      </c>
      <c r="AC243" s="624">
        <f t="shared" si="71"/>
        <v>0</v>
      </c>
      <c r="AD243" s="624">
        <f t="shared" si="71"/>
        <v>0</v>
      </c>
      <c r="AE243" s="624">
        <f t="shared" si="71"/>
        <v>0</v>
      </c>
      <c r="AF243" s="471"/>
      <c r="AG243" s="473"/>
      <c r="AH243" s="471"/>
      <c r="AI243" s="471"/>
      <c r="AJ243" s="471"/>
      <c r="AM243" s="404"/>
      <c r="AP243" s="404"/>
      <c r="AQ243" s="404"/>
    </row>
    <row r="244" spans="1:48" s="390" customFormat="1" ht="21.75" customHeight="1">
      <c r="A244" s="454"/>
      <c r="B244" s="658" t="s">
        <v>614</v>
      </c>
      <c r="C244" s="662"/>
      <c r="D244" s="662"/>
      <c r="E244" s="662"/>
      <c r="F244" s="498"/>
      <c r="G244" s="642"/>
      <c r="H244" s="642"/>
      <c r="I244" s="499"/>
      <c r="J244" s="511"/>
      <c r="K244" s="507"/>
      <c r="L244" s="436"/>
      <c r="M244" s="724"/>
      <c r="N244" s="724"/>
      <c r="O244" s="724"/>
      <c r="P244" s="724"/>
      <c r="Q244" s="618"/>
      <c r="R244" s="618"/>
      <c r="S244" s="618"/>
      <c r="T244" s="618"/>
      <c r="U244" s="618"/>
      <c r="V244" s="641"/>
      <c r="W244" s="624">
        <f t="shared" ref="W244:AE259" si="72">IF($R244=W$5,$V244,0)</f>
        <v>0</v>
      </c>
      <c r="X244" s="624">
        <f t="shared" si="72"/>
        <v>0</v>
      </c>
      <c r="Y244" s="624">
        <f t="shared" si="72"/>
        <v>0</v>
      </c>
      <c r="Z244" s="624">
        <f t="shared" si="72"/>
        <v>0</v>
      </c>
      <c r="AA244" s="624">
        <f t="shared" si="72"/>
        <v>0</v>
      </c>
      <c r="AB244" s="624">
        <f t="shared" si="72"/>
        <v>0</v>
      </c>
      <c r="AC244" s="624">
        <f t="shared" si="72"/>
        <v>0</v>
      </c>
      <c r="AD244" s="624">
        <f t="shared" si="72"/>
        <v>0</v>
      </c>
      <c r="AE244" s="624">
        <f t="shared" si="72"/>
        <v>0</v>
      </c>
      <c r="AF244" s="471"/>
      <c r="AG244" s="473"/>
      <c r="AH244" s="471"/>
      <c r="AI244" s="471"/>
      <c r="AJ244" s="471"/>
      <c r="AM244" s="404"/>
      <c r="AP244" s="404"/>
      <c r="AQ244" s="404"/>
    </row>
    <row r="245" spans="1:48" s="423" customFormat="1" ht="22.25" customHeight="1">
      <c r="A245" s="454"/>
      <c r="B245" s="647" t="s">
        <v>353</v>
      </c>
      <c r="C245" s="662"/>
      <c r="D245" s="662"/>
      <c r="E245" s="662">
        <v>1</v>
      </c>
      <c r="F245" s="498">
        <f>K279</f>
        <v>395.5</v>
      </c>
      <c r="G245" s="642"/>
      <c r="H245" s="642"/>
      <c r="I245" s="507">
        <f>IF(H245=0,1,H245)*IF(G245=0,1,G245)*IF(F245=0,1,F245)*IF(E245=0,1,E245)*IF(D245=0,1,D245)*IF(C245=0,1,C245)</f>
        <v>395.5</v>
      </c>
      <c r="J245" s="421"/>
      <c r="K245" s="507"/>
      <c r="L245" s="312" t="s">
        <v>301</v>
      </c>
      <c r="M245" s="724"/>
      <c r="N245" s="724"/>
      <c r="O245" s="724"/>
      <c r="P245" s="724"/>
      <c r="Q245" s="618"/>
      <c r="R245" s="618"/>
      <c r="S245" s="618"/>
      <c r="T245" s="618"/>
      <c r="U245" s="618"/>
      <c r="V245" s="641"/>
      <c r="W245" s="624">
        <f t="shared" si="72"/>
        <v>0</v>
      </c>
      <c r="X245" s="624">
        <f t="shared" si="72"/>
        <v>0</v>
      </c>
      <c r="Y245" s="624">
        <f t="shared" si="72"/>
        <v>0</v>
      </c>
      <c r="Z245" s="624">
        <f t="shared" si="72"/>
        <v>0</v>
      </c>
      <c r="AA245" s="624">
        <f t="shared" si="72"/>
        <v>0</v>
      </c>
      <c r="AB245" s="624">
        <f t="shared" si="72"/>
        <v>0</v>
      </c>
      <c r="AC245" s="624">
        <f t="shared" si="72"/>
        <v>0</v>
      </c>
      <c r="AD245" s="624">
        <f t="shared" si="72"/>
        <v>0</v>
      </c>
      <c r="AE245" s="624">
        <f t="shared" si="72"/>
        <v>0</v>
      </c>
      <c r="AF245" s="472"/>
      <c r="AG245" s="472"/>
      <c r="AH245" s="472"/>
      <c r="AI245" s="472"/>
      <c r="AJ245" s="472"/>
      <c r="AK245" s="472"/>
      <c r="AL245" s="472"/>
      <c r="AM245" s="472"/>
      <c r="AN245" s="472"/>
      <c r="AO245" s="472"/>
      <c r="AR245" s="427"/>
      <c r="AU245" s="427"/>
      <c r="AV245" s="427"/>
    </row>
    <row r="246" spans="1:48" s="390" customFormat="1" ht="22.25" customHeight="1">
      <c r="A246" s="454"/>
      <c r="B246" s="872" t="s">
        <v>538</v>
      </c>
      <c r="C246" s="662"/>
      <c r="D246" s="662"/>
      <c r="E246" s="662"/>
      <c r="F246" s="498"/>
      <c r="G246" s="642"/>
      <c r="H246" s="642"/>
      <c r="I246" s="501"/>
      <c r="J246" s="507"/>
      <c r="K246" s="455"/>
      <c r="L246" s="312"/>
      <c r="M246" s="726"/>
      <c r="N246" s="726"/>
      <c r="O246" s="726"/>
      <c r="P246" s="726"/>
      <c r="Q246" s="611"/>
      <c r="R246" s="611"/>
      <c r="S246" s="611"/>
      <c r="T246" s="611"/>
      <c r="U246" s="624"/>
      <c r="V246" s="624"/>
      <c r="W246" s="624">
        <f t="shared" si="72"/>
        <v>0</v>
      </c>
      <c r="X246" s="624">
        <f t="shared" si="72"/>
        <v>0</v>
      </c>
      <c r="Y246" s="624">
        <f t="shared" si="72"/>
        <v>0</v>
      </c>
      <c r="Z246" s="624">
        <f t="shared" si="72"/>
        <v>0</v>
      </c>
      <c r="AA246" s="624">
        <f t="shared" si="72"/>
        <v>0</v>
      </c>
      <c r="AB246" s="624">
        <f t="shared" si="72"/>
        <v>0</v>
      </c>
      <c r="AC246" s="624">
        <f t="shared" si="72"/>
        <v>0</v>
      </c>
      <c r="AD246" s="624">
        <f t="shared" si="72"/>
        <v>0</v>
      </c>
      <c r="AE246" s="624">
        <f t="shared" si="72"/>
        <v>0</v>
      </c>
      <c r="AF246" s="404"/>
      <c r="AG246" s="471"/>
      <c r="AH246" s="471"/>
      <c r="AI246" s="471"/>
      <c r="AJ246" s="471"/>
      <c r="AM246" s="404"/>
      <c r="AP246" s="404"/>
      <c r="AQ246" s="404"/>
    </row>
    <row r="247" spans="1:48" s="390" customFormat="1" ht="22.25" customHeight="1">
      <c r="A247" s="454"/>
      <c r="B247" s="660" t="str">
        <f t="shared" ref="B247:B252" si="73">B78</f>
        <v>C1 (12"x12") on F3</v>
      </c>
      <c r="C247" s="662"/>
      <c r="D247" s="662"/>
      <c r="E247" s="662">
        <f t="shared" ref="E247:E252" si="74">E78</f>
        <v>3</v>
      </c>
      <c r="F247" s="498">
        <v>1</v>
      </c>
      <c r="G247" s="642">
        <v>1</v>
      </c>
      <c r="H247" s="642">
        <f>4-0.83</f>
        <v>3.17</v>
      </c>
      <c r="I247" s="507">
        <f t="shared" ref="I247:I252" si="75">IF(H247=0,1,H247)*IF(G247=0,1,G247)*IF(F247=0,1,F247)*IF(E247=0,1,E247)*IF(D247=0,1,D247)*IF(C247=0,1,C247)</f>
        <v>9.51</v>
      </c>
      <c r="J247" s="421"/>
      <c r="K247" s="455"/>
      <c r="L247" s="312" t="s">
        <v>301</v>
      </c>
      <c r="M247" s="726"/>
      <c r="N247" s="726"/>
      <c r="O247" s="726"/>
      <c r="P247" s="726"/>
      <c r="Q247" s="611"/>
      <c r="R247" s="611"/>
      <c r="S247" s="624"/>
      <c r="T247" s="625"/>
      <c r="U247" s="626"/>
      <c r="V247" s="624"/>
      <c r="W247" s="624">
        <f t="shared" si="72"/>
        <v>0</v>
      </c>
      <c r="X247" s="624">
        <f t="shared" si="72"/>
        <v>0</v>
      </c>
      <c r="Y247" s="624">
        <f t="shared" si="72"/>
        <v>0</v>
      </c>
      <c r="Z247" s="624">
        <f t="shared" si="72"/>
        <v>0</v>
      </c>
      <c r="AA247" s="624">
        <f t="shared" si="72"/>
        <v>0</v>
      </c>
      <c r="AB247" s="624">
        <f t="shared" si="72"/>
        <v>0</v>
      </c>
      <c r="AC247" s="624">
        <f t="shared" si="72"/>
        <v>0</v>
      </c>
      <c r="AD247" s="624">
        <f t="shared" si="72"/>
        <v>0</v>
      </c>
      <c r="AE247" s="624">
        <f t="shared" si="72"/>
        <v>0</v>
      </c>
      <c r="AF247" s="404">
        <f>381+609</f>
        <v>990</v>
      </c>
      <c r="AG247" s="471">
        <f>9.9/3.281</f>
        <v>3.0173727522096923</v>
      </c>
      <c r="AH247" s="873">
        <f>1.25+9+3</f>
        <v>13.25</v>
      </c>
      <c r="AI247" s="471"/>
      <c r="AJ247" s="471"/>
      <c r="AM247" s="404"/>
      <c r="AP247" s="404"/>
      <c r="AQ247" s="404"/>
    </row>
    <row r="248" spans="1:48" s="390" customFormat="1" ht="22.25" customHeight="1">
      <c r="A248" s="454"/>
      <c r="B248" s="660" t="str">
        <f t="shared" si="73"/>
        <v>C1 (12"x12") on F4</v>
      </c>
      <c r="C248" s="662"/>
      <c r="D248" s="662"/>
      <c r="E248" s="662">
        <f t="shared" si="74"/>
        <v>2</v>
      </c>
      <c r="F248" s="498">
        <v>1</v>
      </c>
      <c r="G248" s="642">
        <v>1</v>
      </c>
      <c r="H248" s="642">
        <f>4-1</f>
        <v>3</v>
      </c>
      <c r="I248" s="507">
        <f t="shared" si="75"/>
        <v>6</v>
      </c>
      <c r="J248" s="421"/>
      <c r="K248" s="455"/>
      <c r="L248" s="312" t="s">
        <v>301</v>
      </c>
      <c r="M248" s="726"/>
      <c r="N248" s="726"/>
      <c r="O248" s="726"/>
      <c r="P248" s="726"/>
      <c r="Q248" s="611"/>
      <c r="R248" s="611"/>
      <c r="S248" s="624"/>
      <c r="T248" s="625"/>
      <c r="U248" s="626"/>
      <c r="V248" s="624"/>
      <c r="W248" s="624">
        <f t="shared" si="72"/>
        <v>0</v>
      </c>
      <c r="X248" s="624">
        <f t="shared" si="72"/>
        <v>0</v>
      </c>
      <c r="Y248" s="624">
        <f t="shared" si="72"/>
        <v>0</v>
      </c>
      <c r="Z248" s="624">
        <f t="shared" si="72"/>
        <v>0</v>
      </c>
      <c r="AA248" s="624">
        <f t="shared" si="72"/>
        <v>0</v>
      </c>
      <c r="AB248" s="624">
        <f t="shared" si="72"/>
        <v>0</v>
      </c>
      <c r="AC248" s="624">
        <f t="shared" si="72"/>
        <v>0</v>
      </c>
      <c r="AD248" s="624">
        <f t="shared" si="72"/>
        <v>0</v>
      </c>
      <c r="AE248" s="624">
        <f t="shared" si="72"/>
        <v>0</v>
      </c>
      <c r="AF248" s="404"/>
      <c r="AG248" s="471"/>
      <c r="AH248" s="874"/>
      <c r="AI248" s="471"/>
      <c r="AJ248" s="471"/>
      <c r="AM248" s="404"/>
      <c r="AP248" s="404"/>
      <c r="AQ248" s="404"/>
    </row>
    <row r="249" spans="1:48" s="390" customFormat="1" ht="22.25" customHeight="1">
      <c r="A249" s="454"/>
      <c r="B249" s="660" t="str">
        <f t="shared" si="73"/>
        <v>C2 (10"x10") on F1</v>
      </c>
      <c r="C249" s="662"/>
      <c r="D249" s="662"/>
      <c r="E249" s="662">
        <f t="shared" si="74"/>
        <v>6</v>
      </c>
      <c r="F249" s="498">
        <v>0.83</v>
      </c>
      <c r="G249" s="642">
        <v>0.83</v>
      </c>
      <c r="H249" s="642">
        <f>4-0.75</f>
        <v>3.25</v>
      </c>
      <c r="I249" s="507">
        <f t="shared" si="75"/>
        <v>13.433549999999997</v>
      </c>
      <c r="J249" s="421"/>
      <c r="K249" s="455"/>
      <c r="L249" s="312" t="s">
        <v>301</v>
      </c>
      <c r="M249" s="726"/>
      <c r="N249" s="726"/>
      <c r="O249" s="726"/>
      <c r="P249" s="726"/>
      <c r="Q249" s="611"/>
      <c r="R249" s="611"/>
      <c r="S249" s="624"/>
      <c r="T249" s="625"/>
      <c r="U249" s="626"/>
      <c r="V249" s="624"/>
      <c r="W249" s="624">
        <f t="shared" si="72"/>
        <v>0</v>
      </c>
      <c r="X249" s="624">
        <f t="shared" si="72"/>
        <v>0</v>
      </c>
      <c r="Y249" s="624">
        <f t="shared" si="72"/>
        <v>0</v>
      </c>
      <c r="Z249" s="624">
        <f t="shared" si="72"/>
        <v>0</v>
      </c>
      <c r="AA249" s="624">
        <f t="shared" si="72"/>
        <v>0</v>
      </c>
      <c r="AB249" s="624">
        <f t="shared" si="72"/>
        <v>0</v>
      </c>
      <c r="AC249" s="624">
        <f t="shared" si="72"/>
        <v>0</v>
      </c>
      <c r="AD249" s="624">
        <f t="shared" si="72"/>
        <v>0</v>
      </c>
      <c r="AE249" s="624">
        <f t="shared" si="72"/>
        <v>0</v>
      </c>
      <c r="AF249" s="404"/>
      <c r="AG249" s="471"/>
      <c r="AH249" s="874"/>
      <c r="AI249" s="471"/>
      <c r="AJ249" s="471"/>
      <c r="AM249" s="404"/>
      <c r="AP249" s="404"/>
      <c r="AQ249" s="404"/>
    </row>
    <row r="250" spans="1:48" s="390" customFormat="1" ht="22.25" customHeight="1">
      <c r="A250" s="454"/>
      <c r="B250" s="660" t="str">
        <f t="shared" si="73"/>
        <v>C2 (10"x10") on F2</v>
      </c>
      <c r="C250" s="662"/>
      <c r="D250" s="662"/>
      <c r="E250" s="662">
        <f t="shared" si="74"/>
        <v>3</v>
      </c>
      <c r="F250" s="498">
        <v>0.83</v>
      </c>
      <c r="G250" s="642">
        <v>0.83</v>
      </c>
      <c r="H250" s="642">
        <f>4-0.75</f>
        <v>3.25</v>
      </c>
      <c r="I250" s="507">
        <f t="shared" si="75"/>
        <v>6.7167749999999984</v>
      </c>
      <c r="J250" s="421"/>
      <c r="K250" s="455"/>
      <c r="L250" s="312" t="s">
        <v>301</v>
      </c>
      <c r="M250" s="726"/>
      <c r="N250" s="726"/>
      <c r="O250" s="726"/>
      <c r="P250" s="726"/>
      <c r="Q250" s="611"/>
      <c r="R250" s="611"/>
      <c r="S250" s="624"/>
      <c r="T250" s="625"/>
      <c r="U250" s="626"/>
      <c r="V250" s="624"/>
      <c r="W250" s="624"/>
      <c r="X250" s="624"/>
      <c r="Y250" s="624"/>
      <c r="Z250" s="624"/>
      <c r="AA250" s="624"/>
      <c r="AB250" s="624"/>
      <c r="AC250" s="624"/>
      <c r="AD250" s="624"/>
      <c r="AE250" s="624"/>
      <c r="AF250" s="404"/>
      <c r="AG250" s="471"/>
      <c r="AH250" s="874"/>
      <c r="AI250" s="471"/>
      <c r="AJ250" s="471"/>
      <c r="AM250" s="404"/>
      <c r="AP250" s="404"/>
      <c r="AQ250" s="404"/>
    </row>
    <row r="251" spans="1:48" s="390" customFormat="1" ht="22.25" customHeight="1">
      <c r="A251" s="454"/>
      <c r="B251" s="660" t="str">
        <f t="shared" si="73"/>
        <v>C2 (10"x10") on F3</v>
      </c>
      <c r="C251" s="662"/>
      <c r="D251" s="662"/>
      <c r="E251" s="662">
        <f t="shared" si="74"/>
        <v>8</v>
      </c>
      <c r="F251" s="498">
        <v>0.83</v>
      </c>
      <c r="G251" s="642">
        <v>0.83</v>
      </c>
      <c r="H251" s="642">
        <f>4-0.83</f>
        <v>3.17</v>
      </c>
      <c r="I251" s="507">
        <f t="shared" si="75"/>
        <v>17.470503999999998</v>
      </c>
      <c r="J251" s="421"/>
      <c r="K251" s="455"/>
      <c r="L251" s="312" t="s">
        <v>301</v>
      </c>
      <c r="M251" s="726"/>
      <c r="N251" s="726"/>
      <c r="O251" s="726"/>
      <c r="P251" s="726"/>
      <c r="Q251" s="611"/>
      <c r="R251" s="611"/>
      <c r="S251" s="624"/>
      <c r="T251" s="625"/>
      <c r="U251" s="626"/>
      <c r="V251" s="624"/>
      <c r="W251" s="624"/>
      <c r="X251" s="624"/>
      <c r="Y251" s="624"/>
      <c r="Z251" s="624"/>
      <c r="AA251" s="624"/>
      <c r="AB251" s="624"/>
      <c r="AC251" s="624"/>
      <c r="AD251" s="624"/>
      <c r="AE251" s="624"/>
      <c r="AF251" s="404"/>
      <c r="AG251" s="471"/>
      <c r="AH251" s="874"/>
      <c r="AI251" s="471"/>
      <c r="AJ251" s="471"/>
      <c r="AM251" s="404"/>
      <c r="AP251" s="404"/>
      <c r="AQ251" s="404"/>
    </row>
    <row r="252" spans="1:48" s="390" customFormat="1" ht="22.25" customHeight="1">
      <c r="A252" s="454"/>
      <c r="B252" s="660" t="str">
        <f t="shared" si="73"/>
        <v>C2 (10"x10") on F4</v>
      </c>
      <c r="C252" s="662"/>
      <c r="D252" s="662"/>
      <c r="E252" s="662">
        <f t="shared" si="74"/>
        <v>1</v>
      </c>
      <c r="F252" s="498">
        <v>0.83</v>
      </c>
      <c r="G252" s="642">
        <v>0.83</v>
      </c>
      <c r="H252" s="642">
        <f>4-1</f>
        <v>3</v>
      </c>
      <c r="I252" s="507">
        <f t="shared" si="75"/>
        <v>2.0666999999999995</v>
      </c>
      <c r="J252" s="421"/>
      <c r="K252" s="455"/>
      <c r="L252" s="312" t="s">
        <v>301</v>
      </c>
      <c r="M252" s="726"/>
      <c r="N252" s="726"/>
      <c r="O252" s="726"/>
      <c r="P252" s="726"/>
      <c r="Q252" s="611"/>
      <c r="R252" s="611"/>
      <c r="S252" s="624"/>
      <c r="T252" s="625"/>
      <c r="U252" s="626"/>
      <c r="V252" s="624"/>
      <c r="W252" s="624"/>
      <c r="X252" s="624"/>
      <c r="Y252" s="624"/>
      <c r="Z252" s="624"/>
      <c r="AA252" s="624"/>
      <c r="AB252" s="624"/>
      <c r="AC252" s="624"/>
      <c r="AD252" s="624"/>
      <c r="AE252" s="624"/>
      <c r="AF252" s="404"/>
      <c r="AG252" s="471"/>
      <c r="AH252" s="874"/>
      <c r="AI252" s="471"/>
      <c r="AJ252" s="471"/>
      <c r="AM252" s="404"/>
      <c r="AP252" s="404"/>
      <c r="AQ252" s="404"/>
    </row>
    <row r="253" spans="1:48" s="390" customFormat="1" ht="22.25" customHeight="1">
      <c r="A253" s="454"/>
      <c r="B253" s="658" t="s">
        <v>349</v>
      </c>
      <c r="C253" s="662"/>
      <c r="D253" s="662"/>
      <c r="E253" s="662"/>
      <c r="F253" s="504"/>
      <c r="G253" s="643"/>
      <c r="H253" s="647"/>
      <c r="I253" s="499"/>
      <c r="J253" s="507"/>
      <c r="K253" s="507"/>
      <c r="L253" s="436"/>
      <c r="M253" s="724"/>
      <c r="N253" s="724"/>
      <c r="O253" s="724"/>
      <c r="P253" s="724"/>
      <c r="Q253" s="618"/>
      <c r="R253" s="618"/>
      <c r="S253" s="618"/>
      <c r="T253" s="618"/>
      <c r="U253" s="618"/>
      <c r="V253" s="641"/>
      <c r="W253" s="624">
        <f t="shared" si="72"/>
        <v>0</v>
      </c>
      <c r="X253" s="624">
        <f t="shared" si="72"/>
        <v>0</v>
      </c>
      <c r="Y253" s="624">
        <f t="shared" si="72"/>
        <v>0</v>
      </c>
      <c r="Z253" s="624">
        <f t="shared" si="72"/>
        <v>0</v>
      </c>
      <c r="AA253" s="624">
        <f t="shared" si="72"/>
        <v>0</v>
      </c>
      <c r="AB253" s="624">
        <f t="shared" si="72"/>
        <v>0</v>
      </c>
      <c r="AC253" s="624">
        <f t="shared" si="72"/>
        <v>0</v>
      </c>
      <c r="AD253" s="624">
        <f t="shared" si="72"/>
        <v>0</v>
      </c>
      <c r="AE253" s="624">
        <f t="shared" si="72"/>
        <v>0</v>
      </c>
      <c r="AF253" s="471"/>
      <c r="AG253" s="471"/>
      <c r="AH253" s="471"/>
      <c r="AI253" s="471"/>
      <c r="AJ253" s="471"/>
      <c r="AK253" s="471"/>
      <c r="AL253" s="471"/>
      <c r="AM253" s="471"/>
      <c r="AN253" s="471"/>
      <c r="AO253" s="471"/>
      <c r="AR253" s="404"/>
      <c r="AU253" s="404"/>
      <c r="AV253" s="404"/>
    </row>
    <row r="254" spans="1:48" s="390" customFormat="1" ht="20.75" customHeight="1">
      <c r="A254" s="454"/>
      <c r="B254" s="657" t="str">
        <f t="shared" ref="B254:B268" si="76">B26</f>
        <v>Line A</v>
      </c>
      <c r="C254" s="662"/>
      <c r="D254" s="662"/>
      <c r="E254" s="662">
        <f>E26</f>
        <v>1</v>
      </c>
      <c r="F254" s="498">
        <f>F26</f>
        <v>14.5</v>
      </c>
      <c r="G254" s="642">
        <v>0.75</v>
      </c>
      <c r="H254" s="642">
        <v>2.25</v>
      </c>
      <c r="I254" s="507">
        <f>IF(H254=0,1,H254)*IF(G254=0,1,G254)*IF(F254=0,1,F254)*IF(E254=0,1,E254)*IF(D254=0,1,D254)*IF(C254=0,1,C254)</f>
        <v>24.46875</v>
      </c>
      <c r="J254" s="421"/>
      <c r="K254" s="455"/>
      <c r="L254" s="312" t="s">
        <v>301</v>
      </c>
      <c r="M254" s="725"/>
      <c r="N254" s="725"/>
      <c r="O254" s="725"/>
      <c r="P254" s="725"/>
      <c r="Q254" s="618"/>
      <c r="R254" s="618"/>
      <c r="S254" s="618"/>
      <c r="T254" s="618"/>
      <c r="U254" s="618"/>
      <c r="V254" s="670">
        <f>6/25</f>
        <v>0.24</v>
      </c>
      <c r="W254" s="624">
        <f t="shared" si="72"/>
        <v>0</v>
      </c>
      <c r="X254" s="624">
        <f t="shared" si="72"/>
        <v>0</v>
      </c>
      <c r="Y254" s="624">
        <f t="shared" si="72"/>
        <v>0</v>
      </c>
      <c r="Z254" s="624">
        <f t="shared" si="72"/>
        <v>0</v>
      </c>
      <c r="AA254" s="624">
        <f t="shared" si="72"/>
        <v>0</v>
      </c>
      <c r="AB254" s="624">
        <f t="shared" si="72"/>
        <v>0</v>
      </c>
      <c r="AC254" s="624">
        <f t="shared" si="72"/>
        <v>0</v>
      </c>
      <c r="AD254" s="624">
        <f t="shared" si="72"/>
        <v>0</v>
      </c>
      <c r="AE254" s="624">
        <f t="shared" si="72"/>
        <v>0</v>
      </c>
      <c r="AF254" s="471"/>
      <c r="AG254" s="473"/>
      <c r="AH254" s="471"/>
      <c r="AI254" s="471"/>
      <c r="AJ254" s="471"/>
      <c r="AM254" s="404"/>
      <c r="AP254" s="404"/>
      <c r="AQ254" s="404"/>
    </row>
    <row r="255" spans="1:48" s="390" customFormat="1" ht="22.25" customHeight="1">
      <c r="A255" s="454"/>
      <c r="B255" s="657" t="str">
        <f t="shared" si="76"/>
        <v>Line A'</v>
      </c>
      <c r="C255" s="662"/>
      <c r="D255" s="662"/>
      <c r="E255" s="662">
        <f t="shared" ref="E255:E268" si="77">E27</f>
        <v>1</v>
      </c>
      <c r="F255" s="498">
        <f t="shared" ref="F255:F268" si="78">F27</f>
        <v>-0.5</v>
      </c>
      <c r="G255" s="642">
        <f>G254</f>
        <v>0.75</v>
      </c>
      <c r="H255" s="642">
        <f>H254</f>
        <v>2.25</v>
      </c>
      <c r="I255" s="507"/>
      <c r="J255" s="421"/>
      <c r="K255" s="455"/>
      <c r="L255" s="312" t="s">
        <v>301</v>
      </c>
      <c r="M255" s="722"/>
      <c r="N255" s="722"/>
      <c r="O255" s="722"/>
      <c r="P255" s="722"/>
      <c r="Q255" s="611"/>
      <c r="R255" s="611"/>
      <c r="S255" s="611"/>
      <c r="T255" s="611"/>
      <c r="U255" s="611"/>
      <c r="V255" s="624"/>
      <c r="W255" s="624">
        <f t="shared" si="72"/>
        <v>0</v>
      </c>
      <c r="X255" s="624">
        <f t="shared" si="72"/>
        <v>0</v>
      </c>
      <c r="Y255" s="624">
        <f t="shared" si="72"/>
        <v>0</v>
      </c>
      <c r="Z255" s="624">
        <f t="shared" si="72"/>
        <v>0</v>
      </c>
      <c r="AA255" s="624">
        <f t="shared" si="72"/>
        <v>0</v>
      </c>
      <c r="AB255" s="624">
        <f t="shared" si="72"/>
        <v>0</v>
      </c>
      <c r="AC255" s="624">
        <f t="shared" si="72"/>
        <v>0</v>
      </c>
      <c r="AD255" s="624">
        <f t="shared" si="72"/>
        <v>0</v>
      </c>
      <c r="AE255" s="624">
        <f t="shared" si="72"/>
        <v>0</v>
      </c>
      <c r="AF255" s="471">
        <f>14*0.75*1*2</f>
        <v>21</v>
      </c>
      <c r="AG255" s="473"/>
      <c r="AH255" s="471"/>
      <c r="AI255" s="471"/>
      <c r="AJ255" s="471"/>
      <c r="AM255" s="404"/>
      <c r="AP255" s="404"/>
      <c r="AQ255" s="404"/>
    </row>
    <row r="256" spans="1:48" s="390" customFormat="1" ht="22.25" customHeight="1">
      <c r="A256" s="454"/>
      <c r="B256" s="657" t="str">
        <f t="shared" si="76"/>
        <v>Line B</v>
      </c>
      <c r="C256" s="662"/>
      <c r="D256" s="662"/>
      <c r="E256" s="662">
        <f t="shared" si="77"/>
        <v>1</v>
      </c>
      <c r="F256" s="498">
        <f t="shared" si="78"/>
        <v>14</v>
      </c>
      <c r="G256" s="642">
        <f t="shared" ref="G256:H265" si="79">G255</f>
        <v>0.75</v>
      </c>
      <c r="H256" s="642">
        <f t="shared" si="79"/>
        <v>2.25</v>
      </c>
      <c r="I256" s="507">
        <f t="shared" ref="I256:I264" si="80">IF(H256=0,1,H256)*IF(G256=0,1,G256)*IF(F256=0,1,F256)*IF(E256=0,1,E256)*IF(D256=0,1,D256)*IF(C256=0,1,C256)</f>
        <v>23.625</v>
      </c>
      <c r="J256" s="421"/>
      <c r="K256" s="455"/>
      <c r="L256" s="312" t="s">
        <v>301</v>
      </c>
      <c r="M256" s="722"/>
      <c r="N256" s="722"/>
      <c r="O256" s="722"/>
      <c r="P256" s="722"/>
      <c r="Q256" s="611"/>
      <c r="R256" s="611"/>
      <c r="S256" s="624"/>
      <c r="T256" s="625"/>
      <c r="U256" s="626"/>
      <c r="V256" s="624"/>
      <c r="W256" s="624">
        <f t="shared" si="72"/>
        <v>0</v>
      </c>
      <c r="X256" s="624">
        <f t="shared" si="72"/>
        <v>0</v>
      </c>
      <c r="Y256" s="624">
        <f t="shared" si="72"/>
        <v>0</v>
      </c>
      <c r="Z256" s="624">
        <f t="shared" si="72"/>
        <v>0</v>
      </c>
      <c r="AA256" s="624">
        <f t="shared" si="72"/>
        <v>0</v>
      </c>
      <c r="AB256" s="624">
        <f t="shared" si="72"/>
        <v>0</v>
      </c>
      <c r="AC256" s="624">
        <f t="shared" si="72"/>
        <v>0</v>
      </c>
      <c r="AD256" s="624">
        <f t="shared" si="72"/>
        <v>0</v>
      </c>
      <c r="AE256" s="624">
        <f t="shared" si="72"/>
        <v>0</v>
      </c>
      <c r="AF256" s="471"/>
      <c r="AG256" s="473"/>
      <c r="AH256" s="471"/>
      <c r="AI256" s="471"/>
      <c r="AJ256" s="471"/>
      <c r="AM256" s="404"/>
      <c r="AP256" s="404"/>
      <c r="AQ256" s="404"/>
    </row>
    <row r="257" spans="1:48" s="390" customFormat="1" ht="22.25" customHeight="1">
      <c r="A257" s="454"/>
      <c r="B257" s="657" t="str">
        <f t="shared" si="76"/>
        <v>Line B',C'</v>
      </c>
      <c r="C257" s="662"/>
      <c r="D257" s="662"/>
      <c r="E257" s="662">
        <f t="shared" si="77"/>
        <v>2</v>
      </c>
      <c r="F257" s="498">
        <f t="shared" si="78"/>
        <v>12.83</v>
      </c>
      <c r="G257" s="642">
        <f t="shared" si="79"/>
        <v>0.75</v>
      </c>
      <c r="H257" s="642">
        <f t="shared" si="79"/>
        <v>2.25</v>
      </c>
      <c r="I257" s="507">
        <f t="shared" si="80"/>
        <v>43.301250000000003</v>
      </c>
      <c r="J257" s="421"/>
      <c r="K257" s="455"/>
      <c r="L257" s="312" t="s">
        <v>301</v>
      </c>
      <c r="M257" s="722"/>
      <c r="N257" s="722"/>
      <c r="O257" s="722"/>
      <c r="P257" s="722"/>
      <c r="Q257" s="611"/>
      <c r="R257" s="611"/>
      <c r="S257" s="624"/>
      <c r="T257" s="625"/>
      <c r="U257" s="626"/>
      <c r="V257" s="624"/>
      <c r="W257" s="624">
        <f t="shared" si="72"/>
        <v>0</v>
      </c>
      <c r="X257" s="624">
        <f t="shared" si="72"/>
        <v>0</v>
      </c>
      <c r="Y257" s="624">
        <f t="shared" si="72"/>
        <v>0</v>
      </c>
      <c r="Z257" s="624">
        <f t="shared" si="72"/>
        <v>0</v>
      </c>
      <c r="AA257" s="624">
        <f t="shared" si="72"/>
        <v>0</v>
      </c>
      <c r="AB257" s="624">
        <f t="shared" si="72"/>
        <v>0</v>
      </c>
      <c r="AC257" s="624">
        <f t="shared" si="72"/>
        <v>0</v>
      </c>
      <c r="AD257" s="624">
        <f t="shared" si="72"/>
        <v>0</v>
      </c>
      <c r="AE257" s="624">
        <f t="shared" si="72"/>
        <v>0</v>
      </c>
      <c r="AF257" s="471"/>
      <c r="AG257" s="473"/>
      <c r="AH257" s="471"/>
      <c r="AI257" s="471"/>
      <c r="AJ257" s="471"/>
      <c r="AM257" s="404"/>
      <c r="AP257" s="404"/>
      <c r="AQ257" s="404"/>
    </row>
    <row r="258" spans="1:48" s="390" customFormat="1" ht="22.25" customHeight="1">
      <c r="A258" s="454"/>
      <c r="B258" s="657" t="str">
        <f t="shared" si="76"/>
        <v>Line C</v>
      </c>
      <c r="C258" s="662"/>
      <c r="D258" s="662"/>
      <c r="E258" s="662">
        <f t="shared" si="77"/>
        <v>1</v>
      </c>
      <c r="F258" s="498">
        <f t="shared" si="78"/>
        <v>13.5</v>
      </c>
      <c r="G258" s="642">
        <f t="shared" si="79"/>
        <v>0.75</v>
      </c>
      <c r="H258" s="642">
        <f t="shared" si="79"/>
        <v>2.25</v>
      </c>
      <c r="I258" s="507">
        <f t="shared" si="80"/>
        <v>22.78125</v>
      </c>
      <c r="J258" s="421"/>
      <c r="K258" s="455"/>
      <c r="L258" s="312" t="s">
        <v>301</v>
      </c>
      <c r="M258" s="722"/>
      <c r="N258" s="722"/>
      <c r="O258" s="722"/>
      <c r="P258" s="722"/>
      <c r="Q258" s="611"/>
      <c r="R258" s="611"/>
      <c r="S258" s="624"/>
      <c r="T258" s="625"/>
      <c r="U258" s="626"/>
      <c r="V258" s="624"/>
      <c r="W258" s="624">
        <f t="shared" si="72"/>
        <v>0</v>
      </c>
      <c r="X258" s="624">
        <f t="shared" si="72"/>
        <v>0</v>
      </c>
      <c r="Y258" s="624">
        <f t="shared" si="72"/>
        <v>0</v>
      </c>
      <c r="Z258" s="624">
        <f t="shared" si="72"/>
        <v>0</v>
      </c>
      <c r="AA258" s="624">
        <f t="shared" si="72"/>
        <v>0</v>
      </c>
      <c r="AB258" s="624">
        <f t="shared" si="72"/>
        <v>0</v>
      </c>
      <c r="AC258" s="624">
        <f t="shared" si="72"/>
        <v>0</v>
      </c>
      <c r="AD258" s="624">
        <f t="shared" si="72"/>
        <v>0</v>
      </c>
      <c r="AE258" s="624">
        <f t="shared" si="72"/>
        <v>0</v>
      </c>
      <c r="AF258" s="471"/>
      <c r="AG258" s="473"/>
      <c r="AH258" s="471"/>
      <c r="AI258" s="471"/>
      <c r="AJ258" s="471"/>
      <c r="AM258" s="404"/>
      <c r="AP258" s="404"/>
      <c r="AQ258" s="404"/>
    </row>
    <row r="259" spans="1:48" s="390" customFormat="1" ht="22.25" customHeight="1">
      <c r="A259" s="454"/>
      <c r="B259" s="657" t="str">
        <f t="shared" si="76"/>
        <v>Line D</v>
      </c>
      <c r="C259" s="662"/>
      <c r="D259" s="662"/>
      <c r="E259" s="662">
        <f t="shared" si="77"/>
        <v>1</v>
      </c>
      <c r="F259" s="498">
        <f t="shared" si="78"/>
        <v>13.5</v>
      </c>
      <c r="G259" s="642">
        <f t="shared" si="79"/>
        <v>0.75</v>
      </c>
      <c r="H259" s="642">
        <f t="shared" si="79"/>
        <v>2.25</v>
      </c>
      <c r="I259" s="507">
        <f t="shared" si="80"/>
        <v>22.78125</v>
      </c>
      <c r="J259" s="421"/>
      <c r="K259" s="455"/>
      <c r="L259" s="312" t="s">
        <v>301</v>
      </c>
      <c r="M259" s="722"/>
      <c r="N259" s="722"/>
      <c r="O259" s="722"/>
      <c r="P259" s="722"/>
      <c r="Q259" s="611"/>
      <c r="R259" s="611"/>
      <c r="S259" s="624"/>
      <c r="T259" s="625"/>
      <c r="U259" s="626"/>
      <c r="V259" s="624"/>
      <c r="W259" s="624">
        <f t="shared" si="72"/>
        <v>0</v>
      </c>
      <c r="X259" s="624">
        <f t="shared" si="72"/>
        <v>0</v>
      </c>
      <c r="Y259" s="624">
        <f t="shared" si="72"/>
        <v>0</v>
      </c>
      <c r="Z259" s="624">
        <f t="shared" si="72"/>
        <v>0</v>
      </c>
      <c r="AA259" s="624">
        <f t="shared" si="72"/>
        <v>0</v>
      </c>
      <c r="AB259" s="624">
        <f t="shared" si="72"/>
        <v>0</v>
      </c>
      <c r="AC259" s="624">
        <f t="shared" si="72"/>
        <v>0</v>
      </c>
      <c r="AD259" s="624">
        <f t="shared" si="72"/>
        <v>0</v>
      </c>
      <c r="AE259" s="624">
        <f t="shared" si="72"/>
        <v>0</v>
      </c>
      <c r="AF259" s="471"/>
      <c r="AG259" s="473"/>
      <c r="AH259" s="471"/>
      <c r="AI259" s="471"/>
      <c r="AJ259" s="471"/>
      <c r="AM259" s="404"/>
      <c r="AP259" s="404"/>
      <c r="AQ259" s="404"/>
    </row>
    <row r="260" spans="1:48" s="390" customFormat="1" ht="22.25" customHeight="1">
      <c r="A260" s="454"/>
      <c r="B260" s="657" t="str">
        <f t="shared" si="76"/>
        <v>Line D'</v>
      </c>
      <c r="C260" s="662"/>
      <c r="D260" s="662"/>
      <c r="E260" s="662">
        <f t="shared" si="77"/>
        <v>1</v>
      </c>
      <c r="F260" s="498">
        <f t="shared" si="78"/>
        <v>4.5</v>
      </c>
      <c r="G260" s="642">
        <f t="shared" si="79"/>
        <v>0.75</v>
      </c>
      <c r="H260" s="642">
        <f t="shared" si="79"/>
        <v>2.25</v>
      </c>
      <c r="I260" s="507">
        <f t="shared" si="80"/>
        <v>7.59375</v>
      </c>
      <c r="J260" s="421"/>
      <c r="K260" s="455"/>
      <c r="L260" s="312" t="s">
        <v>301</v>
      </c>
      <c r="M260" s="722"/>
      <c r="N260" s="722"/>
      <c r="O260" s="722"/>
      <c r="P260" s="722"/>
      <c r="Q260" s="611"/>
      <c r="R260" s="611"/>
      <c r="S260" s="624"/>
      <c r="T260" s="625"/>
      <c r="U260" s="626"/>
      <c r="V260" s="624"/>
      <c r="W260" s="624">
        <f t="shared" ref="W260:AE272" si="81">IF($R260=W$5,$V260,0)</f>
        <v>0</v>
      </c>
      <c r="X260" s="624">
        <f t="shared" si="81"/>
        <v>0</v>
      </c>
      <c r="Y260" s="624">
        <f t="shared" si="81"/>
        <v>0</v>
      </c>
      <c r="Z260" s="624">
        <f t="shared" si="81"/>
        <v>0</v>
      </c>
      <c r="AA260" s="624">
        <f t="shared" si="81"/>
        <v>0</v>
      </c>
      <c r="AB260" s="624">
        <f t="shared" si="81"/>
        <v>0</v>
      </c>
      <c r="AC260" s="624">
        <f t="shared" si="81"/>
        <v>0</v>
      </c>
      <c r="AD260" s="624">
        <f t="shared" si="81"/>
        <v>0</v>
      </c>
      <c r="AE260" s="624">
        <f t="shared" si="81"/>
        <v>0</v>
      </c>
      <c r="AF260" s="471"/>
      <c r="AG260" s="473"/>
      <c r="AH260" s="471"/>
      <c r="AI260" s="471"/>
      <c r="AJ260" s="471"/>
      <c r="AM260" s="404"/>
      <c r="AP260" s="404"/>
      <c r="AQ260" s="404"/>
    </row>
    <row r="261" spans="1:48" s="390" customFormat="1" ht="22.25" customHeight="1">
      <c r="A261" s="454"/>
      <c r="B261" s="657" t="str">
        <f t="shared" si="76"/>
        <v>Line 1</v>
      </c>
      <c r="C261" s="662"/>
      <c r="D261" s="662"/>
      <c r="E261" s="662">
        <f t="shared" si="77"/>
        <v>1</v>
      </c>
      <c r="F261" s="498">
        <f t="shared" si="78"/>
        <v>23.5</v>
      </c>
      <c r="G261" s="642">
        <f t="shared" si="79"/>
        <v>0.75</v>
      </c>
      <c r="H261" s="642">
        <f t="shared" si="79"/>
        <v>2.25</v>
      </c>
      <c r="I261" s="507">
        <f t="shared" si="80"/>
        <v>39.65625</v>
      </c>
      <c r="J261" s="421"/>
      <c r="K261" s="455"/>
      <c r="L261" s="312" t="s">
        <v>301</v>
      </c>
      <c r="M261" s="722"/>
      <c r="N261" s="722"/>
      <c r="O261" s="722"/>
      <c r="P261" s="722"/>
      <c r="Q261" s="611"/>
      <c r="R261" s="611"/>
      <c r="S261" s="624"/>
      <c r="T261" s="625"/>
      <c r="U261" s="626"/>
      <c r="V261" s="624"/>
      <c r="W261" s="624">
        <f t="shared" si="81"/>
        <v>0</v>
      </c>
      <c r="X261" s="624">
        <f t="shared" si="81"/>
        <v>0</v>
      </c>
      <c r="Y261" s="624">
        <f t="shared" si="81"/>
        <v>0</v>
      </c>
      <c r="Z261" s="624">
        <f t="shared" si="81"/>
        <v>0</v>
      </c>
      <c r="AA261" s="624">
        <f t="shared" si="81"/>
        <v>0</v>
      </c>
      <c r="AB261" s="624">
        <f t="shared" si="81"/>
        <v>0</v>
      </c>
      <c r="AC261" s="624">
        <f t="shared" si="81"/>
        <v>0</v>
      </c>
      <c r="AD261" s="624">
        <f t="shared" si="81"/>
        <v>0</v>
      </c>
      <c r="AE261" s="624">
        <f t="shared" si="81"/>
        <v>0</v>
      </c>
      <c r="AF261" s="471"/>
      <c r="AG261" s="473"/>
      <c r="AH261" s="471"/>
      <c r="AI261" s="471"/>
      <c r="AJ261" s="471"/>
      <c r="AM261" s="404"/>
      <c r="AP261" s="404"/>
      <c r="AQ261" s="404"/>
    </row>
    <row r="262" spans="1:48" s="390" customFormat="1" ht="22.25" customHeight="1">
      <c r="A262" s="454"/>
      <c r="B262" s="657" t="str">
        <f t="shared" si="76"/>
        <v>Line 1'</v>
      </c>
      <c r="C262" s="662"/>
      <c r="D262" s="662"/>
      <c r="E262" s="662">
        <f t="shared" si="77"/>
        <v>2</v>
      </c>
      <c r="F262" s="498">
        <f t="shared" si="78"/>
        <v>6.16</v>
      </c>
      <c r="G262" s="642">
        <f t="shared" si="79"/>
        <v>0.75</v>
      </c>
      <c r="H262" s="642">
        <f t="shared" si="79"/>
        <v>2.25</v>
      </c>
      <c r="I262" s="507">
        <f>IF(H262=0,1,H262)*IF(G262=0,1,G262)*IF(F262=0,1,F262)*IF(E262=0,1,E262)*IF(D262=0,1,D262)*IF(C262=0,1,C262)</f>
        <v>20.79</v>
      </c>
      <c r="J262" s="421"/>
      <c r="K262" s="455"/>
      <c r="L262" s="312" t="s">
        <v>301</v>
      </c>
      <c r="M262" s="722"/>
      <c r="N262" s="722"/>
      <c r="O262" s="722"/>
      <c r="P262" s="722"/>
      <c r="Q262" s="611"/>
      <c r="R262" s="611"/>
      <c r="S262" s="624"/>
      <c r="T262" s="625"/>
      <c r="U262" s="626"/>
      <c r="V262" s="624"/>
      <c r="W262" s="624">
        <f t="shared" si="81"/>
        <v>0</v>
      </c>
      <c r="X262" s="624">
        <f t="shared" si="81"/>
        <v>0</v>
      </c>
      <c r="Y262" s="624">
        <f t="shared" si="81"/>
        <v>0</v>
      </c>
      <c r="Z262" s="624">
        <f t="shared" si="81"/>
        <v>0</v>
      </c>
      <c r="AA262" s="624">
        <f t="shared" si="81"/>
        <v>0</v>
      </c>
      <c r="AB262" s="624">
        <f t="shared" si="81"/>
        <v>0</v>
      </c>
      <c r="AC262" s="624">
        <f t="shared" si="81"/>
        <v>0</v>
      </c>
      <c r="AD262" s="624">
        <f t="shared" si="81"/>
        <v>0</v>
      </c>
      <c r="AE262" s="624">
        <f t="shared" si="81"/>
        <v>0</v>
      </c>
      <c r="AF262" s="471"/>
      <c r="AG262" s="473"/>
      <c r="AH262" s="471"/>
      <c r="AI262" s="471"/>
      <c r="AJ262" s="471"/>
      <c r="AM262" s="404"/>
      <c r="AP262" s="404"/>
      <c r="AQ262" s="404"/>
    </row>
    <row r="263" spans="1:48" s="390" customFormat="1" ht="22.25" customHeight="1">
      <c r="A263" s="454"/>
      <c r="B263" s="657" t="str">
        <f t="shared" si="76"/>
        <v>Line 1"</v>
      </c>
      <c r="C263" s="662"/>
      <c r="D263" s="662"/>
      <c r="E263" s="662">
        <f t="shared" si="77"/>
        <v>1</v>
      </c>
      <c r="F263" s="498">
        <f t="shared" si="78"/>
        <v>1.665</v>
      </c>
      <c r="G263" s="642">
        <f>G261</f>
        <v>0.75</v>
      </c>
      <c r="H263" s="642">
        <f>H261</f>
        <v>2.25</v>
      </c>
      <c r="I263" s="507">
        <f t="shared" si="80"/>
        <v>2.8096874999999999</v>
      </c>
      <c r="J263" s="421"/>
      <c r="K263" s="455"/>
      <c r="L263" s="312" t="s">
        <v>301</v>
      </c>
      <c r="M263" s="722"/>
      <c r="N263" s="722"/>
      <c r="O263" s="722"/>
      <c r="P263" s="722"/>
      <c r="Q263" s="611"/>
      <c r="R263" s="611"/>
      <c r="S263" s="624"/>
      <c r="T263" s="625"/>
      <c r="U263" s="626"/>
      <c r="V263" s="624"/>
      <c r="W263" s="624">
        <f t="shared" si="81"/>
        <v>0</v>
      </c>
      <c r="X263" s="624">
        <f t="shared" si="81"/>
        <v>0</v>
      </c>
      <c r="Y263" s="624">
        <f t="shared" si="81"/>
        <v>0</v>
      </c>
      <c r="Z263" s="624">
        <f t="shared" si="81"/>
        <v>0</v>
      </c>
      <c r="AA263" s="624">
        <f t="shared" si="81"/>
        <v>0</v>
      </c>
      <c r="AB263" s="624">
        <f t="shared" si="81"/>
        <v>0</v>
      </c>
      <c r="AC263" s="624">
        <f t="shared" si="81"/>
        <v>0</v>
      </c>
      <c r="AD263" s="624">
        <f t="shared" si="81"/>
        <v>0</v>
      </c>
      <c r="AE263" s="624">
        <f t="shared" si="81"/>
        <v>0</v>
      </c>
      <c r="AF263" s="471"/>
      <c r="AG263" s="473"/>
      <c r="AH263" s="471"/>
      <c r="AI263" s="471"/>
      <c r="AJ263" s="471"/>
      <c r="AM263" s="404"/>
      <c r="AP263" s="404"/>
      <c r="AQ263" s="404"/>
    </row>
    <row r="264" spans="1:48" s="390" customFormat="1" ht="22.25" customHeight="1">
      <c r="A264" s="454"/>
      <c r="B264" s="657" t="str">
        <f t="shared" si="76"/>
        <v>Line 2</v>
      </c>
      <c r="C264" s="662"/>
      <c r="D264" s="662"/>
      <c r="E264" s="662">
        <f t="shared" si="77"/>
        <v>1</v>
      </c>
      <c r="F264" s="498">
        <f t="shared" si="78"/>
        <v>23.75</v>
      </c>
      <c r="G264" s="642">
        <f t="shared" si="79"/>
        <v>0.75</v>
      </c>
      <c r="H264" s="642">
        <f t="shared" si="79"/>
        <v>2.25</v>
      </c>
      <c r="I264" s="507">
        <f t="shared" si="80"/>
        <v>40.078125</v>
      </c>
      <c r="J264" s="421"/>
      <c r="K264" s="455"/>
      <c r="L264" s="312" t="s">
        <v>301</v>
      </c>
      <c r="M264" s="722"/>
      <c r="N264" s="722"/>
      <c r="O264" s="722"/>
      <c r="P264" s="722"/>
      <c r="Q264" s="611"/>
      <c r="R264" s="611"/>
      <c r="S264" s="624"/>
      <c r="T264" s="625"/>
      <c r="U264" s="626"/>
      <c r="V264" s="624"/>
      <c r="W264" s="624">
        <f t="shared" si="81"/>
        <v>0</v>
      </c>
      <c r="X264" s="624">
        <f t="shared" si="81"/>
        <v>0</v>
      </c>
      <c r="Y264" s="624">
        <f t="shared" si="81"/>
        <v>0</v>
      </c>
      <c r="Z264" s="624">
        <f t="shared" si="81"/>
        <v>0</v>
      </c>
      <c r="AA264" s="624">
        <f t="shared" si="81"/>
        <v>0</v>
      </c>
      <c r="AB264" s="624">
        <f t="shared" si="81"/>
        <v>0</v>
      </c>
      <c r="AC264" s="624">
        <f t="shared" si="81"/>
        <v>0</v>
      </c>
      <c r="AD264" s="624">
        <f t="shared" si="81"/>
        <v>0</v>
      </c>
      <c r="AE264" s="624">
        <f t="shared" si="81"/>
        <v>0</v>
      </c>
      <c r="AF264" s="471"/>
      <c r="AG264" s="473"/>
      <c r="AH264" s="471"/>
      <c r="AI264" s="471"/>
      <c r="AJ264" s="471"/>
      <c r="AM264" s="404"/>
      <c r="AP264" s="404"/>
      <c r="AQ264" s="404"/>
    </row>
    <row r="265" spans="1:48" s="390" customFormat="1" ht="22.25" customHeight="1">
      <c r="A265" s="454"/>
      <c r="B265" s="657" t="str">
        <f t="shared" si="76"/>
        <v>Line 2'</v>
      </c>
      <c r="C265" s="662"/>
      <c r="D265" s="662"/>
      <c r="E265" s="662">
        <f t="shared" si="77"/>
        <v>1</v>
      </c>
      <c r="F265" s="498">
        <f t="shared" si="78"/>
        <v>3.33</v>
      </c>
      <c r="G265" s="642">
        <f t="shared" si="79"/>
        <v>0.75</v>
      </c>
      <c r="H265" s="642">
        <f t="shared" si="79"/>
        <v>2.25</v>
      </c>
      <c r="I265" s="507">
        <f>IF(H265=0,1,H265)*IF(G265=0,1,G265)*IF(F265=0,1,F265)*IF(E265=0,1,E265)*IF(D265=0,1,D265)*IF(C265=0,1,C265)</f>
        <v>5.6193749999999998</v>
      </c>
      <c r="J265" s="421"/>
      <c r="K265" s="455"/>
      <c r="L265" s="312" t="s">
        <v>301</v>
      </c>
      <c r="M265" s="722"/>
      <c r="N265" s="722"/>
      <c r="O265" s="722"/>
      <c r="P265" s="722"/>
      <c r="Q265" s="611"/>
      <c r="R265" s="611"/>
      <c r="S265" s="624"/>
      <c r="T265" s="625"/>
      <c r="U265" s="626"/>
      <c r="V265" s="624"/>
      <c r="W265" s="624">
        <f t="shared" si="81"/>
        <v>0</v>
      </c>
      <c r="X265" s="624">
        <f t="shared" si="81"/>
        <v>0</v>
      </c>
      <c r="Y265" s="624">
        <f t="shared" si="81"/>
        <v>0</v>
      </c>
      <c r="Z265" s="624">
        <f t="shared" si="81"/>
        <v>0</v>
      </c>
      <c r="AA265" s="624">
        <f t="shared" si="81"/>
        <v>0</v>
      </c>
      <c r="AB265" s="624">
        <f t="shared" si="81"/>
        <v>0</v>
      </c>
      <c r="AC265" s="624">
        <f t="shared" si="81"/>
        <v>0</v>
      </c>
      <c r="AD265" s="624">
        <f t="shared" si="81"/>
        <v>0</v>
      </c>
      <c r="AE265" s="624">
        <f t="shared" si="81"/>
        <v>0</v>
      </c>
      <c r="AF265" s="471"/>
      <c r="AG265" s="473"/>
      <c r="AH265" s="471"/>
      <c r="AI265" s="471"/>
      <c r="AJ265" s="471"/>
      <c r="AM265" s="404"/>
      <c r="AP265" s="404"/>
      <c r="AQ265" s="404"/>
    </row>
    <row r="266" spans="1:48" s="390" customFormat="1" ht="22.25" customHeight="1">
      <c r="A266" s="454"/>
      <c r="B266" s="657" t="str">
        <f t="shared" si="76"/>
        <v>Line 3</v>
      </c>
      <c r="C266" s="662"/>
      <c r="D266" s="662"/>
      <c r="E266" s="662">
        <f t="shared" si="77"/>
        <v>1</v>
      </c>
      <c r="F266" s="498">
        <f t="shared" si="78"/>
        <v>22</v>
      </c>
      <c r="G266" s="642">
        <f t="shared" ref="G266:H268" si="82">G265</f>
        <v>0.75</v>
      </c>
      <c r="H266" s="642">
        <f t="shared" si="82"/>
        <v>2.25</v>
      </c>
      <c r="I266" s="507">
        <f>IF(H266=0,1,H266)*IF(G266=0,1,G266)*IF(F266=0,1,F266)*IF(E266=0,1,E266)*IF(D266=0,1,D266)*IF(C266=0,1,C266)</f>
        <v>37.125</v>
      </c>
      <c r="J266" s="421"/>
      <c r="K266" s="511"/>
      <c r="L266" s="312" t="s">
        <v>301</v>
      </c>
      <c r="M266" s="722"/>
      <c r="N266" s="722"/>
      <c r="O266" s="722"/>
      <c r="P266" s="722"/>
      <c r="Q266" s="611"/>
      <c r="R266" s="611"/>
      <c r="S266" s="624"/>
      <c r="T266" s="625"/>
      <c r="U266" s="626"/>
      <c r="V266" s="624"/>
      <c r="W266" s="624"/>
      <c r="X266" s="624"/>
      <c r="Y266" s="624"/>
      <c r="Z266" s="624"/>
      <c r="AA266" s="624"/>
      <c r="AB266" s="624"/>
      <c r="AC266" s="624"/>
      <c r="AD266" s="624"/>
      <c r="AE266" s="624"/>
      <c r="AF266" s="471"/>
      <c r="AG266" s="473"/>
      <c r="AH266" s="471"/>
      <c r="AI266" s="471"/>
      <c r="AJ266" s="471"/>
      <c r="AM266" s="404"/>
      <c r="AP266" s="404"/>
      <c r="AQ266" s="404"/>
    </row>
    <row r="267" spans="1:48" s="390" customFormat="1" ht="22.25" customHeight="1">
      <c r="A267" s="454"/>
      <c r="B267" s="657" t="str">
        <f t="shared" si="76"/>
        <v>Line 3'</v>
      </c>
      <c r="C267" s="662"/>
      <c r="D267" s="662"/>
      <c r="E267" s="662">
        <f t="shared" si="77"/>
        <v>1</v>
      </c>
      <c r="F267" s="498">
        <f t="shared" si="78"/>
        <v>13.33</v>
      </c>
      <c r="G267" s="642">
        <f t="shared" si="82"/>
        <v>0.75</v>
      </c>
      <c r="H267" s="642">
        <f t="shared" si="82"/>
        <v>2.25</v>
      </c>
      <c r="I267" s="507">
        <f>IF(H267=0,1,H267)*IF(G267=0,1,G267)*IF(F267=0,1,F267)*IF(E267=0,1,E267)*IF(D267=0,1,D267)*IF(C267=0,1,C267)</f>
        <v>22.494375000000002</v>
      </c>
      <c r="J267" s="421"/>
      <c r="K267" s="511"/>
      <c r="L267" s="312" t="s">
        <v>301</v>
      </c>
      <c r="M267" s="722"/>
      <c r="N267" s="722"/>
      <c r="O267" s="722"/>
      <c r="P267" s="722"/>
      <c r="Q267" s="611"/>
      <c r="R267" s="611"/>
      <c r="S267" s="624"/>
      <c r="T267" s="625"/>
      <c r="U267" s="626"/>
      <c r="V267" s="624"/>
      <c r="W267" s="624"/>
      <c r="X267" s="624"/>
      <c r="Y267" s="624"/>
      <c r="Z267" s="624"/>
      <c r="AA267" s="624"/>
      <c r="AB267" s="624"/>
      <c r="AC267" s="624"/>
      <c r="AD267" s="624"/>
      <c r="AE267" s="624"/>
      <c r="AF267" s="471"/>
      <c r="AG267" s="473"/>
      <c r="AH267" s="471"/>
      <c r="AI267" s="471"/>
      <c r="AJ267" s="471"/>
      <c r="AM267" s="404"/>
      <c r="AP267" s="404"/>
      <c r="AQ267" s="404"/>
    </row>
    <row r="268" spans="1:48" s="390" customFormat="1" ht="22.25" customHeight="1">
      <c r="A268" s="454"/>
      <c r="B268" s="657" t="str">
        <f t="shared" si="76"/>
        <v>Line 4</v>
      </c>
      <c r="C268" s="662"/>
      <c r="D268" s="662"/>
      <c r="E268" s="662">
        <f t="shared" si="77"/>
        <v>1</v>
      </c>
      <c r="F268" s="498">
        <f t="shared" si="78"/>
        <v>18</v>
      </c>
      <c r="G268" s="642">
        <f t="shared" si="82"/>
        <v>0.75</v>
      </c>
      <c r="H268" s="642">
        <f t="shared" si="82"/>
        <v>2.25</v>
      </c>
      <c r="I268" s="507">
        <f>IF(H268=0,1,H268)*IF(G268=0,1,G268)*IF(F268=0,1,F268)*IF(E268=0,1,E268)*IF(D268=0,1,D268)*IF(C268=0,1,C268)</f>
        <v>30.375</v>
      </c>
      <c r="J268" s="421"/>
      <c r="K268" s="511"/>
      <c r="L268" s="312" t="s">
        <v>301</v>
      </c>
      <c r="M268" s="722"/>
      <c r="N268" s="722"/>
      <c r="O268" s="722"/>
      <c r="P268" s="722"/>
      <c r="Q268" s="611"/>
      <c r="R268" s="611"/>
      <c r="S268" s="624"/>
      <c r="T268" s="625"/>
      <c r="U268" s="626"/>
      <c r="V268" s="624"/>
      <c r="W268" s="624"/>
      <c r="X268" s="624"/>
      <c r="Y268" s="624"/>
      <c r="Z268" s="624"/>
      <c r="AA268" s="624"/>
      <c r="AB268" s="624"/>
      <c r="AC268" s="624"/>
      <c r="AD268" s="624"/>
      <c r="AE268" s="624"/>
      <c r="AF268" s="471"/>
      <c r="AG268" s="473"/>
      <c r="AH268" s="471"/>
      <c r="AI268" s="471"/>
      <c r="AJ268" s="471"/>
      <c r="AM268" s="404"/>
      <c r="AP268" s="404"/>
      <c r="AQ268" s="404"/>
    </row>
    <row r="269" spans="1:48" s="423" customFormat="1" ht="22" customHeight="1" thickBot="1">
      <c r="A269" s="454"/>
      <c r="B269" s="658"/>
      <c r="C269" s="662"/>
      <c r="D269" s="662"/>
      <c r="E269" s="662"/>
      <c r="F269" s="498"/>
      <c r="G269" s="642"/>
      <c r="H269" s="642"/>
      <c r="I269" s="513">
        <f>SUM(I239:I268)</f>
        <v>2111.2020915000003</v>
      </c>
      <c r="J269" s="455">
        <f>SUM(J240:J268)</f>
        <v>5607.1230500000001</v>
      </c>
      <c r="K269" s="507"/>
      <c r="L269" s="436"/>
      <c r="M269" s="724"/>
      <c r="N269" s="724"/>
      <c r="O269" s="950"/>
      <c r="P269" s="724"/>
      <c r="Q269" s="618"/>
      <c r="R269" s="618"/>
      <c r="S269" s="618"/>
      <c r="T269" s="618"/>
      <c r="U269" s="618"/>
      <c r="V269" s="641"/>
      <c r="W269" s="624">
        <f t="shared" si="81"/>
        <v>0</v>
      </c>
      <c r="X269" s="624">
        <f t="shared" si="81"/>
        <v>0</v>
      </c>
      <c r="Y269" s="624">
        <f t="shared" si="81"/>
        <v>0</v>
      </c>
      <c r="Z269" s="624">
        <f t="shared" si="81"/>
        <v>0</v>
      </c>
      <c r="AA269" s="624">
        <f t="shared" si="81"/>
        <v>0</v>
      </c>
      <c r="AB269" s="624">
        <f t="shared" si="81"/>
        <v>0</v>
      </c>
      <c r="AC269" s="624">
        <f t="shared" si="81"/>
        <v>0</v>
      </c>
      <c r="AD269" s="624">
        <f t="shared" si="81"/>
        <v>0</v>
      </c>
      <c r="AE269" s="624">
        <f t="shared" si="81"/>
        <v>0</v>
      </c>
      <c r="AF269" s="472"/>
      <c r="AG269" s="472"/>
      <c r="AH269" s="472"/>
      <c r="AI269" s="472"/>
      <c r="AJ269" s="472"/>
      <c r="AK269" s="472"/>
      <c r="AL269" s="472"/>
      <c r="AM269" s="472"/>
      <c r="AN269" s="472"/>
      <c r="AO269" s="472"/>
      <c r="AR269" s="427"/>
      <c r="AU269" s="427"/>
      <c r="AV269" s="427"/>
    </row>
    <row r="270" spans="1:48" s="390" customFormat="1" ht="22" customHeight="1" thickBot="1">
      <c r="A270" s="454"/>
      <c r="B270" s="655"/>
      <c r="C270" s="662"/>
      <c r="D270" s="662"/>
      <c r="E270" s="662"/>
      <c r="F270" s="504"/>
      <c r="G270" s="643"/>
      <c r="H270" s="648"/>
      <c r="I270" s="501"/>
      <c r="J270" s="455"/>
      <c r="K270" s="509">
        <f>J269-I269</f>
        <v>3495.9209584999999</v>
      </c>
      <c r="L270" s="880" t="s">
        <v>301</v>
      </c>
      <c r="M270" s="724"/>
      <c r="N270" s="724"/>
      <c r="O270" s="950"/>
      <c r="P270" s="724"/>
      <c r="Q270" s="618"/>
      <c r="R270" s="618"/>
      <c r="S270" s="618"/>
      <c r="T270" s="618"/>
      <c r="U270" s="618"/>
      <c r="V270" s="641"/>
      <c r="W270" s="624">
        <f t="shared" si="81"/>
        <v>0</v>
      </c>
      <c r="X270" s="624">
        <f t="shared" si="81"/>
        <v>0</v>
      </c>
      <c r="Y270" s="624">
        <f t="shared" si="81"/>
        <v>0</v>
      </c>
      <c r="Z270" s="624">
        <f t="shared" si="81"/>
        <v>0</v>
      </c>
      <c r="AA270" s="624">
        <f t="shared" si="81"/>
        <v>0</v>
      </c>
      <c r="AB270" s="624">
        <f t="shared" si="81"/>
        <v>0</v>
      </c>
      <c r="AC270" s="624">
        <f t="shared" si="81"/>
        <v>0</v>
      </c>
      <c r="AD270" s="624">
        <f t="shared" si="81"/>
        <v>0</v>
      </c>
      <c r="AE270" s="624">
        <f t="shared" si="81"/>
        <v>0</v>
      </c>
      <c r="AF270" s="472"/>
      <c r="AG270" s="472"/>
      <c r="AH270" s="472"/>
      <c r="AI270" s="472"/>
      <c r="AJ270" s="472"/>
      <c r="AK270" s="472"/>
      <c r="AL270" s="472"/>
      <c r="AM270" s="472"/>
      <c r="AN270" s="471"/>
      <c r="AO270" s="471"/>
      <c r="AR270" s="404"/>
      <c r="AU270" s="404"/>
      <c r="AV270" s="404"/>
    </row>
    <row r="271" spans="1:48" s="390" customFormat="1" ht="22" customHeight="1" thickBot="1">
      <c r="A271" s="945"/>
      <c r="B271" s="946"/>
      <c r="C271" s="664"/>
      <c r="D271" s="664"/>
      <c r="E271" s="664"/>
      <c r="F271" s="947"/>
      <c r="G271" s="948"/>
      <c r="H271" s="650"/>
      <c r="I271" s="514"/>
      <c r="J271" s="500"/>
      <c r="K271" s="509">
        <f>K270/100</f>
        <v>34.959209584999996</v>
      </c>
      <c r="L271" s="949" t="s">
        <v>316</v>
      </c>
      <c r="M271" s="724"/>
      <c r="N271" s="724"/>
      <c r="O271" s="950"/>
      <c r="P271" s="724"/>
      <c r="Q271" s="618"/>
      <c r="R271" s="618"/>
      <c r="S271" s="618"/>
      <c r="T271" s="618"/>
      <c r="U271" s="618"/>
      <c r="V271" s="641"/>
      <c r="W271" s="624">
        <f t="shared" si="81"/>
        <v>0</v>
      </c>
      <c r="X271" s="624">
        <f t="shared" si="81"/>
        <v>0</v>
      </c>
      <c r="Y271" s="624">
        <f t="shared" si="81"/>
        <v>0</v>
      </c>
      <c r="Z271" s="624">
        <f t="shared" si="81"/>
        <v>0</v>
      </c>
      <c r="AA271" s="624">
        <f t="shared" si="81"/>
        <v>0</v>
      </c>
      <c r="AB271" s="624">
        <f t="shared" si="81"/>
        <v>0</v>
      </c>
      <c r="AC271" s="624">
        <f t="shared" si="81"/>
        <v>0</v>
      </c>
      <c r="AD271" s="624">
        <f t="shared" si="81"/>
        <v>0</v>
      </c>
      <c r="AE271" s="624">
        <f t="shared" si="81"/>
        <v>0</v>
      </c>
      <c r="AF271" s="472"/>
      <c r="AG271" s="472"/>
      <c r="AH271" s="472"/>
      <c r="AI271" s="472"/>
      <c r="AJ271" s="472"/>
      <c r="AK271" s="472"/>
      <c r="AL271" s="472"/>
      <c r="AM271" s="472"/>
      <c r="AN271" s="471"/>
      <c r="AO271" s="471"/>
      <c r="AR271" s="404"/>
      <c r="AU271" s="404"/>
      <c r="AV271" s="404"/>
    </row>
    <row r="272" spans="1:48" s="390" customFormat="1" ht="22" customHeight="1">
      <c r="A272" s="454"/>
      <c r="B272" s="455"/>
      <c r="C272" s="662"/>
      <c r="D272" s="662"/>
      <c r="E272" s="662"/>
      <c r="F272" s="501"/>
      <c r="G272" s="501"/>
      <c r="H272" s="408"/>
      <c r="I272" s="501"/>
      <c r="J272" s="455"/>
      <c r="K272" s="510"/>
      <c r="L272" s="506"/>
      <c r="M272" s="724"/>
      <c r="N272" s="724"/>
      <c r="O272" s="950"/>
      <c r="P272" s="724"/>
      <c r="Q272" s="618"/>
      <c r="R272" s="618"/>
      <c r="S272" s="618"/>
      <c r="T272" s="618"/>
      <c r="U272" s="618"/>
      <c r="V272" s="641"/>
      <c r="W272" s="624">
        <f t="shared" si="81"/>
        <v>0</v>
      </c>
      <c r="X272" s="624">
        <f t="shared" si="81"/>
        <v>0</v>
      </c>
      <c r="Y272" s="624">
        <f t="shared" si="81"/>
        <v>0</v>
      </c>
      <c r="Z272" s="624">
        <f t="shared" si="81"/>
        <v>0</v>
      </c>
      <c r="AA272" s="624">
        <f t="shared" si="81"/>
        <v>0</v>
      </c>
      <c r="AB272" s="624">
        <f t="shared" si="81"/>
        <v>0</v>
      </c>
      <c r="AC272" s="624">
        <f t="shared" si="81"/>
        <v>0</v>
      </c>
      <c r="AD272" s="624">
        <f t="shared" si="81"/>
        <v>0</v>
      </c>
      <c r="AE272" s="624">
        <f t="shared" si="81"/>
        <v>0</v>
      </c>
      <c r="AF272" s="472"/>
      <c r="AG272" s="472"/>
      <c r="AH272" s="472"/>
      <c r="AI272" s="472"/>
      <c r="AJ272" s="472"/>
      <c r="AK272" s="472"/>
      <c r="AL272" s="472"/>
      <c r="AM272" s="472"/>
      <c r="AN272" s="471"/>
      <c r="AO272" s="471"/>
      <c r="AR272" s="404"/>
      <c r="AU272" s="404"/>
      <c r="AV272" s="404"/>
    </row>
    <row r="273" spans="1:48" s="390" customFormat="1" ht="22.25" customHeight="1">
      <c r="A273" s="454">
        <v>9</v>
      </c>
      <c r="B273" s="458" t="s">
        <v>340</v>
      </c>
      <c r="C273" s="662"/>
      <c r="D273" s="662"/>
      <c r="E273" s="662"/>
      <c r="F273" s="501"/>
      <c r="G273" s="501"/>
      <c r="H273" s="408"/>
      <c r="I273" s="501"/>
      <c r="J273" s="421"/>
      <c r="K273" s="421"/>
      <c r="L273" s="432"/>
      <c r="M273" s="724"/>
      <c r="N273" s="724"/>
      <c r="O273" s="950"/>
      <c r="P273" s="724"/>
      <c r="Q273" s="618"/>
      <c r="R273" s="618"/>
      <c r="S273" s="618"/>
      <c r="T273" s="618"/>
      <c r="U273" s="618"/>
      <c r="V273" s="641"/>
      <c r="W273" s="624">
        <f t="shared" ref="W273:AE275" si="83">IF($R273=W$5,$V273,0)</f>
        <v>0</v>
      </c>
      <c r="X273" s="624">
        <f t="shared" si="83"/>
        <v>0</v>
      </c>
      <c r="Y273" s="624">
        <f t="shared" si="83"/>
        <v>0</v>
      </c>
      <c r="Z273" s="624">
        <f t="shared" si="83"/>
        <v>0</v>
      </c>
      <c r="AA273" s="624">
        <f t="shared" si="83"/>
        <v>0</v>
      </c>
      <c r="AB273" s="624">
        <f t="shared" si="83"/>
        <v>0</v>
      </c>
      <c r="AC273" s="624">
        <f t="shared" si="83"/>
        <v>0</v>
      </c>
      <c r="AD273" s="624">
        <f t="shared" si="83"/>
        <v>0</v>
      </c>
      <c r="AE273" s="624">
        <f t="shared" si="83"/>
        <v>0</v>
      </c>
      <c r="AF273" s="471" t="e">
        <f>1/AF103</f>
        <v>#DIV/0!</v>
      </c>
      <c r="AG273" s="471" t="e">
        <f>#REF!*2.8</f>
        <v>#REF!</v>
      </c>
      <c r="AH273" s="471"/>
      <c r="AI273" s="471"/>
      <c r="AJ273" s="471"/>
      <c r="AK273" s="471"/>
      <c r="AL273" s="471"/>
      <c r="AM273" s="471"/>
      <c r="AN273" s="471"/>
      <c r="AO273" s="471"/>
      <c r="AR273" s="404"/>
      <c r="AU273" s="404"/>
      <c r="AV273" s="404"/>
    </row>
    <row r="274" spans="1:48" s="390" customFormat="1" ht="21.9" customHeight="1">
      <c r="A274" s="454"/>
      <c r="B274" s="659" t="s">
        <v>353</v>
      </c>
      <c r="C274" s="662"/>
      <c r="D274" s="662"/>
      <c r="E274" s="662"/>
      <c r="F274" s="498"/>
      <c r="G274" s="642"/>
      <c r="H274" s="648"/>
      <c r="I274" s="501"/>
      <c r="J274" s="455"/>
      <c r="K274" s="455"/>
      <c r="L274" s="312"/>
      <c r="M274" s="726"/>
      <c r="N274" s="726"/>
      <c r="O274" s="726"/>
      <c r="P274" s="726"/>
      <c r="Q274" s="611"/>
      <c r="R274" s="611"/>
      <c r="S274" s="611"/>
      <c r="T274" s="611"/>
      <c r="U274" s="624"/>
      <c r="V274" s="624"/>
      <c r="W274" s="624">
        <f t="shared" si="83"/>
        <v>0</v>
      </c>
      <c r="X274" s="624">
        <f t="shared" si="83"/>
        <v>0</v>
      </c>
      <c r="Y274" s="624">
        <f t="shared" si="83"/>
        <v>0</v>
      </c>
      <c r="Z274" s="624">
        <f t="shared" si="83"/>
        <v>0</v>
      </c>
      <c r="AA274" s="624">
        <f t="shared" si="83"/>
        <v>0</v>
      </c>
      <c r="AB274" s="624">
        <f t="shared" si="83"/>
        <v>0</v>
      </c>
      <c r="AC274" s="624">
        <f t="shared" si="83"/>
        <v>0</v>
      </c>
      <c r="AD274" s="624">
        <f t="shared" si="83"/>
        <v>0</v>
      </c>
      <c r="AE274" s="624">
        <f t="shared" si="83"/>
        <v>0</v>
      </c>
      <c r="AF274" s="404"/>
      <c r="AG274" s="471"/>
      <c r="AH274" s="471"/>
      <c r="AI274" s="471"/>
      <c r="AJ274" s="471"/>
      <c r="AM274" s="404"/>
      <c r="AP274" s="404"/>
      <c r="AQ274" s="404"/>
    </row>
    <row r="275" spans="1:48" s="390" customFormat="1" ht="24" customHeight="1">
      <c r="A275" s="454"/>
      <c r="B275" s="657" t="str">
        <f>$B$192</f>
        <v>F1 (3'-0"x3'-0"x0'-9")</v>
      </c>
      <c r="C275" s="662"/>
      <c r="D275" s="662"/>
      <c r="E275" s="662">
        <f t="shared" ref="E275:G278" si="84">E192</f>
        <v>6</v>
      </c>
      <c r="F275" s="498">
        <f t="shared" si="84"/>
        <v>3</v>
      </c>
      <c r="G275" s="642">
        <f t="shared" si="84"/>
        <v>3</v>
      </c>
      <c r="H275" s="642">
        <v>0.75</v>
      </c>
      <c r="I275" s="501"/>
      <c r="J275" s="507">
        <f>IF(I275=0,1,I275)*IF(H275=0,1,H275)*IF(G275=0,1,G275)*IF(F275=0,1,F275)*IF(E275=0,1,E275)*IF(D275=0,1,D275)*IF(C275=0,1,C275)</f>
        <v>40.5</v>
      </c>
      <c r="K275" s="455"/>
      <c r="L275" s="312"/>
      <c r="M275" s="726"/>
      <c r="N275" s="726"/>
      <c r="O275" s="726"/>
      <c r="P275" s="726"/>
      <c r="Q275" s="611"/>
      <c r="R275" s="611"/>
      <c r="S275" s="624"/>
      <c r="T275" s="626"/>
      <c r="U275" s="626"/>
      <c r="V275" s="624"/>
      <c r="W275" s="624">
        <f t="shared" si="83"/>
        <v>0</v>
      </c>
      <c r="X275" s="624">
        <f t="shared" si="83"/>
        <v>0</v>
      </c>
      <c r="Y275" s="624">
        <f t="shared" si="83"/>
        <v>0</v>
      </c>
      <c r="Z275" s="624">
        <f t="shared" si="83"/>
        <v>0</v>
      </c>
      <c r="AA275" s="624">
        <f t="shared" si="83"/>
        <v>0</v>
      </c>
      <c r="AB275" s="624">
        <f t="shared" si="83"/>
        <v>0</v>
      </c>
      <c r="AC275" s="624">
        <f t="shared" ref="AC275:AE276" si="85">IF($R275=AC$5,$V275,0)</f>
        <v>0</v>
      </c>
      <c r="AD275" s="624">
        <f t="shared" si="85"/>
        <v>0</v>
      </c>
      <c r="AE275" s="624">
        <f t="shared" si="85"/>
        <v>0</v>
      </c>
      <c r="AF275" s="404"/>
      <c r="AG275" s="471"/>
      <c r="AH275" s="471"/>
      <c r="AI275" s="471"/>
      <c r="AJ275" s="471"/>
      <c r="AM275" s="404"/>
      <c r="AP275" s="404"/>
      <c r="AQ275" s="404"/>
    </row>
    <row r="276" spans="1:48" s="390" customFormat="1" ht="24" customHeight="1">
      <c r="A276" s="454"/>
      <c r="B276" s="657" t="str">
        <f>$B$193</f>
        <v>F2 (4'-0"x4'-0"x0'-9")</v>
      </c>
      <c r="C276" s="662"/>
      <c r="D276" s="662"/>
      <c r="E276" s="662">
        <f t="shared" si="84"/>
        <v>3</v>
      </c>
      <c r="F276" s="498">
        <f t="shared" si="84"/>
        <v>4</v>
      </c>
      <c r="G276" s="642">
        <f t="shared" si="84"/>
        <v>4</v>
      </c>
      <c r="H276" s="642">
        <v>0.75</v>
      </c>
      <c r="I276" s="501"/>
      <c r="J276" s="507">
        <f>IF(I276=0,1,I276)*IF(H276=0,1,H276)*IF(G276=0,1,G276)*IF(F276=0,1,F276)*IF(E276=0,1,E276)*IF(D276=0,1,D276)*IF(C276=0,1,C276)</f>
        <v>36</v>
      </c>
      <c r="K276" s="455"/>
      <c r="L276" s="312"/>
      <c r="M276" s="726"/>
      <c r="N276" s="726"/>
      <c r="O276" s="726"/>
      <c r="P276" s="726"/>
      <c r="Q276" s="611"/>
      <c r="R276" s="611"/>
      <c r="S276" s="624"/>
      <c r="T276" s="626"/>
      <c r="U276" s="626"/>
      <c r="V276" s="624"/>
      <c r="W276" s="624">
        <f t="shared" ref="W276:AB276" si="86">IF($R276=W$5,$V276,0)</f>
        <v>0</v>
      </c>
      <c r="X276" s="624">
        <f t="shared" si="86"/>
        <v>0</v>
      </c>
      <c r="Y276" s="624">
        <f t="shared" si="86"/>
        <v>0</v>
      </c>
      <c r="Z276" s="624">
        <f t="shared" si="86"/>
        <v>0</v>
      </c>
      <c r="AA276" s="624">
        <f t="shared" si="86"/>
        <v>0</v>
      </c>
      <c r="AB276" s="624">
        <f t="shared" si="86"/>
        <v>0</v>
      </c>
      <c r="AC276" s="624">
        <f t="shared" si="85"/>
        <v>0</v>
      </c>
      <c r="AD276" s="624">
        <f t="shared" si="85"/>
        <v>0</v>
      </c>
      <c r="AE276" s="624">
        <f t="shared" si="85"/>
        <v>0</v>
      </c>
      <c r="AF276" s="404"/>
      <c r="AG276" s="471"/>
      <c r="AH276" s="471"/>
      <c r="AI276" s="471"/>
      <c r="AJ276" s="471"/>
      <c r="AM276" s="404"/>
      <c r="AP276" s="404"/>
      <c r="AQ276" s="404"/>
    </row>
    <row r="277" spans="1:48" s="390" customFormat="1" ht="24" customHeight="1">
      <c r="A277" s="454"/>
      <c r="B277" s="657" t="str">
        <f>$B$194</f>
        <v>F3 (5'-0"x5'-0"x0'-10")</v>
      </c>
      <c r="C277" s="662"/>
      <c r="D277" s="662"/>
      <c r="E277" s="662">
        <f t="shared" si="84"/>
        <v>11</v>
      </c>
      <c r="F277" s="498">
        <f t="shared" si="84"/>
        <v>5</v>
      </c>
      <c r="G277" s="642">
        <f t="shared" si="84"/>
        <v>5</v>
      </c>
      <c r="H277" s="642">
        <v>0.83</v>
      </c>
      <c r="I277" s="501"/>
      <c r="J277" s="507">
        <f>IF(I277=0,1,I277)*IF(H277=0,1,H277)*IF(G277=0,1,G277)*IF(F277=0,1,F277)*IF(E277=0,1,E277)*IF(D277=0,1,D277)*IF(C277=0,1,C277)</f>
        <v>228.24999999999997</v>
      </c>
      <c r="K277" s="455"/>
      <c r="L277" s="312"/>
      <c r="M277" s="726"/>
      <c r="N277" s="726"/>
      <c r="O277" s="726"/>
      <c r="P277" s="726"/>
      <c r="Q277" s="611"/>
      <c r="R277" s="611"/>
      <c r="S277" s="624"/>
      <c r="T277" s="626"/>
      <c r="U277" s="626"/>
      <c r="V277" s="624"/>
      <c r="W277" s="624"/>
      <c r="X277" s="624"/>
      <c r="Y277" s="624"/>
      <c r="Z277" s="624"/>
      <c r="AA277" s="624"/>
      <c r="AB277" s="624"/>
      <c r="AC277" s="624"/>
      <c r="AD277" s="624"/>
      <c r="AE277" s="624"/>
      <c r="AF277" s="404"/>
      <c r="AG277" s="471"/>
      <c r="AH277" s="471"/>
      <c r="AI277" s="471"/>
      <c r="AJ277" s="471"/>
      <c r="AM277" s="404"/>
      <c r="AP277" s="404"/>
      <c r="AQ277" s="404"/>
    </row>
    <row r="278" spans="1:48" s="390" customFormat="1" ht="24" customHeight="1">
      <c r="A278" s="454"/>
      <c r="B278" s="657" t="str">
        <f>$B$195</f>
        <v>F4 (5'-6"x5'-6"x1'-0")</v>
      </c>
      <c r="C278" s="662"/>
      <c r="D278" s="662"/>
      <c r="E278" s="662">
        <f t="shared" si="84"/>
        <v>3</v>
      </c>
      <c r="F278" s="498">
        <f t="shared" si="84"/>
        <v>5.5</v>
      </c>
      <c r="G278" s="642">
        <f t="shared" si="84"/>
        <v>5.5</v>
      </c>
      <c r="H278" s="642">
        <v>1</v>
      </c>
      <c r="I278" s="501"/>
      <c r="J278" s="507">
        <f>IF(I278=0,1,I278)*IF(H278=0,1,H278)*IF(G278=0,1,G278)*IF(F278=0,1,F278)*IF(E278=0,1,E278)*IF(D278=0,1,D278)*IF(C278=0,1,C278)</f>
        <v>90.75</v>
      </c>
      <c r="K278" s="455"/>
      <c r="L278" s="312"/>
      <c r="M278" s="726"/>
      <c r="N278" s="726"/>
      <c r="O278" s="726"/>
      <c r="P278" s="726"/>
      <c r="Q278" s="611"/>
      <c r="R278" s="611"/>
      <c r="S278" s="624"/>
      <c r="T278" s="626"/>
      <c r="U278" s="626"/>
      <c r="V278" s="624"/>
      <c r="W278" s="624"/>
      <c r="X278" s="624"/>
      <c r="Y278" s="624"/>
      <c r="Z278" s="624"/>
      <c r="AA278" s="624"/>
      <c r="AB278" s="624"/>
      <c r="AC278" s="624"/>
      <c r="AD278" s="624"/>
      <c r="AE278" s="624"/>
      <c r="AF278" s="404"/>
      <c r="AG278" s="471"/>
      <c r="AH278" s="471"/>
      <c r="AI278" s="471"/>
      <c r="AJ278" s="471"/>
      <c r="AM278" s="404"/>
      <c r="AP278" s="404"/>
      <c r="AQ278" s="404"/>
    </row>
    <row r="279" spans="1:48" s="390" customFormat="1" ht="26.25" customHeight="1">
      <c r="A279" s="454"/>
      <c r="B279" s="660"/>
      <c r="C279" s="662"/>
      <c r="D279" s="662"/>
      <c r="E279" s="662"/>
      <c r="F279" s="498"/>
      <c r="G279" s="642"/>
      <c r="H279" s="642"/>
      <c r="I279" s="458" t="str">
        <f>B274</f>
        <v>Footing</v>
      </c>
      <c r="J279" s="455"/>
      <c r="K279" s="455">
        <f>SUM(J274:J279)</f>
        <v>395.5</v>
      </c>
      <c r="L279" s="312" t="s">
        <v>301</v>
      </c>
      <c r="M279" s="726"/>
      <c r="N279" s="726"/>
      <c r="O279" s="726"/>
      <c r="P279" s="726"/>
      <c r="Q279" s="611"/>
      <c r="R279" s="611"/>
      <c r="S279" s="611"/>
      <c r="T279" s="626"/>
      <c r="U279" s="624"/>
      <c r="V279" s="624"/>
      <c r="W279" s="624">
        <f t="shared" ref="W279:AE279" si="87">IF($R279=W$5,$V279,0)</f>
        <v>0</v>
      </c>
      <c r="X279" s="624">
        <f t="shared" si="87"/>
        <v>0</v>
      </c>
      <c r="Y279" s="624">
        <f t="shared" si="87"/>
        <v>0</v>
      </c>
      <c r="Z279" s="624">
        <f t="shared" si="87"/>
        <v>0</v>
      </c>
      <c r="AA279" s="624">
        <f t="shared" si="87"/>
        <v>0</v>
      </c>
      <c r="AB279" s="624">
        <f t="shared" si="87"/>
        <v>0</v>
      </c>
      <c r="AC279" s="624">
        <f t="shared" si="87"/>
        <v>0</v>
      </c>
      <c r="AD279" s="624">
        <f t="shared" si="87"/>
        <v>0</v>
      </c>
      <c r="AE279" s="624">
        <f t="shared" si="87"/>
        <v>0</v>
      </c>
      <c r="AF279" s="404"/>
      <c r="AG279" s="471"/>
      <c r="AH279" s="471"/>
      <c r="AI279" s="471"/>
      <c r="AJ279" s="471"/>
      <c r="AM279" s="404"/>
      <c r="AP279" s="404"/>
      <c r="AQ279" s="404"/>
    </row>
    <row r="280" spans="1:48" s="390" customFormat="1" ht="22.25" customHeight="1">
      <c r="A280" s="454"/>
      <c r="B280" s="872" t="s">
        <v>538</v>
      </c>
      <c r="C280" s="662"/>
      <c r="D280" s="662"/>
      <c r="E280" s="662"/>
      <c r="F280" s="498"/>
      <c r="G280" s="642"/>
      <c r="H280" s="642"/>
      <c r="I280" s="501"/>
      <c r="J280" s="507"/>
      <c r="K280" s="455"/>
      <c r="L280" s="312"/>
      <c r="M280" s="726"/>
      <c r="N280" s="726"/>
      <c r="O280" s="726"/>
      <c r="P280" s="726"/>
      <c r="Q280" s="611"/>
      <c r="R280" s="611"/>
      <c r="S280" s="611"/>
      <c r="T280" s="611"/>
      <c r="U280" s="624"/>
      <c r="V280" s="624"/>
      <c r="W280" s="624">
        <f t="shared" ref="W280:AE289" si="88">IF($R280=W$5,$V280,0)</f>
        <v>0</v>
      </c>
      <c r="X280" s="624">
        <f t="shared" si="88"/>
        <v>0</v>
      </c>
      <c r="Y280" s="624">
        <f t="shared" si="88"/>
        <v>0</v>
      </c>
      <c r="Z280" s="624">
        <f t="shared" si="88"/>
        <v>0</v>
      </c>
      <c r="AA280" s="624">
        <f t="shared" si="88"/>
        <v>0</v>
      </c>
      <c r="AB280" s="624">
        <f t="shared" si="88"/>
        <v>0</v>
      </c>
      <c r="AC280" s="624">
        <f t="shared" si="88"/>
        <v>0</v>
      </c>
      <c r="AD280" s="624">
        <f t="shared" si="88"/>
        <v>0</v>
      </c>
      <c r="AE280" s="624">
        <f t="shared" si="88"/>
        <v>0</v>
      </c>
      <c r="AF280" s="404"/>
      <c r="AG280" s="471"/>
      <c r="AH280" s="471"/>
      <c r="AI280" s="471"/>
      <c r="AJ280" s="471"/>
      <c r="AM280" s="404"/>
      <c r="AP280" s="404"/>
      <c r="AQ280" s="404"/>
    </row>
    <row r="281" spans="1:48" s="390" customFormat="1" ht="22.25" customHeight="1">
      <c r="A281" s="454"/>
      <c r="B281" s="660" t="str">
        <f>$B$78</f>
        <v>C1 (12"x12") on F3</v>
      </c>
      <c r="C281" s="662"/>
      <c r="D281" s="662"/>
      <c r="E281" s="662">
        <f>$E$78</f>
        <v>3</v>
      </c>
      <c r="F281" s="498">
        <v>1</v>
      </c>
      <c r="G281" s="642">
        <v>1</v>
      </c>
      <c r="H281" s="642">
        <f>4+3-$H$277</f>
        <v>6.17</v>
      </c>
      <c r="I281" s="501"/>
      <c r="J281" s="507">
        <f t="shared" ref="J281:J286" si="89">IF(I281=0,1,I281)*IF(H281=0,1,H281)*IF(G281=0,1,G281)*IF(F281=0,1,F281)*IF(E281=0,1,E281)*IF(D281=0,1,D281)*IF(C281=0,1,C281)</f>
        <v>18.509999999999998</v>
      </c>
      <c r="K281" s="455"/>
      <c r="L281" s="312"/>
      <c r="M281" s="726"/>
      <c r="N281" s="726"/>
      <c r="O281" s="726"/>
      <c r="P281" s="726"/>
      <c r="Q281" s="611"/>
      <c r="R281" s="611"/>
      <c r="S281" s="624"/>
      <c r="T281" s="625"/>
      <c r="U281" s="626"/>
      <c r="V281" s="624"/>
      <c r="W281" s="624">
        <f t="shared" si="88"/>
        <v>0</v>
      </c>
      <c r="X281" s="624">
        <f t="shared" si="88"/>
        <v>0</v>
      </c>
      <c r="Y281" s="624">
        <f t="shared" si="88"/>
        <v>0</v>
      </c>
      <c r="Z281" s="624">
        <f t="shared" si="88"/>
        <v>0</v>
      </c>
      <c r="AA281" s="624">
        <f t="shared" si="88"/>
        <v>0</v>
      </c>
      <c r="AB281" s="624">
        <f t="shared" si="88"/>
        <v>0</v>
      </c>
      <c r="AC281" s="624">
        <f t="shared" si="88"/>
        <v>0</v>
      </c>
      <c r="AD281" s="624">
        <f t="shared" si="88"/>
        <v>0</v>
      </c>
      <c r="AE281" s="624">
        <f t="shared" si="88"/>
        <v>0</v>
      </c>
      <c r="AF281" s="404">
        <f>381+609</f>
        <v>990</v>
      </c>
      <c r="AG281" s="471">
        <f>9.9/3.281</f>
        <v>3.0173727522096923</v>
      </c>
      <c r="AH281" s="873">
        <f>1.25+9+3</f>
        <v>13.25</v>
      </c>
      <c r="AI281" s="471"/>
      <c r="AJ281" s="471"/>
      <c r="AM281" s="404"/>
      <c r="AP281" s="404"/>
      <c r="AQ281" s="404"/>
    </row>
    <row r="282" spans="1:48" s="390" customFormat="1" ht="22.25" customHeight="1">
      <c r="A282" s="454"/>
      <c r="B282" s="660" t="str">
        <f>$B$79</f>
        <v>C1 (12"x12") on F4</v>
      </c>
      <c r="C282" s="662"/>
      <c r="D282" s="662"/>
      <c r="E282" s="662">
        <f>$E$79</f>
        <v>2</v>
      </c>
      <c r="F282" s="498">
        <v>1</v>
      </c>
      <c r="G282" s="642">
        <v>1</v>
      </c>
      <c r="H282" s="642">
        <f>4+3-$H$278</f>
        <v>6</v>
      </c>
      <c r="I282" s="501"/>
      <c r="J282" s="507">
        <f t="shared" si="89"/>
        <v>12</v>
      </c>
      <c r="K282" s="455"/>
      <c r="L282" s="312"/>
      <c r="M282" s="726"/>
      <c r="N282" s="726"/>
      <c r="O282" s="726"/>
      <c r="P282" s="726"/>
      <c r="Q282" s="611"/>
      <c r="R282" s="611"/>
      <c r="S282" s="624"/>
      <c r="T282" s="625"/>
      <c r="U282" s="626"/>
      <c r="V282" s="624"/>
      <c r="W282" s="624"/>
      <c r="X282" s="624"/>
      <c r="Y282" s="624"/>
      <c r="Z282" s="624"/>
      <c r="AA282" s="624"/>
      <c r="AB282" s="624"/>
      <c r="AC282" s="624"/>
      <c r="AD282" s="624"/>
      <c r="AE282" s="624"/>
      <c r="AF282" s="404"/>
      <c r="AG282" s="471"/>
      <c r="AH282" s="874"/>
      <c r="AI282" s="471"/>
      <c r="AJ282" s="471"/>
      <c r="AM282" s="404"/>
      <c r="AP282" s="404"/>
      <c r="AQ282" s="404"/>
    </row>
    <row r="283" spans="1:48" s="390" customFormat="1" ht="22.25" customHeight="1">
      <c r="A283" s="454"/>
      <c r="B283" s="660" t="str">
        <f>$B$80</f>
        <v>C2 (10"x10") on F1</v>
      </c>
      <c r="C283" s="662"/>
      <c r="D283" s="662"/>
      <c r="E283" s="662">
        <f>$E$80</f>
        <v>6</v>
      </c>
      <c r="F283" s="498">
        <v>0.83</v>
      </c>
      <c r="G283" s="642">
        <v>0.83</v>
      </c>
      <c r="H283" s="642">
        <f>4+3-$H$275</f>
        <v>6.25</v>
      </c>
      <c r="I283" s="501"/>
      <c r="J283" s="507">
        <f t="shared" si="89"/>
        <v>25.833750000000002</v>
      </c>
      <c r="K283" s="455"/>
      <c r="L283" s="312"/>
      <c r="M283" s="726"/>
      <c r="N283" s="726"/>
      <c r="O283" s="726"/>
      <c r="P283" s="726"/>
      <c r="Q283" s="611"/>
      <c r="R283" s="611"/>
      <c r="S283" s="624"/>
      <c r="T283" s="625"/>
      <c r="U283" s="626"/>
      <c r="V283" s="624"/>
      <c r="W283" s="624"/>
      <c r="X283" s="624"/>
      <c r="Y283" s="624"/>
      <c r="Z283" s="624"/>
      <c r="AA283" s="624"/>
      <c r="AB283" s="624"/>
      <c r="AC283" s="624"/>
      <c r="AD283" s="624"/>
      <c r="AE283" s="624"/>
      <c r="AF283" s="404"/>
      <c r="AG283" s="471"/>
      <c r="AH283" s="874"/>
      <c r="AI283" s="471"/>
      <c r="AJ283" s="471"/>
      <c r="AM283" s="404"/>
      <c r="AP283" s="404"/>
      <c r="AQ283" s="404"/>
    </row>
    <row r="284" spans="1:48" s="390" customFormat="1" ht="22.25" customHeight="1">
      <c r="A284" s="454"/>
      <c r="B284" s="660" t="str">
        <f>$B$81</f>
        <v>C2 (10"x10") on F2</v>
      </c>
      <c r="C284" s="662"/>
      <c r="D284" s="662"/>
      <c r="E284" s="662">
        <f>$E$81</f>
        <v>3</v>
      </c>
      <c r="F284" s="498">
        <v>0.83</v>
      </c>
      <c r="G284" s="642">
        <v>0.83</v>
      </c>
      <c r="H284" s="642">
        <f>4+3-$H$276</f>
        <v>6.25</v>
      </c>
      <c r="I284" s="501"/>
      <c r="J284" s="507">
        <f t="shared" si="89"/>
        <v>12.916875000000001</v>
      </c>
      <c r="K284" s="455"/>
      <c r="L284" s="312"/>
      <c r="M284" s="726"/>
      <c r="N284" s="726"/>
      <c r="O284" s="726"/>
      <c r="P284" s="726"/>
      <c r="Q284" s="611"/>
      <c r="R284" s="611"/>
      <c r="S284" s="624"/>
      <c r="T284" s="625"/>
      <c r="U284" s="626"/>
      <c r="V284" s="624"/>
      <c r="W284" s="624"/>
      <c r="X284" s="624"/>
      <c r="Y284" s="624"/>
      <c r="Z284" s="624"/>
      <c r="AA284" s="624"/>
      <c r="AB284" s="624"/>
      <c r="AC284" s="624"/>
      <c r="AD284" s="624"/>
      <c r="AE284" s="624"/>
      <c r="AF284" s="404"/>
      <c r="AG284" s="471"/>
      <c r="AH284" s="874"/>
      <c r="AI284" s="471"/>
      <c r="AJ284" s="471"/>
      <c r="AM284" s="404"/>
      <c r="AP284" s="404"/>
      <c r="AQ284" s="404"/>
    </row>
    <row r="285" spans="1:48" s="390" customFormat="1" ht="22.25" customHeight="1">
      <c r="A285" s="454"/>
      <c r="B285" s="660" t="str">
        <f>$B$82</f>
        <v>C2 (10"x10") on F3</v>
      </c>
      <c r="C285" s="662"/>
      <c r="D285" s="662"/>
      <c r="E285" s="662">
        <f>$E$82</f>
        <v>8</v>
      </c>
      <c r="F285" s="498">
        <v>0.83</v>
      </c>
      <c r="G285" s="642">
        <v>0.83</v>
      </c>
      <c r="H285" s="642">
        <f>4+3-$H$277</f>
        <v>6.17</v>
      </c>
      <c r="I285" s="501"/>
      <c r="J285" s="507">
        <f t="shared" si="89"/>
        <v>34.004103999999991</v>
      </c>
      <c r="K285" s="455"/>
      <c r="L285" s="312"/>
      <c r="M285" s="726"/>
      <c r="N285" s="726"/>
      <c r="O285" s="726"/>
      <c r="P285" s="726"/>
      <c r="Q285" s="611"/>
      <c r="R285" s="611"/>
      <c r="S285" s="624"/>
      <c r="T285" s="625"/>
      <c r="U285" s="626"/>
      <c r="V285" s="624"/>
      <c r="W285" s="624"/>
      <c r="X285" s="624"/>
      <c r="Y285" s="624"/>
      <c r="Z285" s="624"/>
      <c r="AA285" s="624"/>
      <c r="AB285" s="624"/>
      <c r="AC285" s="624"/>
      <c r="AD285" s="624"/>
      <c r="AE285" s="624"/>
      <c r="AF285" s="404"/>
      <c r="AG285" s="471"/>
      <c r="AH285" s="874"/>
      <c r="AI285" s="471"/>
      <c r="AJ285" s="471"/>
      <c r="AM285" s="404"/>
      <c r="AP285" s="404"/>
      <c r="AQ285" s="404"/>
    </row>
    <row r="286" spans="1:48" s="390" customFormat="1" ht="22.25" customHeight="1">
      <c r="A286" s="454"/>
      <c r="B286" s="660" t="str">
        <f>$B$83</f>
        <v>C2 (10"x10") on F4</v>
      </c>
      <c r="C286" s="662"/>
      <c r="D286" s="662"/>
      <c r="E286" s="662">
        <f>$E$83</f>
        <v>1</v>
      </c>
      <c r="F286" s="498">
        <v>0.83</v>
      </c>
      <c r="G286" s="642">
        <v>0.83</v>
      </c>
      <c r="H286" s="642">
        <f>4+3-$H$278</f>
        <v>6</v>
      </c>
      <c r="I286" s="501"/>
      <c r="J286" s="507">
        <f t="shared" si="89"/>
        <v>4.1333999999999991</v>
      </c>
      <c r="K286" s="455"/>
      <c r="L286" s="312"/>
      <c r="M286" s="726"/>
      <c r="N286" s="726"/>
      <c r="O286" s="726"/>
      <c r="P286" s="726"/>
      <c r="Q286" s="611"/>
      <c r="R286" s="611"/>
      <c r="S286" s="624"/>
      <c r="T286" s="625"/>
      <c r="U286" s="626"/>
      <c r="V286" s="624"/>
      <c r="W286" s="624"/>
      <c r="X286" s="624"/>
      <c r="Y286" s="624"/>
      <c r="Z286" s="624"/>
      <c r="AA286" s="624"/>
      <c r="AB286" s="624"/>
      <c r="AC286" s="624"/>
      <c r="AD286" s="624"/>
      <c r="AE286" s="624"/>
      <c r="AF286" s="404"/>
      <c r="AG286" s="471"/>
      <c r="AH286" s="874"/>
      <c r="AI286" s="471"/>
      <c r="AJ286" s="471"/>
      <c r="AM286" s="404"/>
      <c r="AP286" s="404"/>
      <c r="AQ286" s="404"/>
    </row>
    <row r="287" spans="1:48" s="390" customFormat="1" ht="26.25" customHeight="1">
      <c r="A287" s="454"/>
      <c r="B287" s="660"/>
      <c r="C287" s="662"/>
      <c r="D287" s="662"/>
      <c r="E287" s="662"/>
      <c r="F287" s="498"/>
      <c r="G287" s="642"/>
      <c r="H287" s="642"/>
      <c r="I287" s="458" t="str">
        <f>B280</f>
        <v>Short Column</v>
      </c>
      <c r="J287" s="455"/>
      <c r="K287" s="455">
        <f>SUM(J280:J287)</f>
        <v>107.39812899999998</v>
      </c>
      <c r="L287" s="312" t="s">
        <v>301</v>
      </c>
      <c r="M287" s="726"/>
      <c r="N287" s="726"/>
      <c r="O287" s="726"/>
      <c r="P287" s="726"/>
      <c r="Q287" s="611"/>
      <c r="R287" s="611"/>
      <c r="S287" s="611"/>
      <c r="T287" s="626"/>
      <c r="U287" s="624"/>
      <c r="V287" s="624"/>
      <c r="W287" s="624">
        <f t="shared" si="88"/>
        <v>0</v>
      </c>
      <c r="X287" s="624">
        <f t="shared" si="88"/>
        <v>0</v>
      </c>
      <c r="Y287" s="624">
        <f t="shared" si="88"/>
        <v>0</v>
      </c>
      <c r="Z287" s="624">
        <f t="shared" si="88"/>
        <v>0</v>
      </c>
      <c r="AA287" s="624">
        <f t="shared" si="88"/>
        <v>0</v>
      </c>
      <c r="AB287" s="624">
        <f t="shared" si="88"/>
        <v>0</v>
      </c>
      <c r="AC287" s="624">
        <f t="shared" si="88"/>
        <v>0</v>
      </c>
      <c r="AD287" s="624">
        <f t="shared" si="88"/>
        <v>0</v>
      </c>
      <c r="AE287" s="624">
        <f t="shared" si="88"/>
        <v>0</v>
      </c>
      <c r="AF287" s="404"/>
      <c r="AG287" s="471"/>
      <c r="AH287" s="471"/>
      <c r="AI287" s="471"/>
      <c r="AJ287" s="471"/>
      <c r="AM287" s="404"/>
      <c r="AP287" s="404"/>
      <c r="AQ287" s="404"/>
    </row>
    <row r="288" spans="1:48" s="390" customFormat="1" ht="22.25" customHeight="1">
      <c r="A288" s="454"/>
      <c r="B288" s="872" t="s">
        <v>561</v>
      </c>
      <c r="C288" s="662"/>
      <c r="D288" s="662"/>
      <c r="E288" s="662"/>
      <c r="F288" s="498"/>
      <c r="G288" s="642"/>
      <c r="H288" s="642"/>
      <c r="I288" s="501"/>
      <c r="J288" s="507"/>
      <c r="K288" s="455"/>
      <c r="L288" s="312"/>
      <c r="M288" s="726"/>
      <c r="N288" s="726"/>
      <c r="O288" s="726"/>
      <c r="P288" s="726"/>
      <c r="Q288" s="611"/>
      <c r="R288" s="611"/>
      <c r="S288" s="611"/>
      <c r="T288" s="611"/>
      <c r="U288" s="624"/>
      <c r="V288" s="624"/>
      <c r="W288" s="624">
        <f t="shared" si="88"/>
        <v>0</v>
      </c>
      <c r="X288" s="624">
        <f t="shared" si="88"/>
        <v>0</v>
      </c>
      <c r="Y288" s="624">
        <f t="shared" si="88"/>
        <v>0</v>
      </c>
      <c r="Z288" s="624">
        <f t="shared" si="88"/>
        <v>0</v>
      </c>
      <c r="AA288" s="624">
        <f t="shared" si="88"/>
        <v>0</v>
      </c>
      <c r="AB288" s="624">
        <f t="shared" si="88"/>
        <v>0</v>
      </c>
      <c r="AC288" s="624">
        <f t="shared" si="88"/>
        <v>0</v>
      </c>
      <c r="AD288" s="624">
        <f t="shared" si="88"/>
        <v>0</v>
      </c>
      <c r="AE288" s="624">
        <f t="shared" si="88"/>
        <v>0</v>
      </c>
      <c r="AF288" s="404"/>
      <c r="AG288" s="471"/>
      <c r="AH288" s="471"/>
      <c r="AI288" s="471"/>
      <c r="AJ288" s="471"/>
      <c r="AM288" s="404"/>
      <c r="AP288" s="404"/>
      <c r="AQ288" s="404"/>
    </row>
    <row r="289" spans="1:43" s="390" customFormat="1" ht="22.25" customHeight="1">
      <c r="A289" s="454"/>
      <c r="B289" s="660" t="str">
        <f>$B$86</f>
        <v>C2 (10"x10")</v>
      </c>
      <c r="C289" s="662"/>
      <c r="D289" s="662"/>
      <c r="E289" s="662">
        <f>$E$86</f>
        <v>23</v>
      </c>
      <c r="F289" s="498">
        <v>0.83</v>
      </c>
      <c r="G289" s="642">
        <v>0.83</v>
      </c>
      <c r="H289" s="642">
        <v>13</v>
      </c>
      <c r="I289" s="501"/>
      <c r="J289" s="507">
        <f>IF(I289=0,1,I289)*IF(H289=0,1,H289)*IF(G289=0,1,G289)*IF(F289=0,1,F289)*IF(E289=0,1,E289)*IF(D289=0,1,D289)*IF(C289=0,1,C289)</f>
        <v>205.98109999999997</v>
      </c>
      <c r="K289" s="455"/>
      <c r="L289" s="312"/>
      <c r="M289" s="726">
        <f>G289*F289*E289</f>
        <v>15.8447</v>
      </c>
      <c r="N289" s="726"/>
      <c r="O289" s="726"/>
      <c r="P289" s="726"/>
      <c r="Q289" s="611"/>
      <c r="R289" s="611"/>
      <c r="S289" s="624"/>
      <c r="T289" s="625"/>
      <c r="U289" s="626"/>
      <c r="V289" s="624"/>
      <c r="W289" s="624">
        <f t="shared" si="88"/>
        <v>0</v>
      </c>
      <c r="X289" s="624">
        <f t="shared" si="88"/>
        <v>0</v>
      </c>
      <c r="Y289" s="624">
        <f t="shared" si="88"/>
        <v>0</v>
      </c>
      <c r="Z289" s="624">
        <f t="shared" si="88"/>
        <v>0</v>
      </c>
      <c r="AA289" s="624">
        <f t="shared" si="88"/>
        <v>0</v>
      </c>
      <c r="AB289" s="624">
        <f t="shared" si="88"/>
        <v>0</v>
      </c>
      <c r="AC289" s="624">
        <f t="shared" si="88"/>
        <v>0</v>
      </c>
      <c r="AD289" s="624">
        <f t="shared" si="88"/>
        <v>0</v>
      </c>
      <c r="AE289" s="624">
        <f t="shared" si="88"/>
        <v>0</v>
      </c>
      <c r="AF289" s="404">
        <f>381+609</f>
        <v>990</v>
      </c>
      <c r="AG289" s="471">
        <f>9.9/3.281</f>
        <v>3.0173727522096923</v>
      </c>
      <c r="AH289" s="873">
        <f>1.25+9+3</f>
        <v>13.25</v>
      </c>
      <c r="AI289" s="471"/>
      <c r="AJ289" s="471"/>
      <c r="AM289" s="404"/>
      <c r="AP289" s="404"/>
      <c r="AQ289" s="404"/>
    </row>
    <row r="290" spans="1:43" s="390" customFormat="1" ht="22.25" customHeight="1">
      <c r="A290" s="454"/>
      <c r="B290" s="660" t="str">
        <f>$B$87</f>
        <v>PC1 (10"x10")</v>
      </c>
      <c r="C290" s="662"/>
      <c r="D290" s="662"/>
      <c r="E290" s="662">
        <f>$E$87</f>
        <v>10</v>
      </c>
      <c r="F290" s="498">
        <v>0.83</v>
      </c>
      <c r="G290" s="642">
        <v>0.83</v>
      </c>
      <c r="H290" s="642">
        <v>5</v>
      </c>
      <c r="I290" s="501"/>
      <c r="J290" s="507">
        <f>IF(I290=0,1,I290)*IF(H290=0,1,H290)*IF(G290=0,1,G290)*IF(F290=0,1,F290)*IF(E290=0,1,E290)*IF(D290=0,1,D290)*IF(C290=0,1,C290)</f>
        <v>34.444999999999993</v>
      </c>
      <c r="K290" s="455"/>
      <c r="L290" s="312"/>
      <c r="M290" s="726"/>
      <c r="N290" s="726"/>
      <c r="O290" s="726"/>
      <c r="P290" s="726"/>
      <c r="Q290" s="611"/>
      <c r="R290" s="611"/>
      <c r="S290" s="624"/>
      <c r="T290" s="625"/>
      <c r="U290" s="626"/>
      <c r="V290" s="624"/>
      <c r="W290" s="624"/>
      <c r="X290" s="624"/>
      <c r="Y290" s="624"/>
      <c r="Z290" s="624"/>
      <c r="AA290" s="624"/>
      <c r="AB290" s="624"/>
      <c r="AC290" s="624"/>
      <c r="AD290" s="624"/>
      <c r="AE290" s="624"/>
      <c r="AF290" s="404"/>
      <c r="AG290" s="471"/>
      <c r="AH290" s="874"/>
      <c r="AI290" s="471"/>
      <c r="AJ290" s="471"/>
      <c r="AM290" s="404"/>
      <c r="AP290" s="404"/>
      <c r="AQ290" s="404"/>
    </row>
    <row r="291" spans="1:43" s="390" customFormat="1" ht="22.25" customHeight="1">
      <c r="A291" s="454"/>
      <c r="B291" s="660" t="str">
        <f>$B$88</f>
        <v>PC2 (10"x10")</v>
      </c>
      <c r="C291" s="662"/>
      <c r="D291" s="662"/>
      <c r="E291" s="662">
        <f>$E$88</f>
        <v>4</v>
      </c>
      <c r="F291" s="498">
        <v>0.83</v>
      </c>
      <c r="G291" s="642">
        <v>0.83</v>
      </c>
      <c r="H291" s="642">
        <v>10</v>
      </c>
      <c r="I291" s="501"/>
      <c r="J291" s="507">
        <f>IF(I291=0,1,I291)*IF(H291=0,1,H291)*IF(G291=0,1,G291)*IF(F291=0,1,F291)*IF(E291=0,1,E291)*IF(D291=0,1,D291)*IF(C291=0,1,C291)</f>
        <v>27.555999999999994</v>
      </c>
      <c r="K291" s="455"/>
      <c r="L291" s="312"/>
      <c r="M291" s="726"/>
      <c r="N291" s="726"/>
      <c r="O291" s="726"/>
      <c r="P291" s="726"/>
      <c r="Q291" s="611"/>
      <c r="R291" s="611"/>
      <c r="S291" s="624"/>
      <c r="T291" s="625"/>
      <c r="U291" s="626"/>
      <c r="V291" s="624"/>
      <c r="W291" s="624"/>
      <c r="X291" s="624"/>
      <c r="Y291" s="624"/>
      <c r="Z291" s="624"/>
      <c r="AA291" s="624"/>
      <c r="AB291" s="624"/>
      <c r="AC291" s="624"/>
      <c r="AD291" s="624"/>
      <c r="AE291" s="624"/>
      <c r="AF291" s="404"/>
      <c r="AG291" s="471"/>
      <c r="AH291" s="874"/>
      <c r="AI291" s="471"/>
      <c r="AJ291" s="471"/>
      <c r="AM291" s="404"/>
      <c r="AP291" s="404"/>
      <c r="AQ291" s="404"/>
    </row>
    <row r="292" spans="1:43" s="390" customFormat="1" ht="26.25" customHeight="1">
      <c r="A292" s="454"/>
      <c r="B292" s="660"/>
      <c r="C292" s="662"/>
      <c r="D292" s="662"/>
      <c r="E292" s="662"/>
      <c r="F292" s="498"/>
      <c r="G292" s="642"/>
      <c r="H292" s="642"/>
      <c r="I292" s="458" t="str">
        <f>B288</f>
        <v>Ground Floor Column</v>
      </c>
      <c r="J292" s="455"/>
      <c r="K292" s="455">
        <f>SUM(J288:J292)</f>
        <v>267.98209999999995</v>
      </c>
      <c r="L292" s="312" t="s">
        <v>301</v>
      </c>
      <c r="M292" s="726"/>
      <c r="N292" s="726">
        <f>SUM(M289:M289)</f>
        <v>15.8447</v>
      </c>
      <c r="O292" s="726"/>
      <c r="P292" s="726"/>
      <c r="Q292" s="611"/>
      <c r="R292" s="611"/>
      <c r="S292" s="611"/>
      <c r="T292" s="626"/>
      <c r="U292" s="624"/>
      <c r="V292" s="624"/>
      <c r="W292" s="624">
        <f t="shared" ref="W292:AE307" si="90">IF($R292=W$5,$V292,0)</f>
        <v>0</v>
      </c>
      <c r="X292" s="624">
        <f t="shared" si="90"/>
        <v>0</v>
      </c>
      <c r="Y292" s="624">
        <f t="shared" si="90"/>
        <v>0</v>
      </c>
      <c r="Z292" s="624">
        <f t="shared" si="90"/>
        <v>0</v>
      </c>
      <c r="AA292" s="624">
        <f t="shared" si="90"/>
        <v>0</v>
      </c>
      <c r="AB292" s="624">
        <f t="shared" si="90"/>
        <v>0</v>
      </c>
      <c r="AC292" s="624">
        <f t="shared" si="90"/>
        <v>0</v>
      </c>
      <c r="AD292" s="624">
        <f t="shared" si="90"/>
        <v>0</v>
      </c>
      <c r="AE292" s="624">
        <f t="shared" si="90"/>
        <v>0</v>
      </c>
      <c r="AF292" s="404"/>
      <c r="AG292" s="471"/>
      <c r="AH292" s="471"/>
      <c r="AI292" s="471"/>
      <c r="AJ292" s="471"/>
      <c r="AM292" s="404"/>
      <c r="AP292" s="404"/>
      <c r="AQ292" s="404"/>
    </row>
    <row r="293" spans="1:43" s="390" customFormat="1" ht="21.9" customHeight="1">
      <c r="A293" s="454"/>
      <c r="B293" s="659" t="s">
        <v>405</v>
      </c>
      <c r="C293" s="662"/>
      <c r="D293" s="662"/>
      <c r="E293" s="662"/>
      <c r="F293" s="498"/>
      <c r="G293" s="642"/>
      <c r="H293" s="648"/>
      <c r="I293" s="501"/>
      <c r="J293" s="455"/>
      <c r="K293" s="455"/>
      <c r="L293" s="312"/>
      <c r="M293" s="726"/>
      <c r="N293" s="726"/>
      <c r="O293" s="726"/>
      <c r="P293" s="726"/>
      <c r="Q293" s="875"/>
      <c r="R293" s="875"/>
      <c r="S293" s="624"/>
      <c r="T293" s="876"/>
      <c r="U293" s="877"/>
      <c r="V293" s="624"/>
      <c r="W293" s="624">
        <f t="shared" si="90"/>
        <v>0</v>
      </c>
      <c r="X293" s="624">
        <f t="shared" si="90"/>
        <v>0</v>
      </c>
      <c r="Y293" s="624">
        <f t="shared" si="90"/>
        <v>0</v>
      </c>
      <c r="Z293" s="624">
        <f t="shared" si="90"/>
        <v>0</v>
      </c>
      <c r="AA293" s="624">
        <f t="shared" si="90"/>
        <v>0</v>
      </c>
      <c r="AB293" s="624">
        <f t="shared" si="90"/>
        <v>0</v>
      </c>
      <c r="AC293" s="624">
        <f t="shared" si="90"/>
        <v>0</v>
      </c>
      <c r="AD293" s="624">
        <f t="shared" si="90"/>
        <v>0</v>
      </c>
      <c r="AE293" s="624">
        <f t="shared" si="90"/>
        <v>0</v>
      </c>
      <c r="AF293" s="404"/>
      <c r="AG293" s="471"/>
      <c r="AH293" s="471"/>
      <c r="AI293" s="471"/>
      <c r="AJ293" s="471"/>
      <c r="AM293" s="404"/>
      <c r="AP293" s="404"/>
      <c r="AQ293" s="404"/>
    </row>
    <row r="294" spans="1:43" s="390" customFormat="1" ht="21.9" customHeight="1">
      <c r="A294" s="454"/>
      <c r="B294" s="659" t="s">
        <v>742</v>
      </c>
      <c r="C294" s="662"/>
      <c r="D294" s="662"/>
      <c r="E294" s="662"/>
      <c r="F294" s="498"/>
      <c r="G294" s="642"/>
      <c r="H294" s="647"/>
      <c r="I294" s="499"/>
      <c r="J294" s="455"/>
      <c r="K294" s="455"/>
      <c r="L294" s="312"/>
      <c r="M294" s="726"/>
      <c r="N294" s="726"/>
      <c r="O294" s="726"/>
      <c r="P294" s="726"/>
      <c r="Q294" s="611"/>
      <c r="R294" s="611"/>
      <c r="S294" s="624"/>
      <c r="T294" s="625"/>
      <c r="U294" s="626"/>
      <c r="V294" s="624"/>
      <c r="W294" s="624">
        <f t="shared" si="90"/>
        <v>0</v>
      </c>
      <c r="X294" s="624">
        <f t="shared" si="90"/>
        <v>0</v>
      </c>
      <c r="Y294" s="624">
        <f t="shared" si="90"/>
        <v>0</v>
      </c>
      <c r="Z294" s="624">
        <f t="shared" si="90"/>
        <v>0</v>
      </c>
      <c r="AA294" s="624">
        <f t="shared" si="90"/>
        <v>0</v>
      </c>
      <c r="AB294" s="624">
        <f t="shared" si="90"/>
        <v>0</v>
      </c>
      <c r="AC294" s="624">
        <f t="shared" si="90"/>
        <v>0</v>
      </c>
      <c r="AD294" s="624">
        <f t="shared" si="90"/>
        <v>0</v>
      </c>
      <c r="AE294" s="624">
        <f t="shared" si="90"/>
        <v>0</v>
      </c>
      <c r="AF294" s="404"/>
      <c r="AG294" s="471"/>
      <c r="AH294" s="471"/>
      <c r="AI294" s="471"/>
      <c r="AJ294" s="471"/>
      <c r="AM294" s="404"/>
      <c r="AP294" s="404"/>
      <c r="AQ294" s="404"/>
    </row>
    <row r="295" spans="1:43" s="390" customFormat="1" ht="22.25" customHeight="1">
      <c r="A295" s="454"/>
      <c r="B295" s="657" t="s">
        <v>693</v>
      </c>
      <c r="C295" s="662"/>
      <c r="D295" s="662"/>
      <c r="E295" s="662">
        <v>3</v>
      </c>
      <c r="F295" s="498">
        <v>6</v>
      </c>
      <c r="G295" s="642">
        <v>0.83</v>
      </c>
      <c r="H295" s="642">
        <v>0.83</v>
      </c>
      <c r="I295" s="499"/>
      <c r="J295" s="507">
        <f t="shared" ref="J295:J301" si="91">IF(I295=0,1,I295)*IF(H295=0,1,H295)*IF(G295=0,1,G295)*IF(F295=0,1,F295)*IF(E295=0,1,E295)*IF(D295=0,1,D295)*IF(C295=0,1,C295)</f>
        <v>12.4002</v>
      </c>
      <c r="K295" s="455"/>
      <c r="L295" s="312"/>
      <c r="M295" s="722"/>
      <c r="N295" s="722"/>
      <c r="O295" s="722"/>
      <c r="P295" s="722"/>
      <c r="Q295" s="611"/>
      <c r="R295" s="611"/>
      <c r="S295" s="624"/>
      <c r="T295" s="625"/>
      <c r="U295" s="626"/>
      <c r="V295" s="624"/>
      <c r="W295" s="624">
        <f>IF($R295=W$5,$V295,0)</f>
        <v>0</v>
      </c>
      <c r="X295" s="624">
        <f t="shared" si="90"/>
        <v>0</v>
      </c>
      <c r="Y295" s="624">
        <f t="shared" si="90"/>
        <v>0</v>
      </c>
      <c r="Z295" s="624">
        <f t="shared" si="90"/>
        <v>0</v>
      </c>
      <c r="AA295" s="624">
        <f t="shared" si="90"/>
        <v>0</v>
      </c>
      <c r="AB295" s="624">
        <f t="shared" si="90"/>
        <v>0</v>
      </c>
      <c r="AC295" s="624">
        <f t="shared" si="90"/>
        <v>0</v>
      </c>
      <c r="AD295" s="624">
        <f t="shared" si="90"/>
        <v>0</v>
      </c>
      <c r="AE295" s="624">
        <f t="shared" si="90"/>
        <v>0</v>
      </c>
      <c r="AF295" s="471"/>
      <c r="AG295" s="473"/>
      <c r="AH295" s="471"/>
      <c r="AI295" s="471"/>
      <c r="AJ295" s="471"/>
      <c r="AM295" s="404"/>
      <c r="AP295" s="404"/>
      <c r="AQ295" s="404"/>
    </row>
    <row r="296" spans="1:43" s="390" customFormat="1" ht="22.25" customHeight="1">
      <c r="A296" s="454"/>
      <c r="B296" s="657" t="s">
        <v>743</v>
      </c>
      <c r="C296" s="662"/>
      <c r="D296" s="662"/>
      <c r="E296" s="662">
        <v>2</v>
      </c>
      <c r="F296" s="498">
        <f>5-0.83</f>
        <v>4.17</v>
      </c>
      <c r="G296" s="642">
        <f t="shared" ref="G296:G301" si="92">G295</f>
        <v>0.83</v>
      </c>
      <c r="H296" s="642">
        <f t="shared" ref="H296:H301" si="93">H295</f>
        <v>0.83</v>
      </c>
      <c r="I296" s="499"/>
      <c r="J296" s="507">
        <f t="shared" si="91"/>
        <v>5.7454259999999993</v>
      </c>
      <c r="K296" s="455"/>
      <c r="L296" s="312"/>
      <c r="M296" s="722"/>
      <c r="N296" s="722"/>
      <c r="O296" s="722"/>
      <c r="P296" s="722"/>
      <c r="Q296" s="611"/>
      <c r="R296" s="611"/>
      <c r="S296" s="624"/>
      <c r="T296" s="625"/>
      <c r="U296" s="626"/>
      <c r="V296" s="624"/>
      <c r="W296" s="624">
        <f>IF($R296=W$5,$V296,0)</f>
        <v>0</v>
      </c>
      <c r="X296" s="624">
        <f t="shared" si="90"/>
        <v>0</v>
      </c>
      <c r="Y296" s="624">
        <f t="shared" si="90"/>
        <v>0</v>
      </c>
      <c r="Z296" s="624">
        <f t="shared" si="90"/>
        <v>0</v>
      </c>
      <c r="AA296" s="624">
        <f t="shared" si="90"/>
        <v>0</v>
      </c>
      <c r="AB296" s="624">
        <f t="shared" si="90"/>
        <v>0</v>
      </c>
      <c r="AC296" s="624">
        <f t="shared" si="90"/>
        <v>0</v>
      </c>
      <c r="AD296" s="624">
        <f t="shared" si="90"/>
        <v>0</v>
      </c>
      <c r="AE296" s="624">
        <f t="shared" si="90"/>
        <v>0</v>
      </c>
      <c r="AF296" s="471"/>
      <c r="AG296" s="473"/>
      <c r="AH296" s="471"/>
      <c r="AI296" s="471"/>
      <c r="AJ296" s="471"/>
      <c r="AM296" s="404"/>
      <c r="AP296" s="404"/>
      <c r="AQ296" s="404"/>
    </row>
    <row r="297" spans="1:43" s="390" customFormat="1" ht="22.25" customHeight="1">
      <c r="A297" s="454"/>
      <c r="B297" s="657" t="s">
        <v>734</v>
      </c>
      <c r="C297" s="662"/>
      <c r="D297" s="662"/>
      <c r="E297" s="662">
        <v>1</v>
      </c>
      <c r="F297" s="498">
        <f>9.5-2*0.83</f>
        <v>7.84</v>
      </c>
      <c r="G297" s="642">
        <f t="shared" si="92"/>
        <v>0.83</v>
      </c>
      <c r="H297" s="642">
        <f t="shared" si="93"/>
        <v>0.83</v>
      </c>
      <c r="I297" s="499"/>
      <c r="J297" s="507">
        <f t="shared" si="91"/>
        <v>5.400976</v>
      </c>
      <c r="K297" s="455"/>
      <c r="L297" s="312"/>
      <c r="M297" s="722"/>
      <c r="N297" s="722"/>
      <c r="O297" s="722"/>
      <c r="P297" s="722"/>
      <c r="Q297" s="611"/>
      <c r="R297" s="611"/>
      <c r="S297" s="624"/>
      <c r="T297" s="625"/>
      <c r="U297" s="626"/>
      <c r="V297" s="624"/>
      <c r="W297" s="624">
        <f>IF($R297=W$5,$V297,0)</f>
        <v>0</v>
      </c>
      <c r="X297" s="624">
        <f t="shared" si="90"/>
        <v>0</v>
      </c>
      <c r="Y297" s="624">
        <f t="shared" si="90"/>
        <v>0</v>
      </c>
      <c r="Z297" s="624">
        <f t="shared" si="90"/>
        <v>0</v>
      </c>
      <c r="AA297" s="624">
        <f t="shared" si="90"/>
        <v>0</v>
      </c>
      <c r="AB297" s="624">
        <f t="shared" si="90"/>
        <v>0</v>
      </c>
      <c r="AC297" s="624">
        <f t="shared" si="90"/>
        <v>0</v>
      </c>
      <c r="AD297" s="624">
        <f t="shared" si="90"/>
        <v>0</v>
      </c>
      <c r="AE297" s="624">
        <f t="shared" si="90"/>
        <v>0</v>
      </c>
      <c r="AF297" s="471"/>
      <c r="AG297" s="473"/>
      <c r="AH297" s="471"/>
      <c r="AI297" s="471"/>
      <c r="AJ297" s="471"/>
      <c r="AM297" s="404"/>
      <c r="AP297" s="404"/>
      <c r="AQ297" s="404"/>
    </row>
    <row r="298" spans="1:43" s="390" customFormat="1" ht="22.25" customHeight="1">
      <c r="A298" s="454"/>
      <c r="B298" s="657" t="s">
        <v>555</v>
      </c>
      <c r="C298" s="662"/>
      <c r="D298" s="662"/>
      <c r="E298" s="662">
        <v>2</v>
      </c>
      <c r="F298" s="498">
        <f>7.83-0.5*0.83-0.5*1</f>
        <v>6.915</v>
      </c>
      <c r="G298" s="642">
        <f t="shared" si="92"/>
        <v>0.83</v>
      </c>
      <c r="H298" s="642">
        <f t="shared" si="93"/>
        <v>0.83</v>
      </c>
      <c r="I298" s="499"/>
      <c r="J298" s="507">
        <f t="shared" si="91"/>
        <v>9.5274869999999989</v>
      </c>
      <c r="K298" s="455"/>
      <c r="L298" s="312"/>
      <c r="M298" s="722"/>
      <c r="N298" s="722"/>
      <c r="O298" s="722"/>
      <c r="P298" s="722"/>
      <c r="Q298" s="611"/>
      <c r="R298" s="611"/>
      <c r="S298" s="624"/>
      <c r="T298" s="625"/>
      <c r="U298" s="626"/>
      <c r="V298" s="624"/>
      <c r="W298" s="624"/>
      <c r="X298" s="624"/>
      <c r="Y298" s="624"/>
      <c r="Z298" s="624"/>
      <c r="AA298" s="624"/>
      <c r="AB298" s="624"/>
      <c r="AC298" s="624"/>
      <c r="AD298" s="624"/>
      <c r="AE298" s="624"/>
      <c r="AF298" s="471"/>
      <c r="AG298" s="473"/>
      <c r="AH298" s="471"/>
      <c r="AI298" s="471"/>
      <c r="AJ298" s="471"/>
      <c r="AM298" s="404"/>
      <c r="AP298" s="404"/>
      <c r="AQ298" s="404"/>
    </row>
    <row r="299" spans="1:43" s="390" customFormat="1" ht="22.25" customHeight="1">
      <c r="A299" s="454"/>
      <c r="B299" s="657" t="s">
        <v>745</v>
      </c>
      <c r="C299" s="662"/>
      <c r="D299" s="662"/>
      <c r="E299" s="662">
        <v>2</v>
      </c>
      <c r="F299" s="498">
        <f>5-0.83</f>
        <v>4.17</v>
      </c>
      <c r="G299" s="642">
        <f t="shared" si="92"/>
        <v>0.83</v>
      </c>
      <c r="H299" s="642">
        <f t="shared" si="93"/>
        <v>0.83</v>
      </c>
      <c r="I299" s="499"/>
      <c r="J299" s="507">
        <f t="shared" si="91"/>
        <v>5.7454259999999993</v>
      </c>
      <c r="K299" s="455"/>
      <c r="L299" s="312"/>
      <c r="M299" s="722"/>
      <c r="N299" s="722"/>
      <c r="O299" s="722"/>
      <c r="P299" s="722"/>
      <c r="Q299" s="611"/>
      <c r="R299" s="611"/>
      <c r="S299" s="624"/>
      <c r="T299" s="625"/>
      <c r="U299" s="626"/>
      <c r="V299" s="624"/>
      <c r="W299" s="624"/>
      <c r="X299" s="624"/>
      <c r="Y299" s="624"/>
      <c r="Z299" s="624"/>
      <c r="AA299" s="624"/>
      <c r="AB299" s="624"/>
      <c r="AC299" s="624"/>
      <c r="AD299" s="624"/>
      <c r="AE299" s="624"/>
      <c r="AF299" s="471"/>
      <c r="AG299" s="473"/>
      <c r="AH299" s="471"/>
      <c r="AI299" s="471"/>
      <c r="AJ299" s="471"/>
      <c r="AM299" s="404"/>
      <c r="AP299" s="404"/>
      <c r="AQ299" s="404"/>
    </row>
    <row r="300" spans="1:43" s="390" customFormat="1" ht="22.25" customHeight="1">
      <c r="A300" s="454"/>
      <c r="B300" s="657" t="s">
        <v>608</v>
      </c>
      <c r="C300" s="662"/>
      <c r="D300" s="662"/>
      <c r="E300" s="662">
        <v>1</v>
      </c>
      <c r="F300" s="498">
        <f>5-0.83</f>
        <v>4.17</v>
      </c>
      <c r="G300" s="642">
        <f t="shared" si="92"/>
        <v>0.83</v>
      </c>
      <c r="H300" s="642">
        <f t="shared" si="93"/>
        <v>0.83</v>
      </c>
      <c r="I300" s="499"/>
      <c r="J300" s="507">
        <f t="shared" si="91"/>
        <v>2.8727129999999996</v>
      </c>
      <c r="K300" s="455"/>
      <c r="L300" s="312"/>
      <c r="M300" s="722"/>
      <c r="N300" s="722"/>
      <c r="O300" s="722"/>
      <c r="P300" s="722"/>
      <c r="Q300" s="611"/>
      <c r="R300" s="611"/>
      <c r="S300" s="624"/>
      <c r="T300" s="625"/>
      <c r="U300" s="626"/>
      <c r="V300" s="624"/>
      <c r="W300" s="624"/>
      <c r="X300" s="624"/>
      <c r="Y300" s="624"/>
      <c r="Z300" s="624"/>
      <c r="AA300" s="624"/>
      <c r="AB300" s="624"/>
      <c r="AC300" s="624"/>
      <c r="AD300" s="624"/>
      <c r="AE300" s="624"/>
      <c r="AF300" s="471"/>
      <c r="AG300" s="473"/>
      <c r="AH300" s="471"/>
      <c r="AI300" s="471"/>
      <c r="AJ300" s="471"/>
      <c r="AM300" s="404"/>
      <c r="AP300" s="404"/>
      <c r="AQ300" s="404"/>
    </row>
    <row r="301" spans="1:43" s="390" customFormat="1" ht="22.25" customHeight="1">
      <c r="A301" s="454"/>
      <c r="B301" s="657" t="s">
        <v>540</v>
      </c>
      <c r="C301" s="662"/>
      <c r="D301" s="662"/>
      <c r="E301" s="662">
        <v>1</v>
      </c>
      <c r="F301" s="498">
        <f>15-2*0.83</f>
        <v>13.34</v>
      </c>
      <c r="G301" s="642">
        <f t="shared" si="92"/>
        <v>0.83</v>
      </c>
      <c r="H301" s="642">
        <f t="shared" si="93"/>
        <v>0.83</v>
      </c>
      <c r="I301" s="499"/>
      <c r="J301" s="507">
        <f t="shared" si="91"/>
        <v>9.1899259999999998</v>
      </c>
      <c r="K301" s="455"/>
      <c r="L301" s="312"/>
      <c r="M301" s="722"/>
      <c r="N301" s="722"/>
      <c r="O301" s="722"/>
      <c r="P301" s="722"/>
      <c r="Q301" s="611"/>
      <c r="R301" s="611"/>
      <c r="S301" s="624"/>
      <c r="T301" s="625"/>
      <c r="U301" s="626"/>
      <c r="V301" s="624"/>
      <c r="W301" s="624"/>
      <c r="X301" s="624"/>
      <c r="Y301" s="624"/>
      <c r="Z301" s="624"/>
      <c r="AA301" s="624"/>
      <c r="AB301" s="624"/>
      <c r="AC301" s="624"/>
      <c r="AD301" s="624"/>
      <c r="AE301" s="624"/>
      <c r="AF301" s="471"/>
      <c r="AG301" s="473"/>
      <c r="AH301" s="471"/>
      <c r="AI301" s="471"/>
      <c r="AJ301" s="471"/>
      <c r="AM301" s="404"/>
      <c r="AP301" s="404"/>
      <c r="AQ301" s="404"/>
    </row>
    <row r="302" spans="1:43" s="390" customFormat="1" ht="21.9" customHeight="1">
      <c r="A302" s="454"/>
      <c r="B302" s="659" t="s">
        <v>744</v>
      </c>
      <c r="C302" s="662"/>
      <c r="D302" s="662"/>
      <c r="E302" s="662"/>
      <c r="F302" s="498"/>
      <c r="G302" s="642"/>
      <c r="H302" s="647"/>
      <c r="I302" s="499"/>
      <c r="J302" s="455"/>
      <c r="K302" s="455"/>
      <c r="L302" s="312"/>
      <c r="M302" s="726"/>
      <c r="N302" s="726"/>
      <c r="O302" s="726"/>
      <c r="P302" s="726"/>
      <c r="Q302" s="611"/>
      <c r="R302" s="611"/>
      <c r="S302" s="624"/>
      <c r="T302" s="625"/>
      <c r="U302" s="626"/>
      <c r="V302" s="624"/>
      <c r="W302" s="624">
        <f t="shared" si="90"/>
        <v>0</v>
      </c>
      <c r="X302" s="624">
        <f t="shared" si="90"/>
        <v>0</v>
      </c>
      <c r="Y302" s="624">
        <f t="shared" si="90"/>
        <v>0</v>
      </c>
      <c r="Z302" s="624">
        <f t="shared" si="90"/>
        <v>0</v>
      </c>
      <c r="AA302" s="624">
        <f t="shared" si="90"/>
        <v>0</v>
      </c>
      <c r="AB302" s="624">
        <f t="shared" si="90"/>
        <v>0</v>
      </c>
      <c r="AC302" s="624">
        <f t="shared" si="90"/>
        <v>0</v>
      </c>
      <c r="AD302" s="624">
        <f t="shared" si="90"/>
        <v>0</v>
      </c>
      <c r="AE302" s="624">
        <f t="shared" si="90"/>
        <v>0</v>
      </c>
      <c r="AF302" s="404"/>
      <c r="AG302" s="471"/>
      <c r="AH302" s="471"/>
      <c r="AI302" s="471"/>
      <c r="AJ302" s="471"/>
      <c r="AM302" s="404"/>
      <c r="AP302" s="404"/>
      <c r="AQ302" s="404"/>
    </row>
    <row r="303" spans="1:43" s="390" customFormat="1" ht="22.25" customHeight="1">
      <c r="A303" s="454"/>
      <c r="B303" s="657" t="s">
        <v>305</v>
      </c>
      <c r="C303" s="662"/>
      <c r="D303" s="662"/>
      <c r="E303" s="662">
        <v>2</v>
      </c>
      <c r="F303" s="498">
        <f>14.5-2*0.83</f>
        <v>12.84</v>
      </c>
      <c r="G303" s="642">
        <v>0.83</v>
      </c>
      <c r="H303" s="642">
        <v>1</v>
      </c>
      <c r="I303" s="499"/>
      <c r="J303" s="507">
        <f>IF(I303=0,1,I303)*IF(H303=0,1,H303)*IF(G303=0,1,G303)*IF(F303=0,1,F303)*IF(E303=0,1,E303)*IF(D303=0,1,D303)*IF(C303=0,1,C303)</f>
        <v>21.314399999999999</v>
      </c>
      <c r="K303" s="455"/>
      <c r="L303" s="312"/>
      <c r="M303" s="722"/>
      <c r="N303" s="722"/>
      <c r="O303" s="722"/>
      <c r="P303" s="722"/>
      <c r="Q303" s="611"/>
      <c r="R303" s="611"/>
      <c r="S303" s="611"/>
      <c r="T303" s="611"/>
      <c r="U303" s="611"/>
      <c r="V303" s="624"/>
      <c r="W303" s="624">
        <f t="shared" si="90"/>
        <v>0</v>
      </c>
      <c r="X303" s="624">
        <f t="shared" si="90"/>
        <v>0</v>
      </c>
      <c r="Y303" s="624">
        <f t="shared" si="90"/>
        <v>0</v>
      </c>
      <c r="Z303" s="624">
        <f t="shared" si="90"/>
        <v>0</v>
      </c>
      <c r="AA303" s="624">
        <f t="shared" si="90"/>
        <v>0</v>
      </c>
      <c r="AB303" s="624">
        <f t="shared" si="90"/>
        <v>0</v>
      </c>
      <c r="AC303" s="624">
        <f t="shared" si="90"/>
        <v>0</v>
      </c>
      <c r="AD303" s="624">
        <f t="shared" si="90"/>
        <v>0</v>
      </c>
      <c r="AE303" s="624">
        <f t="shared" si="90"/>
        <v>0</v>
      </c>
      <c r="AF303" s="471">
        <f>14*0.75*1*2</f>
        <v>21</v>
      </c>
      <c r="AG303" s="473"/>
      <c r="AH303" s="471"/>
      <c r="AI303" s="471"/>
      <c r="AJ303" s="471"/>
      <c r="AM303" s="404"/>
      <c r="AP303" s="404"/>
      <c r="AQ303" s="404"/>
    </row>
    <row r="304" spans="1:43" s="390" customFormat="1" ht="22.25" customHeight="1">
      <c r="A304" s="454"/>
      <c r="B304" s="657" t="s">
        <v>733</v>
      </c>
      <c r="C304" s="662"/>
      <c r="D304" s="662"/>
      <c r="E304" s="662">
        <v>1</v>
      </c>
      <c r="F304" s="498">
        <f>14.5-2*0.83</f>
        <v>12.84</v>
      </c>
      <c r="G304" s="642">
        <f t="shared" ref="G304:H306" si="94">G303</f>
        <v>0.83</v>
      </c>
      <c r="H304" s="642">
        <f t="shared" si="94"/>
        <v>1</v>
      </c>
      <c r="I304" s="499"/>
      <c r="J304" s="507">
        <f>IF(I304=0,1,I304)*IF(H304=0,1,H304)*IF(G304=0,1,G304)*IF(F304=0,1,F304)*IF(E304=0,1,E304)*IF(D304=0,1,D304)*IF(C304=0,1,C304)</f>
        <v>10.6572</v>
      </c>
      <c r="K304" s="455"/>
      <c r="L304" s="312"/>
      <c r="M304" s="722"/>
      <c r="N304" s="722"/>
      <c r="O304" s="722"/>
      <c r="P304" s="722"/>
      <c r="Q304" s="611"/>
      <c r="R304" s="611"/>
      <c r="S304" s="611"/>
      <c r="T304" s="611"/>
      <c r="U304" s="611"/>
      <c r="V304" s="624"/>
      <c r="W304" s="624">
        <f t="shared" si="90"/>
        <v>0</v>
      </c>
      <c r="X304" s="624">
        <f t="shared" si="90"/>
        <v>0</v>
      </c>
      <c r="Y304" s="624">
        <f t="shared" si="90"/>
        <v>0</v>
      </c>
      <c r="Z304" s="624">
        <f t="shared" si="90"/>
        <v>0</v>
      </c>
      <c r="AA304" s="624">
        <f t="shared" si="90"/>
        <v>0</v>
      </c>
      <c r="AB304" s="624">
        <f t="shared" si="90"/>
        <v>0</v>
      </c>
      <c r="AC304" s="624">
        <f t="shared" si="90"/>
        <v>0</v>
      </c>
      <c r="AD304" s="624">
        <f t="shared" si="90"/>
        <v>0</v>
      </c>
      <c r="AE304" s="624">
        <f t="shared" si="90"/>
        <v>0</v>
      </c>
      <c r="AF304" s="471">
        <f>14*0.75*1*2</f>
        <v>21</v>
      </c>
      <c r="AG304" s="473"/>
      <c r="AH304" s="471"/>
      <c r="AI304" s="471"/>
      <c r="AJ304" s="471"/>
      <c r="AM304" s="404"/>
      <c r="AP304" s="404"/>
      <c r="AQ304" s="404"/>
    </row>
    <row r="305" spans="1:43" s="390" customFormat="1" ht="22.25" customHeight="1">
      <c r="A305" s="454"/>
      <c r="B305" s="657" t="s">
        <v>539</v>
      </c>
      <c r="C305" s="662"/>
      <c r="D305" s="662"/>
      <c r="E305" s="662">
        <v>1</v>
      </c>
      <c r="F305" s="498">
        <f>15-0.83</f>
        <v>14.17</v>
      </c>
      <c r="G305" s="642">
        <f t="shared" si="94"/>
        <v>0.83</v>
      </c>
      <c r="H305" s="642">
        <f t="shared" si="94"/>
        <v>1</v>
      </c>
      <c r="I305" s="499"/>
      <c r="J305" s="507">
        <f>IF(I305=0,1,I305)*IF(H305=0,1,H305)*IF(G305=0,1,G305)*IF(F305=0,1,F305)*IF(E305=0,1,E305)*IF(D305=0,1,D305)*IF(C305=0,1,C305)</f>
        <v>11.761099999999999</v>
      </c>
      <c r="K305" s="455"/>
      <c r="L305" s="312"/>
      <c r="M305" s="722"/>
      <c r="N305" s="722"/>
      <c r="O305" s="722"/>
      <c r="P305" s="722"/>
      <c r="Q305" s="611"/>
      <c r="R305" s="611"/>
      <c r="S305" s="624"/>
      <c r="T305" s="625"/>
      <c r="U305" s="626"/>
      <c r="V305" s="624"/>
      <c r="W305" s="624">
        <f t="shared" si="90"/>
        <v>0</v>
      </c>
      <c r="X305" s="624">
        <f t="shared" si="90"/>
        <v>0</v>
      </c>
      <c r="Y305" s="624">
        <f t="shared" si="90"/>
        <v>0</v>
      </c>
      <c r="Z305" s="624">
        <f t="shared" si="90"/>
        <v>0</v>
      </c>
      <c r="AA305" s="624">
        <f t="shared" si="90"/>
        <v>0</v>
      </c>
      <c r="AB305" s="624">
        <f t="shared" si="90"/>
        <v>0</v>
      </c>
      <c r="AC305" s="624">
        <f t="shared" si="90"/>
        <v>0</v>
      </c>
      <c r="AD305" s="624">
        <f t="shared" si="90"/>
        <v>0</v>
      </c>
      <c r="AE305" s="624">
        <f t="shared" si="90"/>
        <v>0</v>
      </c>
      <c r="AF305" s="471"/>
      <c r="AG305" s="473"/>
      <c r="AH305" s="471"/>
      <c r="AI305" s="471"/>
      <c r="AJ305" s="471"/>
      <c r="AM305" s="404"/>
      <c r="AP305" s="404"/>
      <c r="AQ305" s="404"/>
    </row>
    <row r="306" spans="1:43" s="390" customFormat="1" ht="22.25" customHeight="1">
      <c r="A306" s="454"/>
      <c r="B306" s="657" t="s">
        <v>540</v>
      </c>
      <c r="C306" s="662"/>
      <c r="D306" s="662"/>
      <c r="E306" s="662">
        <v>1</v>
      </c>
      <c r="F306" s="498">
        <f>30-3*0.83</f>
        <v>27.51</v>
      </c>
      <c r="G306" s="642">
        <f t="shared" si="94"/>
        <v>0.83</v>
      </c>
      <c r="H306" s="642">
        <f t="shared" si="94"/>
        <v>1</v>
      </c>
      <c r="I306" s="499"/>
      <c r="J306" s="507">
        <f>IF(I306=0,1,I306)*IF(H306=0,1,H306)*IF(G306=0,1,G306)*IF(F306=0,1,F306)*IF(E306=0,1,E306)*IF(D306=0,1,D306)*IF(C306=0,1,C306)</f>
        <v>22.833300000000001</v>
      </c>
      <c r="K306" s="455"/>
      <c r="L306" s="312"/>
      <c r="M306" s="722"/>
      <c r="N306" s="722"/>
      <c r="O306" s="722"/>
      <c r="P306" s="722"/>
      <c r="Q306" s="611"/>
      <c r="R306" s="611"/>
      <c r="S306" s="624"/>
      <c r="T306" s="625"/>
      <c r="U306" s="626"/>
      <c r="V306" s="624"/>
      <c r="W306" s="624">
        <f t="shared" si="90"/>
        <v>0</v>
      </c>
      <c r="X306" s="624">
        <f t="shared" si="90"/>
        <v>0</v>
      </c>
      <c r="Y306" s="624">
        <f t="shared" si="90"/>
        <v>0</v>
      </c>
      <c r="Z306" s="624">
        <f t="shared" si="90"/>
        <v>0</v>
      </c>
      <c r="AA306" s="624">
        <f t="shared" si="90"/>
        <v>0</v>
      </c>
      <c r="AB306" s="624">
        <f t="shared" si="90"/>
        <v>0</v>
      </c>
      <c r="AC306" s="624">
        <f t="shared" si="90"/>
        <v>0</v>
      </c>
      <c r="AD306" s="624">
        <f t="shared" si="90"/>
        <v>0</v>
      </c>
      <c r="AE306" s="624">
        <f t="shared" si="90"/>
        <v>0</v>
      </c>
      <c r="AF306" s="471"/>
      <c r="AG306" s="473"/>
      <c r="AH306" s="471"/>
      <c r="AI306" s="471"/>
      <c r="AJ306" s="471"/>
      <c r="AM306" s="404"/>
      <c r="AP306" s="404"/>
      <c r="AQ306" s="404"/>
    </row>
    <row r="307" spans="1:43" s="476" customFormat="1" ht="21.9" customHeight="1">
      <c r="A307" s="478"/>
      <c r="B307" s="659" t="s">
        <v>746</v>
      </c>
      <c r="C307" s="665"/>
      <c r="D307" s="665"/>
      <c r="E307" s="665"/>
      <c r="F307" s="751"/>
      <c r="G307" s="752"/>
      <c r="H307" s="914"/>
      <c r="I307" s="753"/>
      <c r="J307" s="479"/>
      <c r="K307" s="479"/>
      <c r="L307" s="483"/>
      <c r="M307" s="764"/>
      <c r="N307" s="764"/>
      <c r="O307" s="764"/>
      <c r="P307" s="764"/>
      <c r="Q307" s="919"/>
      <c r="R307" s="919"/>
      <c r="S307" s="757"/>
      <c r="T307" s="920"/>
      <c r="U307" s="921"/>
      <c r="V307" s="757"/>
      <c r="W307" s="757">
        <f t="shared" si="90"/>
        <v>0</v>
      </c>
      <c r="X307" s="757">
        <f t="shared" si="90"/>
        <v>0</v>
      </c>
      <c r="Y307" s="757">
        <f t="shared" si="90"/>
        <v>0</v>
      </c>
      <c r="Z307" s="757">
        <f t="shared" si="90"/>
        <v>0</v>
      </c>
      <c r="AA307" s="757">
        <f t="shared" si="90"/>
        <v>0</v>
      </c>
      <c r="AB307" s="757">
        <f t="shared" si="90"/>
        <v>0</v>
      </c>
      <c r="AC307" s="757">
        <f t="shared" si="90"/>
        <v>0</v>
      </c>
      <c r="AD307" s="757">
        <f t="shared" si="90"/>
        <v>0</v>
      </c>
      <c r="AE307" s="757">
        <f t="shared" si="90"/>
        <v>0</v>
      </c>
      <c r="AF307" s="477"/>
      <c r="AG307" s="475"/>
      <c r="AH307" s="475"/>
      <c r="AI307" s="475"/>
      <c r="AJ307" s="475"/>
      <c r="AM307" s="477"/>
      <c r="AP307" s="477"/>
      <c r="AQ307" s="477"/>
    </row>
    <row r="308" spans="1:43" s="390" customFormat="1" ht="22.25" customHeight="1">
      <c r="A308" s="454"/>
      <c r="B308" s="657" t="s">
        <v>747</v>
      </c>
      <c r="C308" s="662"/>
      <c r="D308" s="662"/>
      <c r="E308" s="662">
        <v>3</v>
      </c>
      <c r="F308" s="498">
        <f>14.5-2*0.83</f>
        <v>12.84</v>
      </c>
      <c r="G308" s="642">
        <v>0.83</v>
      </c>
      <c r="H308" s="642">
        <v>1</v>
      </c>
      <c r="I308" s="499"/>
      <c r="J308" s="507">
        <f>IF(I308=0,1,I308)*IF(H308=0,1,H308)*IF(G308=0,1,G308)*IF(F308=0,1,F308)*IF(E308=0,1,E308)*IF(D308=0,1,D308)*IF(C308=0,1,C308)</f>
        <v>31.971599999999999</v>
      </c>
      <c r="K308" s="455"/>
      <c r="L308" s="312"/>
      <c r="M308" s="722"/>
      <c r="N308" s="722"/>
      <c r="O308" s="722"/>
      <c r="P308" s="722"/>
      <c r="Q308" s="611"/>
      <c r="R308" s="611"/>
      <c r="S308" s="624"/>
      <c r="T308" s="625"/>
      <c r="U308" s="626"/>
      <c r="V308" s="624"/>
      <c r="W308" s="624">
        <f>IF($R308=W$5,$V308,0)</f>
        <v>0</v>
      </c>
      <c r="X308" s="624">
        <f t="shared" ref="X308:AE321" si="95">IF($R308=X$5,$V308,0)</f>
        <v>0</v>
      </c>
      <c r="Y308" s="624">
        <f t="shared" si="95"/>
        <v>0</v>
      </c>
      <c r="Z308" s="624">
        <f t="shared" si="95"/>
        <v>0</v>
      </c>
      <c r="AA308" s="624">
        <f t="shared" si="95"/>
        <v>0</v>
      </c>
      <c r="AB308" s="624">
        <f t="shared" si="95"/>
        <v>0</v>
      </c>
      <c r="AC308" s="624">
        <f t="shared" si="95"/>
        <v>0</v>
      </c>
      <c r="AD308" s="624">
        <f t="shared" si="95"/>
        <v>0</v>
      </c>
      <c r="AE308" s="624">
        <f t="shared" si="95"/>
        <v>0</v>
      </c>
      <c r="AF308" s="471"/>
      <c r="AG308" s="473"/>
      <c r="AH308" s="471"/>
      <c r="AI308" s="471"/>
      <c r="AJ308" s="471"/>
      <c r="AM308" s="404"/>
      <c r="AP308" s="404"/>
      <c r="AQ308" s="404"/>
    </row>
    <row r="309" spans="1:43" s="390" customFormat="1" ht="22.25" customHeight="1">
      <c r="A309" s="454"/>
      <c r="B309" s="657" t="s">
        <v>559</v>
      </c>
      <c r="C309" s="662"/>
      <c r="D309" s="662"/>
      <c r="E309" s="662">
        <v>1</v>
      </c>
      <c r="F309" s="498">
        <f>5-0.83</f>
        <v>4.17</v>
      </c>
      <c r="G309" s="642">
        <f t="shared" ref="G309:H312" si="96">G308</f>
        <v>0.83</v>
      </c>
      <c r="H309" s="642">
        <f t="shared" si="96"/>
        <v>1</v>
      </c>
      <c r="I309" s="499"/>
      <c r="J309" s="507">
        <f>IF(I309=0,1,I309)*IF(H309=0,1,H309)*IF(G309=0,1,G309)*IF(F309=0,1,F309)*IF(E309=0,1,E309)*IF(D309=0,1,D309)*IF(C309=0,1,C309)</f>
        <v>3.4610999999999996</v>
      </c>
      <c r="K309" s="455"/>
      <c r="L309" s="312"/>
      <c r="M309" s="722"/>
      <c r="N309" s="722"/>
      <c r="O309" s="722"/>
      <c r="P309" s="722"/>
      <c r="Q309" s="611"/>
      <c r="R309" s="611"/>
      <c r="S309" s="624"/>
      <c r="T309" s="625"/>
      <c r="U309" s="626"/>
      <c r="V309" s="624"/>
      <c r="W309" s="624">
        <f>IF($R309=W$5,$V309,0)</f>
        <v>0</v>
      </c>
      <c r="X309" s="624">
        <f t="shared" si="95"/>
        <v>0</v>
      </c>
      <c r="Y309" s="624">
        <f t="shared" si="95"/>
        <v>0</v>
      </c>
      <c r="Z309" s="624">
        <f t="shared" si="95"/>
        <v>0</v>
      </c>
      <c r="AA309" s="624">
        <f t="shared" si="95"/>
        <v>0</v>
      </c>
      <c r="AB309" s="624">
        <f t="shared" si="95"/>
        <v>0</v>
      </c>
      <c r="AC309" s="624">
        <f t="shared" si="95"/>
        <v>0</v>
      </c>
      <c r="AD309" s="624">
        <f t="shared" si="95"/>
        <v>0</v>
      </c>
      <c r="AE309" s="624">
        <f t="shared" si="95"/>
        <v>0</v>
      </c>
      <c r="AF309" s="471"/>
      <c r="AG309" s="473"/>
      <c r="AH309" s="471"/>
      <c r="AI309" s="471"/>
      <c r="AJ309" s="471"/>
      <c r="AM309" s="404"/>
      <c r="AP309" s="404"/>
      <c r="AQ309" s="404"/>
    </row>
    <row r="310" spans="1:43" s="390" customFormat="1" ht="22.25" customHeight="1">
      <c r="A310" s="454"/>
      <c r="B310" s="657" t="s">
        <v>472</v>
      </c>
      <c r="C310" s="662"/>
      <c r="D310" s="662"/>
      <c r="E310" s="662">
        <v>1</v>
      </c>
      <c r="F310" s="498">
        <f>15-0.83</f>
        <v>14.17</v>
      </c>
      <c r="G310" s="642">
        <f t="shared" si="96"/>
        <v>0.83</v>
      </c>
      <c r="H310" s="642">
        <f t="shared" si="96"/>
        <v>1</v>
      </c>
      <c r="I310" s="499"/>
      <c r="J310" s="507">
        <f>IF(I310=0,1,I310)*IF(H310=0,1,H310)*IF(G310=0,1,G310)*IF(F310=0,1,F310)*IF(E310=0,1,E310)*IF(D310=0,1,D310)*IF(C310=0,1,C310)</f>
        <v>11.761099999999999</v>
      </c>
      <c r="K310" s="455"/>
      <c r="L310" s="312"/>
      <c r="M310" s="722"/>
      <c r="N310" s="722"/>
      <c r="O310" s="722"/>
      <c r="P310" s="722"/>
      <c r="Q310" s="611"/>
      <c r="R310" s="611"/>
      <c r="S310" s="611"/>
      <c r="T310" s="611"/>
      <c r="U310" s="611"/>
      <c r="V310" s="624"/>
      <c r="W310" s="624">
        <f t="shared" ref="W310:W321" si="97">IF($R310=W$5,$V310,0)</f>
        <v>0</v>
      </c>
      <c r="X310" s="624">
        <f t="shared" si="95"/>
        <v>0</v>
      </c>
      <c r="Y310" s="624">
        <f t="shared" si="95"/>
        <v>0</v>
      </c>
      <c r="Z310" s="624">
        <f t="shared" si="95"/>
        <v>0</v>
      </c>
      <c r="AA310" s="624">
        <f t="shared" si="95"/>
        <v>0</v>
      </c>
      <c r="AB310" s="624">
        <f t="shared" si="95"/>
        <v>0</v>
      </c>
      <c r="AC310" s="624">
        <f t="shared" si="95"/>
        <v>0</v>
      </c>
      <c r="AD310" s="624">
        <f t="shared" si="95"/>
        <v>0</v>
      </c>
      <c r="AE310" s="624">
        <f t="shared" si="95"/>
        <v>0</v>
      </c>
      <c r="AF310" s="471">
        <f>14*0.75*1*2</f>
        <v>21</v>
      </c>
      <c r="AG310" s="473"/>
      <c r="AH310" s="471"/>
      <c r="AI310" s="471"/>
      <c r="AJ310" s="471"/>
      <c r="AM310" s="404"/>
      <c r="AP310" s="404"/>
      <c r="AQ310" s="404"/>
    </row>
    <row r="311" spans="1:43" s="390" customFormat="1" ht="22.25" customHeight="1">
      <c r="A311" s="454"/>
      <c r="B311" s="657" t="s">
        <v>473</v>
      </c>
      <c r="C311" s="662"/>
      <c r="D311" s="662"/>
      <c r="E311" s="662">
        <v>1</v>
      </c>
      <c r="F311" s="498">
        <f>45+5-4*0.83-1*1</f>
        <v>45.68</v>
      </c>
      <c r="G311" s="642">
        <f t="shared" si="96"/>
        <v>0.83</v>
      </c>
      <c r="H311" s="642">
        <f t="shared" si="96"/>
        <v>1</v>
      </c>
      <c r="I311" s="499"/>
      <c r="J311" s="507">
        <f>IF(I311=0,1,I311)*IF(H311=0,1,H311)*IF(G311=0,1,G311)*IF(F311=0,1,F311)*IF(E311=0,1,E311)*IF(D311=0,1,D311)*IF(C311=0,1,C311)</f>
        <v>37.914400000000001</v>
      </c>
      <c r="K311" s="455"/>
      <c r="L311" s="312"/>
      <c r="M311" s="722"/>
      <c r="N311" s="722"/>
      <c r="O311" s="722"/>
      <c r="P311" s="722"/>
      <c r="Q311" s="611"/>
      <c r="R311" s="611"/>
      <c r="S311" s="611"/>
      <c r="T311" s="611"/>
      <c r="U311" s="611"/>
      <c r="V311" s="624"/>
      <c r="W311" s="624">
        <f t="shared" si="97"/>
        <v>0</v>
      </c>
      <c r="X311" s="624">
        <f t="shared" si="95"/>
        <v>0</v>
      </c>
      <c r="Y311" s="624">
        <f t="shared" si="95"/>
        <v>0</v>
      </c>
      <c r="Z311" s="624">
        <f t="shared" si="95"/>
        <v>0</v>
      </c>
      <c r="AA311" s="624">
        <f t="shared" si="95"/>
        <v>0</v>
      </c>
      <c r="AB311" s="624">
        <f t="shared" si="95"/>
        <v>0</v>
      </c>
      <c r="AC311" s="624">
        <f t="shared" si="95"/>
        <v>0</v>
      </c>
      <c r="AD311" s="624">
        <f t="shared" si="95"/>
        <v>0</v>
      </c>
      <c r="AE311" s="624">
        <f t="shared" si="95"/>
        <v>0</v>
      </c>
      <c r="AF311" s="471">
        <f>14*0.75*1*2</f>
        <v>21</v>
      </c>
      <c r="AG311" s="473"/>
      <c r="AH311" s="471"/>
      <c r="AI311" s="471"/>
      <c r="AJ311" s="471"/>
      <c r="AM311" s="404"/>
      <c r="AP311" s="404"/>
      <c r="AQ311" s="404"/>
    </row>
    <row r="312" spans="1:43" s="390" customFormat="1" ht="22.25" customHeight="1">
      <c r="A312" s="454"/>
      <c r="B312" s="657" t="s">
        <v>609</v>
      </c>
      <c r="C312" s="662"/>
      <c r="D312" s="662"/>
      <c r="E312" s="662">
        <v>1</v>
      </c>
      <c r="F312" s="498">
        <f>15-1.5*0.83</f>
        <v>13.755000000000001</v>
      </c>
      <c r="G312" s="642">
        <f t="shared" si="96"/>
        <v>0.83</v>
      </c>
      <c r="H312" s="642">
        <f t="shared" si="96"/>
        <v>1</v>
      </c>
      <c r="I312" s="499"/>
      <c r="J312" s="507">
        <f>IF(I312=0,1,I312)*IF(H312=0,1,H312)*IF(G312=0,1,G312)*IF(F312=0,1,F312)*IF(E312=0,1,E312)*IF(D312=0,1,D312)*IF(C312=0,1,C312)</f>
        <v>11.416650000000001</v>
      </c>
      <c r="K312" s="455"/>
      <c r="L312" s="312"/>
      <c r="M312" s="722"/>
      <c r="N312" s="722"/>
      <c r="O312" s="722"/>
      <c r="P312" s="722"/>
      <c r="Q312" s="611"/>
      <c r="R312" s="611"/>
      <c r="S312" s="611"/>
      <c r="T312" s="611"/>
      <c r="U312" s="611"/>
      <c r="V312" s="624"/>
      <c r="W312" s="624">
        <f t="shared" si="97"/>
        <v>0</v>
      </c>
      <c r="X312" s="624">
        <f t="shared" si="95"/>
        <v>0</v>
      </c>
      <c r="Y312" s="624">
        <f t="shared" si="95"/>
        <v>0</v>
      </c>
      <c r="Z312" s="624">
        <f t="shared" si="95"/>
        <v>0</v>
      </c>
      <c r="AA312" s="624">
        <f t="shared" si="95"/>
        <v>0</v>
      </c>
      <c r="AB312" s="624">
        <f t="shared" si="95"/>
        <v>0</v>
      </c>
      <c r="AC312" s="624">
        <f t="shared" si="95"/>
        <v>0</v>
      </c>
      <c r="AD312" s="624">
        <f t="shared" si="95"/>
        <v>0</v>
      </c>
      <c r="AE312" s="624">
        <f t="shared" si="95"/>
        <v>0</v>
      </c>
      <c r="AF312" s="471">
        <f>14*0.75*1*2</f>
        <v>21</v>
      </c>
      <c r="AG312" s="473"/>
      <c r="AH312" s="471"/>
      <c r="AI312" s="471"/>
      <c r="AJ312" s="471"/>
      <c r="AM312" s="404"/>
      <c r="AP312" s="404"/>
      <c r="AQ312" s="404"/>
    </row>
    <row r="313" spans="1:43" s="390" customFormat="1" ht="21.9" customHeight="1">
      <c r="A313" s="454"/>
      <c r="B313" s="659" t="s">
        <v>748</v>
      </c>
      <c r="C313" s="662"/>
      <c r="D313" s="662"/>
      <c r="E313" s="662"/>
      <c r="F313" s="498"/>
      <c r="G313" s="642"/>
      <c r="H313" s="647"/>
      <c r="I313" s="499"/>
      <c r="J313" s="455"/>
      <c r="K313" s="455"/>
      <c r="L313" s="312"/>
      <c r="M313" s="726"/>
      <c r="N313" s="726"/>
      <c r="O313" s="726"/>
      <c r="P313" s="726"/>
      <c r="Q313" s="611"/>
      <c r="R313" s="611"/>
      <c r="S313" s="624"/>
      <c r="T313" s="625"/>
      <c r="U313" s="626"/>
      <c r="V313" s="624"/>
      <c r="W313" s="624">
        <f t="shared" si="97"/>
        <v>0</v>
      </c>
      <c r="X313" s="624">
        <f t="shared" si="95"/>
        <v>0</v>
      </c>
      <c r="Y313" s="624">
        <f t="shared" si="95"/>
        <v>0</v>
      </c>
      <c r="Z313" s="624">
        <f t="shared" si="95"/>
        <v>0</v>
      </c>
      <c r="AA313" s="624">
        <f t="shared" si="95"/>
        <v>0</v>
      </c>
      <c r="AB313" s="624">
        <f t="shared" si="95"/>
        <v>0</v>
      </c>
      <c r="AC313" s="624">
        <f t="shared" si="95"/>
        <v>0</v>
      </c>
      <c r="AD313" s="624">
        <f t="shared" si="95"/>
        <v>0</v>
      </c>
      <c r="AE313" s="624">
        <f t="shared" si="95"/>
        <v>0</v>
      </c>
      <c r="AF313" s="404"/>
      <c r="AG313" s="471"/>
      <c r="AH313" s="471"/>
      <c r="AI313" s="471"/>
      <c r="AJ313" s="471"/>
      <c r="AM313" s="404"/>
      <c r="AP313" s="404"/>
      <c r="AQ313" s="404"/>
    </row>
    <row r="314" spans="1:43" s="390" customFormat="1" ht="22.25" customHeight="1">
      <c r="A314" s="454"/>
      <c r="B314" s="657" t="s">
        <v>474</v>
      </c>
      <c r="C314" s="662"/>
      <c r="D314" s="662"/>
      <c r="E314" s="662">
        <v>1</v>
      </c>
      <c r="F314" s="498">
        <f>14.5-2*0.83</f>
        <v>12.84</v>
      </c>
      <c r="G314" s="642">
        <v>0.83</v>
      </c>
      <c r="H314" s="642">
        <v>1.17</v>
      </c>
      <c r="I314" s="499"/>
      <c r="J314" s="507">
        <f>IF(I314=0,1,I314)*IF(H314=0,1,H314)*IF(G314=0,1,G314)*IF(F314=0,1,F314)*IF(E314=0,1,E314)*IF(D314=0,1,D314)*IF(C314=0,1,C314)</f>
        <v>12.468923999999998</v>
      </c>
      <c r="K314" s="455"/>
      <c r="L314" s="312"/>
      <c r="M314" s="722"/>
      <c r="N314" s="722"/>
      <c r="O314" s="722"/>
      <c r="P314" s="722"/>
      <c r="Q314" s="611"/>
      <c r="R314" s="611"/>
      <c r="S314" s="611"/>
      <c r="T314" s="611"/>
      <c r="U314" s="611"/>
      <c r="V314" s="624"/>
      <c r="W314" s="624">
        <f t="shared" si="97"/>
        <v>0</v>
      </c>
      <c r="X314" s="624">
        <f t="shared" si="95"/>
        <v>0</v>
      </c>
      <c r="Y314" s="624">
        <f t="shared" si="95"/>
        <v>0</v>
      </c>
      <c r="Z314" s="624">
        <f t="shared" si="95"/>
        <v>0</v>
      </c>
      <c r="AA314" s="624">
        <f t="shared" si="95"/>
        <v>0</v>
      </c>
      <c r="AB314" s="624">
        <f t="shared" si="95"/>
        <v>0</v>
      </c>
      <c r="AC314" s="624">
        <f t="shared" si="95"/>
        <v>0</v>
      </c>
      <c r="AD314" s="624">
        <f t="shared" si="95"/>
        <v>0</v>
      </c>
      <c r="AE314" s="624">
        <f t="shared" si="95"/>
        <v>0</v>
      </c>
      <c r="AF314" s="471">
        <f>14*0.75*1*2</f>
        <v>21</v>
      </c>
      <c r="AG314" s="473"/>
      <c r="AH314" s="471"/>
      <c r="AI314" s="471"/>
      <c r="AJ314" s="471"/>
      <c r="AM314" s="404"/>
      <c r="AP314" s="404"/>
      <c r="AQ314" s="404"/>
    </row>
    <row r="315" spans="1:43" s="390" customFormat="1" ht="22.25" customHeight="1">
      <c r="A315" s="454"/>
      <c r="B315" s="657" t="s">
        <v>749</v>
      </c>
      <c r="C315" s="662"/>
      <c r="D315" s="662"/>
      <c r="E315" s="662">
        <v>2</v>
      </c>
      <c r="F315" s="498">
        <f>30-3*0.83</f>
        <v>27.51</v>
      </c>
      <c r="G315" s="642">
        <f>G314</f>
        <v>0.83</v>
      </c>
      <c r="H315" s="642">
        <v>1.17</v>
      </c>
      <c r="I315" s="499"/>
      <c r="J315" s="507">
        <f>IF(I315=0,1,I315)*IF(H315=0,1,H315)*IF(G315=0,1,G315)*IF(F315=0,1,F315)*IF(E315=0,1,E315)*IF(D315=0,1,D315)*IF(C315=0,1,C315)</f>
        <v>53.429921999999998</v>
      </c>
      <c r="K315" s="455"/>
      <c r="L315" s="312"/>
      <c r="M315" s="722"/>
      <c r="N315" s="722"/>
      <c r="O315" s="722"/>
      <c r="P315" s="722"/>
      <c r="Q315" s="611"/>
      <c r="R315" s="611"/>
      <c r="S315" s="611"/>
      <c r="T315" s="611"/>
      <c r="U315" s="611"/>
      <c r="V315" s="624"/>
      <c r="W315" s="624"/>
      <c r="X315" s="624"/>
      <c r="Y315" s="624"/>
      <c r="Z315" s="624"/>
      <c r="AA315" s="624"/>
      <c r="AB315" s="624"/>
      <c r="AC315" s="624"/>
      <c r="AD315" s="624"/>
      <c r="AE315" s="624"/>
      <c r="AF315" s="471"/>
      <c r="AG315" s="473"/>
      <c r="AH315" s="471"/>
      <c r="AI315" s="471"/>
      <c r="AJ315" s="471"/>
      <c r="AM315" s="404"/>
      <c r="AP315" s="404"/>
      <c r="AQ315" s="404"/>
    </row>
    <row r="316" spans="1:43" s="390" customFormat="1" ht="21.9" customHeight="1">
      <c r="A316" s="454"/>
      <c r="B316" s="659" t="s">
        <v>750</v>
      </c>
      <c r="C316" s="662"/>
      <c r="D316" s="662"/>
      <c r="E316" s="662"/>
      <c r="F316" s="498"/>
      <c r="G316" s="642"/>
      <c r="H316" s="647"/>
      <c r="I316" s="499"/>
      <c r="J316" s="455"/>
      <c r="K316" s="455"/>
      <c r="L316" s="312"/>
      <c r="M316" s="726"/>
      <c r="N316" s="726"/>
      <c r="O316" s="726"/>
      <c r="P316" s="726"/>
      <c r="Q316" s="611"/>
      <c r="R316" s="611"/>
      <c r="S316" s="624"/>
      <c r="T316" s="625"/>
      <c r="U316" s="626"/>
      <c r="V316" s="624"/>
      <c r="W316" s="624">
        <f t="shared" si="97"/>
        <v>0</v>
      </c>
      <c r="X316" s="624">
        <f t="shared" si="95"/>
        <v>0</v>
      </c>
      <c r="Y316" s="624">
        <f t="shared" si="95"/>
        <v>0</v>
      </c>
      <c r="Z316" s="624">
        <f t="shared" si="95"/>
        <v>0</v>
      </c>
      <c r="AA316" s="624">
        <f t="shared" si="95"/>
        <v>0</v>
      </c>
      <c r="AB316" s="624">
        <f t="shared" si="95"/>
        <v>0</v>
      </c>
      <c r="AC316" s="624">
        <f t="shared" si="95"/>
        <v>0</v>
      </c>
      <c r="AD316" s="624">
        <f t="shared" si="95"/>
        <v>0</v>
      </c>
      <c r="AE316" s="624">
        <f t="shared" si="95"/>
        <v>0</v>
      </c>
      <c r="AF316" s="404"/>
      <c r="AG316" s="471"/>
      <c r="AH316" s="471"/>
      <c r="AI316" s="471"/>
      <c r="AJ316" s="471"/>
      <c r="AM316" s="404"/>
      <c r="AP316" s="404"/>
      <c r="AQ316" s="404"/>
    </row>
    <row r="317" spans="1:43" s="390" customFormat="1" ht="22.25" customHeight="1">
      <c r="A317" s="454"/>
      <c r="B317" s="657" t="s">
        <v>471</v>
      </c>
      <c r="C317" s="662"/>
      <c r="D317" s="662"/>
      <c r="E317" s="662">
        <v>1</v>
      </c>
      <c r="F317" s="498">
        <f>14.5-2*0.83</f>
        <v>12.84</v>
      </c>
      <c r="G317" s="642">
        <v>0.83</v>
      </c>
      <c r="H317" s="642">
        <v>1.5</v>
      </c>
      <c r="I317" s="499"/>
      <c r="J317" s="507">
        <f>IF(I317=0,1,I317)*IF(H317=0,1,H317)*IF(G317=0,1,G317)*IF(F317=0,1,F317)*IF(E317=0,1,E317)*IF(D317=0,1,D317)*IF(C317=0,1,C317)</f>
        <v>15.985799999999998</v>
      </c>
      <c r="K317" s="455"/>
      <c r="L317" s="312"/>
      <c r="M317" s="722"/>
      <c r="N317" s="722"/>
      <c r="O317" s="722"/>
      <c r="P317" s="722"/>
      <c r="Q317" s="611"/>
      <c r="R317" s="611"/>
      <c r="S317" s="611"/>
      <c r="T317" s="611"/>
      <c r="U317" s="611"/>
      <c r="V317" s="624"/>
      <c r="W317" s="624">
        <f t="shared" si="97"/>
        <v>0</v>
      </c>
      <c r="X317" s="624">
        <f t="shared" si="95"/>
        <v>0</v>
      </c>
      <c r="Y317" s="624">
        <f t="shared" si="95"/>
        <v>0</v>
      </c>
      <c r="Z317" s="624">
        <f t="shared" si="95"/>
        <v>0</v>
      </c>
      <c r="AA317" s="624">
        <f t="shared" si="95"/>
        <v>0</v>
      </c>
      <c r="AB317" s="624">
        <f t="shared" si="95"/>
        <v>0</v>
      </c>
      <c r="AC317" s="624">
        <f t="shared" si="95"/>
        <v>0</v>
      </c>
      <c r="AD317" s="624">
        <f t="shared" si="95"/>
        <v>0</v>
      </c>
      <c r="AE317" s="624">
        <f t="shared" si="95"/>
        <v>0</v>
      </c>
      <c r="AF317" s="471">
        <f>14*0.75*1*2</f>
        <v>21</v>
      </c>
      <c r="AG317" s="473"/>
      <c r="AH317" s="471"/>
      <c r="AI317" s="471"/>
      <c r="AJ317" s="471"/>
      <c r="AM317" s="404"/>
      <c r="AP317" s="404"/>
      <c r="AQ317" s="404"/>
    </row>
    <row r="318" spans="1:43" s="390" customFormat="1" ht="21.9" customHeight="1">
      <c r="A318" s="454"/>
      <c r="B318" s="659" t="s">
        <v>751</v>
      </c>
      <c r="C318" s="662"/>
      <c r="D318" s="662"/>
      <c r="E318" s="662"/>
      <c r="F318" s="498"/>
      <c r="G318" s="642"/>
      <c r="H318" s="647"/>
      <c r="I318" s="499"/>
      <c r="J318" s="455"/>
      <c r="K318" s="455"/>
      <c r="L318" s="312"/>
      <c r="M318" s="726"/>
      <c r="N318" s="726"/>
      <c r="O318" s="726"/>
      <c r="P318" s="726"/>
      <c r="Q318" s="611"/>
      <c r="R318" s="611"/>
      <c r="S318" s="624"/>
      <c r="T318" s="625"/>
      <c r="U318" s="626"/>
      <c r="V318" s="624"/>
      <c r="W318" s="624">
        <f t="shared" si="97"/>
        <v>0</v>
      </c>
      <c r="X318" s="624">
        <f t="shared" si="95"/>
        <v>0</v>
      </c>
      <c r="Y318" s="624">
        <f t="shared" si="95"/>
        <v>0</v>
      </c>
      <c r="Z318" s="624">
        <f t="shared" si="95"/>
        <v>0</v>
      </c>
      <c r="AA318" s="624">
        <f t="shared" si="95"/>
        <v>0</v>
      </c>
      <c r="AB318" s="624">
        <f t="shared" si="95"/>
        <v>0</v>
      </c>
      <c r="AC318" s="624">
        <f t="shared" si="95"/>
        <v>0</v>
      </c>
      <c r="AD318" s="624">
        <f t="shared" si="95"/>
        <v>0</v>
      </c>
      <c r="AE318" s="624">
        <f t="shared" si="95"/>
        <v>0</v>
      </c>
      <c r="AF318" s="404"/>
      <c r="AG318" s="471"/>
      <c r="AH318" s="471"/>
      <c r="AI318" s="471"/>
      <c r="AJ318" s="471"/>
      <c r="AM318" s="404"/>
      <c r="AP318" s="404"/>
      <c r="AQ318" s="404"/>
    </row>
    <row r="319" spans="1:43" s="390" customFormat="1" ht="22.25" customHeight="1">
      <c r="A319" s="454"/>
      <c r="B319" s="657" t="s">
        <v>733</v>
      </c>
      <c r="C319" s="662"/>
      <c r="D319" s="662"/>
      <c r="E319" s="662">
        <v>1</v>
      </c>
      <c r="F319" s="498">
        <f>14.5+6-2*1</f>
        <v>18.5</v>
      </c>
      <c r="G319" s="642">
        <v>1</v>
      </c>
      <c r="H319" s="642">
        <v>1.33</v>
      </c>
      <c r="I319" s="499"/>
      <c r="J319" s="507">
        <f>IF(I319=0,1,I319)*IF(H319=0,1,H319)*IF(G319=0,1,G319)*IF(F319=0,1,F319)*IF(E319=0,1,E319)*IF(D319=0,1,D319)*IF(C319=0,1,C319)</f>
        <v>24.605</v>
      </c>
      <c r="K319" s="455"/>
      <c r="L319" s="312"/>
      <c r="M319" s="722"/>
      <c r="N319" s="722"/>
      <c r="O319" s="722"/>
      <c r="P319" s="722"/>
      <c r="Q319" s="611"/>
      <c r="R319" s="611"/>
      <c r="S319" s="624"/>
      <c r="T319" s="625"/>
      <c r="U319" s="626"/>
      <c r="V319" s="624"/>
      <c r="W319" s="624">
        <f t="shared" si="97"/>
        <v>0</v>
      </c>
      <c r="X319" s="624">
        <f t="shared" si="95"/>
        <v>0</v>
      </c>
      <c r="Y319" s="624">
        <f t="shared" si="95"/>
        <v>0</v>
      </c>
      <c r="Z319" s="624">
        <f t="shared" si="95"/>
        <v>0</v>
      </c>
      <c r="AA319" s="624">
        <f t="shared" si="95"/>
        <v>0</v>
      </c>
      <c r="AB319" s="624">
        <f t="shared" si="95"/>
        <v>0</v>
      </c>
      <c r="AC319" s="624">
        <f t="shared" si="95"/>
        <v>0</v>
      </c>
      <c r="AD319" s="624">
        <f t="shared" si="95"/>
        <v>0</v>
      </c>
      <c r="AE319" s="624">
        <f t="shared" si="95"/>
        <v>0</v>
      </c>
      <c r="AF319" s="471"/>
      <c r="AG319" s="473"/>
      <c r="AH319" s="471"/>
      <c r="AI319" s="471"/>
      <c r="AJ319" s="471"/>
      <c r="AM319" s="404"/>
      <c r="AP319" s="404"/>
      <c r="AQ319" s="404"/>
    </row>
    <row r="320" spans="1:43" s="390" customFormat="1" ht="21.9" customHeight="1">
      <c r="A320" s="454"/>
      <c r="B320" s="659" t="s">
        <v>752</v>
      </c>
      <c r="C320" s="662"/>
      <c r="D320" s="662"/>
      <c r="E320" s="662"/>
      <c r="F320" s="498"/>
      <c r="G320" s="642"/>
      <c r="H320" s="647"/>
      <c r="I320" s="499"/>
      <c r="J320" s="455"/>
      <c r="K320" s="455"/>
      <c r="L320" s="312"/>
      <c r="M320" s="726"/>
      <c r="N320" s="726"/>
      <c r="O320" s="726"/>
      <c r="P320" s="726"/>
      <c r="Q320" s="611"/>
      <c r="R320" s="611"/>
      <c r="S320" s="624"/>
      <c r="T320" s="625"/>
      <c r="U320" s="626"/>
      <c r="V320" s="624"/>
      <c r="W320" s="624">
        <f t="shared" si="97"/>
        <v>0</v>
      </c>
      <c r="X320" s="624">
        <f t="shared" si="95"/>
        <v>0</v>
      </c>
      <c r="Y320" s="624">
        <f t="shared" si="95"/>
        <v>0</v>
      </c>
      <c r="Z320" s="624">
        <f t="shared" si="95"/>
        <v>0</v>
      </c>
      <c r="AA320" s="624">
        <f t="shared" si="95"/>
        <v>0</v>
      </c>
      <c r="AB320" s="624">
        <f t="shared" si="95"/>
        <v>0</v>
      </c>
      <c r="AC320" s="624">
        <f t="shared" si="95"/>
        <v>0</v>
      </c>
      <c r="AD320" s="624">
        <f t="shared" si="95"/>
        <v>0</v>
      </c>
      <c r="AE320" s="624">
        <f t="shared" si="95"/>
        <v>0</v>
      </c>
      <c r="AF320" s="404"/>
      <c r="AG320" s="471"/>
      <c r="AH320" s="471"/>
      <c r="AI320" s="471"/>
      <c r="AJ320" s="471"/>
      <c r="AM320" s="404"/>
      <c r="AP320" s="404"/>
      <c r="AQ320" s="404"/>
    </row>
    <row r="321" spans="1:43" s="390" customFormat="1" ht="22.25" customHeight="1">
      <c r="A321" s="454"/>
      <c r="B321" s="657" t="s">
        <v>474</v>
      </c>
      <c r="C321" s="662"/>
      <c r="D321" s="662"/>
      <c r="E321" s="662">
        <v>1</v>
      </c>
      <c r="F321" s="498">
        <f>14.5-2*0.83</f>
        <v>12.84</v>
      </c>
      <c r="G321" s="642">
        <v>1</v>
      </c>
      <c r="H321" s="642">
        <v>1.17</v>
      </c>
      <c r="I321" s="499"/>
      <c r="J321" s="507">
        <f>IF(I321=0,1,I321)*IF(H321=0,1,H321)*IF(G321=0,1,G321)*IF(F321=0,1,F321)*IF(E321=0,1,E321)*IF(D321=0,1,D321)*IF(C321=0,1,C321)</f>
        <v>15.022799999999998</v>
      </c>
      <c r="K321" s="455"/>
      <c r="L321" s="312"/>
      <c r="M321" s="722"/>
      <c r="N321" s="722"/>
      <c r="O321" s="722"/>
      <c r="P321" s="722"/>
      <c r="Q321" s="611"/>
      <c r="R321" s="611"/>
      <c r="S321" s="624"/>
      <c r="T321" s="625"/>
      <c r="U321" s="626"/>
      <c r="V321" s="624"/>
      <c r="W321" s="624">
        <f t="shared" si="97"/>
        <v>0</v>
      </c>
      <c r="X321" s="624">
        <f t="shared" si="95"/>
        <v>0</v>
      </c>
      <c r="Y321" s="624">
        <f t="shared" si="95"/>
        <v>0</v>
      </c>
      <c r="Z321" s="624">
        <f t="shared" si="95"/>
        <v>0</v>
      </c>
      <c r="AA321" s="624">
        <f t="shared" si="95"/>
        <v>0</v>
      </c>
      <c r="AB321" s="624">
        <f t="shared" si="95"/>
        <v>0</v>
      </c>
      <c r="AC321" s="624">
        <f t="shared" si="95"/>
        <v>0</v>
      </c>
      <c r="AD321" s="624">
        <f t="shared" si="95"/>
        <v>0</v>
      </c>
      <c r="AE321" s="624">
        <f t="shared" si="95"/>
        <v>0</v>
      </c>
      <c r="AF321" s="471"/>
      <c r="AG321" s="473"/>
      <c r="AH321" s="471"/>
      <c r="AI321" s="471"/>
      <c r="AJ321" s="471"/>
      <c r="AM321" s="404"/>
      <c r="AP321" s="404"/>
      <c r="AQ321" s="404"/>
    </row>
    <row r="322" spans="1:43" s="390" customFormat="1" ht="26.25" customHeight="1">
      <c r="A322" s="454"/>
      <c r="B322" s="660"/>
      <c r="C322" s="662"/>
      <c r="D322" s="662"/>
      <c r="E322" s="662"/>
      <c r="F322" s="498"/>
      <c r="G322" s="642"/>
      <c r="H322" s="642"/>
      <c r="I322" s="458" t="str">
        <f>B293</f>
        <v>Plinth Beam</v>
      </c>
      <c r="J322" s="455"/>
      <c r="K322" s="455">
        <f>SUM(J293:J322)</f>
        <v>335.48544999999996</v>
      </c>
      <c r="L322" s="312" t="s">
        <v>301</v>
      </c>
      <c r="M322" s="726"/>
      <c r="N322" s="726"/>
      <c r="O322" s="726"/>
      <c r="P322" s="726"/>
      <c r="Q322" s="611"/>
      <c r="R322" s="611"/>
      <c r="S322" s="611"/>
      <c r="T322" s="626"/>
      <c r="U322" s="624"/>
      <c r="V322" s="624"/>
      <c r="W322" s="624">
        <f t="shared" ref="W322:AE335" si="98">IF($R322=W$5,$V322,0)</f>
        <v>0</v>
      </c>
      <c r="X322" s="624">
        <f t="shared" si="98"/>
        <v>0</v>
      </c>
      <c r="Y322" s="624">
        <f t="shared" si="98"/>
        <v>0</v>
      </c>
      <c r="Z322" s="624">
        <f t="shared" si="98"/>
        <v>0</v>
      </c>
      <c r="AA322" s="624">
        <f t="shared" si="98"/>
        <v>0</v>
      </c>
      <c r="AB322" s="624">
        <f t="shared" si="98"/>
        <v>0</v>
      </c>
      <c r="AC322" s="624">
        <f t="shared" si="98"/>
        <v>0</v>
      </c>
      <c r="AD322" s="624">
        <f t="shared" si="98"/>
        <v>0</v>
      </c>
      <c r="AE322" s="624">
        <f t="shared" si="98"/>
        <v>0</v>
      </c>
      <c r="AF322" s="404"/>
      <c r="AG322" s="471"/>
      <c r="AH322" s="471"/>
      <c r="AI322" s="471"/>
      <c r="AJ322" s="471"/>
      <c r="AM322" s="404"/>
      <c r="AP322" s="404"/>
      <c r="AQ322" s="404"/>
    </row>
    <row r="323" spans="1:43" s="390" customFormat="1" ht="21.9" customHeight="1">
      <c r="A323" s="454"/>
      <c r="B323" s="659" t="s">
        <v>560</v>
      </c>
      <c r="C323" s="662"/>
      <c r="D323" s="662"/>
      <c r="E323" s="662"/>
      <c r="F323" s="498"/>
      <c r="G323" s="642"/>
      <c r="H323" s="648"/>
      <c r="I323" s="501"/>
      <c r="J323" s="455"/>
      <c r="K323" s="455"/>
      <c r="L323" s="312"/>
      <c r="M323" s="726"/>
      <c r="N323" s="726"/>
      <c r="O323" s="726"/>
      <c r="P323" s="726"/>
      <c r="Q323" s="611"/>
      <c r="R323" s="611"/>
      <c r="S323" s="624"/>
      <c r="T323" s="625"/>
      <c r="U323" s="626"/>
      <c r="V323" s="624"/>
      <c r="W323" s="624">
        <f t="shared" si="98"/>
        <v>0</v>
      </c>
      <c r="X323" s="624">
        <f t="shared" si="98"/>
        <v>0</v>
      </c>
      <c r="Y323" s="624">
        <f t="shared" si="98"/>
        <v>0</v>
      </c>
      <c r="Z323" s="624">
        <f t="shared" si="98"/>
        <v>0</v>
      </c>
      <c r="AA323" s="624">
        <f t="shared" si="98"/>
        <v>0</v>
      </c>
      <c r="AB323" s="624">
        <f t="shared" si="98"/>
        <v>0</v>
      </c>
      <c r="AC323" s="624">
        <f t="shared" si="98"/>
        <v>0</v>
      </c>
      <c r="AD323" s="624">
        <f t="shared" si="98"/>
        <v>0</v>
      </c>
      <c r="AE323" s="624">
        <f t="shared" si="98"/>
        <v>0</v>
      </c>
      <c r="AF323" s="404"/>
      <c r="AG323" s="471"/>
      <c r="AH323" s="471"/>
      <c r="AI323" s="471"/>
      <c r="AJ323" s="471"/>
      <c r="AM323" s="404"/>
      <c r="AP323" s="404"/>
      <c r="AQ323" s="404"/>
    </row>
    <row r="324" spans="1:43" s="390" customFormat="1" ht="21.9" customHeight="1">
      <c r="A324" s="454"/>
      <c r="B324" s="659" t="s">
        <v>753</v>
      </c>
      <c r="C324" s="662"/>
      <c r="D324" s="662"/>
      <c r="E324" s="662"/>
      <c r="F324" s="498"/>
      <c r="G324" s="642"/>
      <c r="H324" s="648"/>
      <c r="I324" s="501"/>
      <c r="J324" s="455"/>
      <c r="K324" s="455"/>
      <c r="L324" s="312"/>
      <c r="M324" s="726"/>
      <c r="N324" s="726"/>
      <c r="O324" s="726"/>
      <c r="P324" s="726"/>
      <c r="Q324" s="611"/>
      <c r="R324" s="611"/>
      <c r="S324" s="624"/>
      <c r="T324" s="625"/>
      <c r="U324" s="626"/>
      <c r="V324" s="624"/>
      <c r="W324" s="624">
        <f t="shared" si="98"/>
        <v>0</v>
      </c>
      <c r="X324" s="624">
        <f t="shared" si="98"/>
        <v>0</v>
      </c>
      <c r="Y324" s="624">
        <f t="shared" si="98"/>
        <v>0</v>
      </c>
      <c r="Z324" s="624">
        <f t="shared" si="98"/>
        <v>0</v>
      </c>
      <c r="AA324" s="624">
        <f t="shared" si="98"/>
        <v>0</v>
      </c>
      <c r="AB324" s="624">
        <f t="shared" si="98"/>
        <v>0</v>
      </c>
      <c r="AC324" s="624">
        <f t="shared" si="98"/>
        <v>0</v>
      </c>
      <c r="AD324" s="624">
        <f t="shared" si="98"/>
        <v>0</v>
      </c>
      <c r="AE324" s="624">
        <f t="shared" si="98"/>
        <v>0</v>
      </c>
      <c r="AF324" s="404"/>
      <c r="AG324" s="471"/>
      <c r="AH324" s="471"/>
      <c r="AI324" s="471"/>
      <c r="AJ324" s="471"/>
      <c r="AM324" s="404"/>
      <c r="AP324" s="404"/>
      <c r="AQ324" s="404"/>
    </row>
    <row r="325" spans="1:43" s="390" customFormat="1" ht="21.9" customHeight="1">
      <c r="A325" s="454"/>
      <c r="B325" s="659" t="s">
        <v>754</v>
      </c>
      <c r="C325" s="662"/>
      <c r="D325" s="662"/>
      <c r="E325" s="662"/>
      <c r="F325" s="498"/>
      <c r="G325" s="642"/>
      <c r="H325" s="647"/>
      <c r="I325" s="499"/>
      <c r="J325" s="455"/>
      <c r="K325" s="455"/>
      <c r="L325" s="312"/>
      <c r="M325" s="726"/>
      <c r="N325" s="726"/>
      <c r="O325" s="726"/>
      <c r="P325" s="726"/>
      <c r="Q325" s="611"/>
      <c r="R325" s="611"/>
      <c r="S325" s="624"/>
      <c r="T325" s="625"/>
      <c r="U325" s="626"/>
      <c r="V325" s="624"/>
      <c r="W325" s="624">
        <f t="shared" si="98"/>
        <v>0</v>
      </c>
      <c r="X325" s="624">
        <f t="shared" si="98"/>
        <v>0</v>
      </c>
      <c r="Y325" s="624">
        <f t="shared" si="98"/>
        <v>0</v>
      </c>
      <c r="Z325" s="624">
        <f t="shared" si="98"/>
        <v>0</v>
      </c>
      <c r="AA325" s="624">
        <f t="shared" si="98"/>
        <v>0</v>
      </c>
      <c r="AB325" s="624">
        <f t="shared" si="98"/>
        <v>0</v>
      </c>
      <c r="AC325" s="624">
        <f t="shared" si="98"/>
        <v>0</v>
      </c>
      <c r="AD325" s="624">
        <f t="shared" si="98"/>
        <v>0</v>
      </c>
      <c r="AE325" s="624">
        <f t="shared" si="98"/>
        <v>0</v>
      </c>
      <c r="AF325" s="404"/>
      <c r="AG325" s="471"/>
      <c r="AH325" s="471"/>
      <c r="AI325" s="471"/>
      <c r="AJ325" s="471"/>
      <c r="AM325" s="404"/>
      <c r="AP325" s="404"/>
      <c r="AQ325" s="404"/>
    </row>
    <row r="326" spans="1:43" s="390" customFormat="1" ht="22.25" customHeight="1">
      <c r="A326" s="454"/>
      <c r="B326" s="657" t="s">
        <v>755</v>
      </c>
      <c r="C326" s="662"/>
      <c r="D326" s="662"/>
      <c r="E326" s="662">
        <v>2</v>
      </c>
      <c r="F326" s="498">
        <f>9.5-2*0.83</f>
        <v>7.84</v>
      </c>
      <c r="G326" s="642">
        <v>0.83</v>
      </c>
      <c r="H326" s="642">
        <v>0.83</v>
      </c>
      <c r="I326" s="499"/>
      <c r="J326" s="507">
        <f>IF(I326=0,1,I326)*IF(H326=0,1,H326)*IF(G326=0,1,G326)*IF(F326=0,1,F326)*IF(E326=0,1,E326)*IF(D326=0,1,D326)*IF(C326=0,1,C326)</f>
        <v>10.801952</v>
      </c>
      <c r="K326" s="455"/>
      <c r="L326" s="312"/>
      <c r="M326" s="722"/>
      <c r="N326" s="722"/>
      <c r="O326" s="722"/>
      <c r="P326" s="722"/>
      <c r="Q326" s="611"/>
      <c r="R326" s="611"/>
      <c r="S326" s="611"/>
      <c r="T326" s="611"/>
      <c r="U326" s="611"/>
      <c r="V326" s="624"/>
      <c r="W326" s="624">
        <f t="shared" si="98"/>
        <v>0</v>
      </c>
      <c r="X326" s="624">
        <f t="shared" si="98"/>
        <v>0</v>
      </c>
      <c r="Y326" s="624">
        <f t="shared" si="98"/>
        <v>0</v>
      </c>
      <c r="Z326" s="624">
        <f t="shared" si="98"/>
        <v>0</v>
      </c>
      <c r="AA326" s="624">
        <f t="shared" si="98"/>
        <v>0</v>
      </c>
      <c r="AB326" s="624">
        <f t="shared" si="98"/>
        <v>0</v>
      </c>
      <c r="AC326" s="624">
        <f t="shared" si="98"/>
        <v>0</v>
      </c>
      <c r="AD326" s="624">
        <f t="shared" si="98"/>
        <v>0</v>
      </c>
      <c r="AE326" s="624">
        <f t="shared" si="98"/>
        <v>0</v>
      </c>
      <c r="AF326" s="471">
        <f>14*0.75*1*2</f>
        <v>21</v>
      </c>
      <c r="AG326" s="473"/>
      <c r="AH326" s="471"/>
      <c r="AI326" s="471"/>
      <c r="AJ326" s="471"/>
      <c r="AM326" s="404"/>
      <c r="AP326" s="404"/>
      <c r="AQ326" s="404"/>
    </row>
    <row r="327" spans="1:43" s="390" customFormat="1" ht="22.25" customHeight="1">
      <c r="A327" s="454"/>
      <c r="B327" s="657" t="s">
        <v>756</v>
      </c>
      <c r="C327" s="662"/>
      <c r="D327" s="662"/>
      <c r="E327" s="662">
        <v>2</v>
      </c>
      <c r="F327" s="498">
        <f>5-1*0.83</f>
        <v>4.17</v>
      </c>
      <c r="G327" s="642">
        <f>G326</f>
        <v>0.83</v>
      </c>
      <c r="H327" s="642">
        <f>H326</f>
        <v>0.83</v>
      </c>
      <c r="I327" s="499"/>
      <c r="J327" s="507">
        <f>IF(I327=0,1,I327)*IF(H327=0,1,H327)*IF(G327=0,1,G327)*IF(F327=0,1,F327)*IF(E327=0,1,E327)*IF(D327=0,1,D327)*IF(C327=0,1,C327)</f>
        <v>5.7454259999999993</v>
      </c>
      <c r="K327" s="455"/>
      <c r="L327" s="312"/>
      <c r="M327" s="722"/>
      <c r="N327" s="722"/>
      <c r="O327" s="722"/>
      <c r="P327" s="722"/>
      <c r="Q327" s="611"/>
      <c r="R327" s="611"/>
      <c r="S327" s="624"/>
      <c r="T327" s="625"/>
      <c r="U327" s="626"/>
      <c r="V327" s="624"/>
      <c r="W327" s="624">
        <f t="shared" si="98"/>
        <v>0</v>
      </c>
      <c r="X327" s="624">
        <f t="shared" si="98"/>
        <v>0</v>
      </c>
      <c r="Y327" s="624">
        <f t="shared" si="98"/>
        <v>0</v>
      </c>
      <c r="Z327" s="624">
        <f t="shared" si="98"/>
        <v>0</v>
      </c>
      <c r="AA327" s="624">
        <f t="shared" si="98"/>
        <v>0</v>
      </c>
      <c r="AB327" s="624">
        <f t="shared" si="98"/>
        <v>0</v>
      </c>
      <c r="AC327" s="624">
        <f t="shared" si="98"/>
        <v>0</v>
      </c>
      <c r="AD327" s="624">
        <f t="shared" si="98"/>
        <v>0</v>
      </c>
      <c r="AE327" s="624">
        <f t="shared" si="98"/>
        <v>0</v>
      </c>
      <c r="AF327" s="471"/>
      <c r="AG327" s="473"/>
      <c r="AH327" s="471"/>
      <c r="AI327" s="471"/>
      <c r="AJ327" s="471"/>
      <c r="AM327" s="404"/>
      <c r="AP327" s="404"/>
      <c r="AQ327" s="404"/>
    </row>
    <row r="328" spans="1:43" s="390" customFormat="1" ht="21.9" customHeight="1">
      <c r="A328" s="454"/>
      <c r="B328" s="659" t="s">
        <v>692</v>
      </c>
      <c r="C328" s="662"/>
      <c r="D328" s="662"/>
      <c r="E328" s="662"/>
      <c r="F328" s="498"/>
      <c r="G328" s="642"/>
      <c r="H328" s="648"/>
      <c r="I328" s="501"/>
      <c r="J328" s="455"/>
      <c r="K328" s="455"/>
      <c r="L328" s="312"/>
      <c r="M328" s="726"/>
      <c r="N328" s="726"/>
      <c r="O328" s="726"/>
      <c r="P328" s="726"/>
      <c r="Q328" s="611"/>
      <c r="R328" s="611"/>
      <c r="S328" s="624"/>
      <c r="T328" s="625"/>
      <c r="U328" s="626"/>
      <c r="V328" s="624"/>
      <c r="W328" s="624">
        <f t="shared" si="98"/>
        <v>0</v>
      </c>
      <c r="X328" s="624">
        <f t="shared" si="98"/>
        <v>0</v>
      </c>
      <c r="Y328" s="624">
        <f t="shared" si="98"/>
        <v>0</v>
      </c>
      <c r="Z328" s="624">
        <f t="shared" si="98"/>
        <v>0</v>
      </c>
      <c r="AA328" s="624">
        <f t="shared" si="98"/>
        <v>0</v>
      </c>
      <c r="AB328" s="624">
        <f t="shared" si="98"/>
        <v>0</v>
      </c>
      <c r="AC328" s="624">
        <f t="shared" si="98"/>
        <v>0</v>
      </c>
      <c r="AD328" s="624">
        <f t="shared" si="98"/>
        <v>0</v>
      </c>
      <c r="AE328" s="624">
        <f t="shared" si="98"/>
        <v>0</v>
      </c>
      <c r="AF328" s="404"/>
      <c r="AG328" s="471"/>
      <c r="AH328" s="471"/>
      <c r="AI328" s="471"/>
      <c r="AJ328" s="471"/>
      <c r="AM328" s="404"/>
      <c r="AP328" s="404"/>
      <c r="AQ328" s="404"/>
    </row>
    <row r="329" spans="1:43" s="390" customFormat="1" ht="21.9" customHeight="1">
      <c r="A329" s="454"/>
      <c r="B329" s="659" t="s">
        <v>757</v>
      </c>
      <c r="C329" s="662"/>
      <c r="D329" s="662"/>
      <c r="E329" s="662"/>
      <c r="F329" s="498"/>
      <c r="G329" s="642"/>
      <c r="H329" s="647"/>
      <c r="I329" s="499"/>
      <c r="J329" s="455"/>
      <c r="K329" s="455"/>
      <c r="L329" s="312"/>
      <c r="M329" s="726"/>
      <c r="N329" s="726"/>
      <c r="O329" s="726"/>
      <c r="P329" s="726"/>
      <c r="Q329" s="611"/>
      <c r="R329" s="611"/>
      <c r="S329" s="624"/>
      <c r="T329" s="625"/>
      <c r="U329" s="626"/>
      <c r="V329" s="624"/>
      <c r="W329" s="624">
        <f t="shared" si="98"/>
        <v>0</v>
      </c>
      <c r="X329" s="624">
        <f t="shared" si="98"/>
        <v>0</v>
      </c>
      <c r="Y329" s="624">
        <f t="shared" si="98"/>
        <v>0</v>
      </c>
      <c r="Z329" s="624">
        <f t="shared" si="98"/>
        <v>0</v>
      </c>
      <c r="AA329" s="624">
        <f t="shared" si="98"/>
        <v>0</v>
      </c>
      <c r="AB329" s="624">
        <f t="shared" si="98"/>
        <v>0</v>
      </c>
      <c r="AC329" s="624">
        <f t="shared" si="98"/>
        <v>0</v>
      </c>
      <c r="AD329" s="624">
        <f t="shared" si="98"/>
        <v>0</v>
      </c>
      <c r="AE329" s="624">
        <f t="shared" si="98"/>
        <v>0</v>
      </c>
      <c r="AF329" s="404"/>
      <c r="AG329" s="471"/>
      <c r="AH329" s="471"/>
      <c r="AI329" s="471"/>
      <c r="AJ329" s="471"/>
      <c r="AM329" s="404"/>
      <c r="AP329" s="404"/>
      <c r="AQ329" s="404"/>
    </row>
    <row r="330" spans="1:43" s="390" customFormat="1" ht="22.25" customHeight="1">
      <c r="A330" s="454"/>
      <c r="B330" s="657" t="s">
        <v>759</v>
      </c>
      <c r="C330" s="662"/>
      <c r="D330" s="662"/>
      <c r="E330" s="662">
        <v>7</v>
      </c>
      <c r="F330" s="498">
        <v>6</v>
      </c>
      <c r="G330" s="642">
        <v>0.83</v>
      </c>
      <c r="H330" s="642">
        <v>0.83</v>
      </c>
      <c r="I330" s="499"/>
      <c r="J330" s="507">
        <f>IF(I330=0,1,I330)*IF(H330=0,1,H330)*IF(G330=0,1,G330)*IF(F330=0,1,F330)*IF(E330=0,1,E330)*IF(D330=0,1,D330)*IF(C330=0,1,C330)</f>
        <v>28.933799999999998</v>
      </c>
      <c r="K330" s="455"/>
      <c r="L330" s="312"/>
      <c r="M330" s="722"/>
      <c r="N330" s="722"/>
      <c r="O330" s="722"/>
      <c r="P330" s="722"/>
      <c r="Q330" s="611"/>
      <c r="R330" s="611"/>
      <c r="S330" s="624"/>
      <c r="T330" s="625"/>
      <c r="U330" s="626"/>
      <c r="V330" s="624"/>
      <c r="W330" s="624">
        <f t="shared" si="98"/>
        <v>0</v>
      </c>
      <c r="X330" s="624">
        <f t="shared" si="98"/>
        <v>0</v>
      </c>
      <c r="Y330" s="624">
        <f t="shared" si="98"/>
        <v>0</v>
      </c>
      <c r="Z330" s="624">
        <f t="shared" si="98"/>
        <v>0</v>
      </c>
      <c r="AA330" s="624">
        <f t="shared" si="98"/>
        <v>0</v>
      </c>
      <c r="AB330" s="624">
        <f t="shared" si="98"/>
        <v>0</v>
      </c>
      <c r="AC330" s="624">
        <f t="shared" si="98"/>
        <v>0</v>
      </c>
      <c r="AD330" s="624">
        <f t="shared" si="98"/>
        <v>0</v>
      </c>
      <c r="AE330" s="624">
        <f t="shared" si="98"/>
        <v>0</v>
      </c>
      <c r="AF330" s="471"/>
      <c r="AG330" s="473"/>
      <c r="AH330" s="471"/>
      <c r="AI330" s="471"/>
      <c r="AJ330" s="471"/>
      <c r="AM330" s="404"/>
      <c r="AP330" s="404"/>
      <c r="AQ330" s="404"/>
    </row>
    <row r="331" spans="1:43" s="390" customFormat="1" ht="22.25" customHeight="1">
      <c r="A331" s="454"/>
      <c r="B331" s="657" t="s">
        <v>540</v>
      </c>
      <c r="C331" s="662"/>
      <c r="D331" s="662"/>
      <c r="E331" s="662">
        <v>1</v>
      </c>
      <c r="F331" s="498">
        <v>5</v>
      </c>
      <c r="G331" s="642">
        <f>G330</f>
        <v>0.83</v>
      </c>
      <c r="H331" s="642">
        <f>H330</f>
        <v>0.83</v>
      </c>
      <c r="I331" s="499"/>
      <c r="J331" s="507">
        <f>IF(I331=0,1,I331)*IF(H331=0,1,H331)*IF(G331=0,1,G331)*IF(F331=0,1,F331)*IF(E331=0,1,E331)*IF(D331=0,1,D331)*IF(C331=0,1,C331)</f>
        <v>3.4444999999999997</v>
      </c>
      <c r="K331" s="455"/>
      <c r="L331" s="312"/>
      <c r="M331" s="722"/>
      <c r="N331" s="722"/>
      <c r="O331" s="722"/>
      <c r="P331" s="722"/>
      <c r="Q331" s="611"/>
      <c r="R331" s="611"/>
      <c r="S331" s="624"/>
      <c r="T331" s="625"/>
      <c r="U331" s="626"/>
      <c r="V331" s="624"/>
      <c r="W331" s="624"/>
      <c r="X331" s="624"/>
      <c r="Y331" s="624"/>
      <c r="Z331" s="624"/>
      <c r="AA331" s="624"/>
      <c r="AB331" s="624"/>
      <c r="AC331" s="624"/>
      <c r="AD331" s="624"/>
      <c r="AE331" s="624"/>
      <c r="AF331" s="471"/>
      <c r="AG331" s="473"/>
      <c r="AH331" s="471"/>
      <c r="AI331" s="471"/>
      <c r="AJ331" s="471"/>
      <c r="AM331" s="404"/>
      <c r="AP331" s="404"/>
      <c r="AQ331" s="404"/>
    </row>
    <row r="332" spans="1:43" s="390" customFormat="1" ht="21.9" customHeight="1">
      <c r="A332" s="454"/>
      <c r="B332" s="659" t="s">
        <v>761</v>
      </c>
      <c r="C332" s="662"/>
      <c r="D332" s="662"/>
      <c r="E332" s="662"/>
      <c r="F332" s="498"/>
      <c r="G332" s="642"/>
      <c r="H332" s="647"/>
      <c r="I332" s="499"/>
      <c r="J332" s="455"/>
      <c r="K332" s="455"/>
      <c r="L332" s="312"/>
      <c r="M332" s="726"/>
      <c r="N332" s="726"/>
      <c r="O332" s="726"/>
      <c r="P332" s="726"/>
      <c r="Q332" s="611"/>
      <c r="R332" s="611"/>
      <c r="S332" s="624"/>
      <c r="T332" s="625"/>
      <c r="U332" s="626"/>
      <c r="V332" s="624"/>
      <c r="W332" s="624">
        <f>IF($R332=W$5,$V332,0)</f>
        <v>0</v>
      </c>
      <c r="X332" s="624">
        <f t="shared" si="98"/>
        <v>0</v>
      </c>
      <c r="Y332" s="624">
        <f t="shared" si="98"/>
        <v>0</v>
      </c>
      <c r="Z332" s="624">
        <f t="shared" si="98"/>
        <v>0</v>
      </c>
      <c r="AA332" s="624">
        <f t="shared" si="98"/>
        <v>0</v>
      </c>
      <c r="AB332" s="624">
        <f t="shared" si="98"/>
        <v>0</v>
      </c>
      <c r="AC332" s="624">
        <f t="shared" si="98"/>
        <v>0</v>
      </c>
      <c r="AD332" s="624">
        <f t="shared" si="98"/>
        <v>0</v>
      </c>
      <c r="AE332" s="624">
        <f t="shared" si="98"/>
        <v>0</v>
      </c>
      <c r="AF332" s="404"/>
      <c r="AG332" s="471"/>
      <c r="AH332" s="471"/>
      <c r="AI332" s="471"/>
      <c r="AJ332" s="471"/>
      <c r="AM332" s="404"/>
      <c r="AP332" s="404"/>
      <c r="AQ332" s="404"/>
    </row>
    <row r="333" spans="1:43" s="390" customFormat="1" ht="22.25" customHeight="1">
      <c r="A333" s="454"/>
      <c r="B333" s="657" t="s">
        <v>760</v>
      </c>
      <c r="C333" s="662"/>
      <c r="D333" s="662"/>
      <c r="E333" s="662">
        <v>1</v>
      </c>
      <c r="F333" s="498">
        <v>6</v>
      </c>
      <c r="G333" s="642">
        <v>0.83</v>
      </c>
      <c r="H333" s="642">
        <v>1</v>
      </c>
      <c r="I333" s="499"/>
      <c r="J333" s="507">
        <f t="shared" ref="J333:J341" si="99">IF(I333=0,1,I333)*IF(H333=0,1,H333)*IF(G333=0,1,G333)*IF(F333=0,1,F333)*IF(E333=0,1,E333)*IF(D333=0,1,D333)*IF(C333=0,1,C333)</f>
        <v>4.9799999999999995</v>
      </c>
      <c r="K333" s="455"/>
      <c r="L333" s="312"/>
      <c r="M333" s="722"/>
      <c r="N333" s="722"/>
      <c r="O333" s="722"/>
      <c r="P333" s="722"/>
      <c r="Q333" s="611"/>
      <c r="R333" s="611"/>
      <c r="S333" s="611"/>
      <c r="T333" s="611"/>
      <c r="U333" s="611"/>
      <c r="V333" s="624"/>
      <c r="W333" s="624">
        <f>IF($R333=W$5,$V333,0)</f>
        <v>0</v>
      </c>
      <c r="X333" s="624">
        <f t="shared" si="98"/>
        <v>0</v>
      </c>
      <c r="Y333" s="624">
        <f t="shared" si="98"/>
        <v>0</v>
      </c>
      <c r="Z333" s="624">
        <f t="shared" si="98"/>
        <v>0</v>
      </c>
      <c r="AA333" s="624">
        <f t="shared" si="98"/>
        <v>0</v>
      </c>
      <c r="AB333" s="624">
        <f t="shared" si="98"/>
        <v>0</v>
      </c>
      <c r="AC333" s="624">
        <f t="shared" si="98"/>
        <v>0</v>
      </c>
      <c r="AD333" s="624">
        <f t="shared" si="98"/>
        <v>0</v>
      </c>
      <c r="AE333" s="624">
        <f t="shared" si="98"/>
        <v>0</v>
      </c>
      <c r="AF333" s="471">
        <f>14*0.75*1*2</f>
        <v>21</v>
      </c>
      <c r="AG333" s="473"/>
      <c r="AH333" s="471"/>
      <c r="AI333" s="471"/>
      <c r="AJ333" s="471"/>
      <c r="AM333" s="404"/>
      <c r="AP333" s="404"/>
      <c r="AQ333" s="404"/>
    </row>
    <row r="334" spans="1:43" s="390" customFormat="1" ht="22.25" customHeight="1">
      <c r="A334" s="454"/>
      <c r="B334" s="657" t="s">
        <v>762</v>
      </c>
      <c r="C334" s="662"/>
      <c r="D334" s="662">
        <v>2</v>
      </c>
      <c r="E334" s="662">
        <v>5</v>
      </c>
      <c r="F334" s="498">
        <f>14.5-2*0.83</f>
        <v>12.84</v>
      </c>
      <c r="G334" s="642">
        <f>G333</f>
        <v>0.83</v>
      </c>
      <c r="H334" s="642">
        <f>H333</f>
        <v>1</v>
      </c>
      <c r="I334" s="499"/>
      <c r="J334" s="507">
        <f t="shared" si="99"/>
        <v>106.572</v>
      </c>
      <c r="K334" s="455"/>
      <c r="L334" s="312"/>
      <c r="M334" s="722"/>
      <c r="N334" s="722"/>
      <c r="O334" s="722"/>
      <c r="P334" s="722"/>
      <c r="Q334" s="611"/>
      <c r="R334" s="611"/>
      <c r="S334" s="624"/>
      <c r="T334" s="625"/>
      <c r="U334" s="626"/>
      <c r="V334" s="624"/>
      <c r="W334" s="624">
        <f t="shared" ref="W334:AE334" si="100">IF($R334=W$5,$V334,0)</f>
        <v>0</v>
      </c>
      <c r="X334" s="624">
        <f t="shared" si="100"/>
        <v>0</v>
      </c>
      <c r="Y334" s="624">
        <f t="shared" si="100"/>
        <v>0</v>
      </c>
      <c r="Z334" s="624">
        <f t="shared" si="100"/>
        <v>0</v>
      </c>
      <c r="AA334" s="624">
        <f t="shared" si="100"/>
        <v>0</v>
      </c>
      <c r="AB334" s="624">
        <f t="shared" si="100"/>
        <v>0</v>
      </c>
      <c r="AC334" s="624">
        <f t="shared" si="100"/>
        <v>0</v>
      </c>
      <c r="AD334" s="624">
        <f t="shared" si="100"/>
        <v>0</v>
      </c>
      <c r="AE334" s="624">
        <f t="shared" si="100"/>
        <v>0</v>
      </c>
      <c r="AF334" s="471"/>
      <c r="AG334" s="473"/>
      <c r="AH334" s="471"/>
      <c r="AI334" s="471"/>
      <c r="AJ334" s="471"/>
      <c r="AM334" s="404"/>
      <c r="AP334" s="404"/>
      <c r="AQ334" s="404"/>
    </row>
    <row r="335" spans="1:43" s="390" customFormat="1" ht="22.25" customHeight="1">
      <c r="A335" s="454"/>
      <c r="B335" s="657" t="s">
        <v>733</v>
      </c>
      <c r="C335" s="662"/>
      <c r="D335" s="662"/>
      <c r="E335" s="662">
        <v>1</v>
      </c>
      <c r="F335" s="498">
        <f>35-4*0.83</f>
        <v>31.68</v>
      </c>
      <c r="G335" s="642">
        <f t="shared" ref="G335:G342" si="101">G334</f>
        <v>0.83</v>
      </c>
      <c r="H335" s="642">
        <f t="shared" ref="H335:H341" si="102">H334</f>
        <v>1</v>
      </c>
      <c r="I335" s="499"/>
      <c r="J335" s="507">
        <f t="shared" si="99"/>
        <v>26.2944</v>
      </c>
      <c r="K335" s="455"/>
      <c r="L335" s="312"/>
      <c r="M335" s="722"/>
      <c r="N335" s="722"/>
      <c r="O335" s="722"/>
      <c r="P335" s="722"/>
      <c r="Q335" s="611"/>
      <c r="R335" s="611"/>
      <c r="S335" s="624"/>
      <c r="T335" s="625"/>
      <c r="U335" s="626"/>
      <c r="V335" s="624"/>
      <c r="W335" s="624">
        <f>IF($R335=W$5,$V335,0)</f>
        <v>0</v>
      </c>
      <c r="X335" s="624">
        <f t="shared" si="98"/>
        <v>0</v>
      </c>
      <c r="Y335" s="624">
        <f t="shared" si="98"/>
        <v>0</v>
      </c>
      <c r="Z335" s="624">
        <f t="shared" si="98"/>
        <v>0</v>
      </c>
      <c r="AA335" s="624">
        <f t="shared" si="98"/>
        <v>0</v>
      </c>
      <c r="AB335" s="624">
        <f t="shared" si="98"/>
        <v>0</v>
      </c>
      <c r="AC335" s="624">
        <f t="shared" si="98"/>
        <v>0</v>
      </c>
      <c r="AD335" s="624">
        <f t="shared" si="98"/>
        <v>0</v>
      </c>
      <c r="AE335" s="624">
        <f t="shared" si="98"/>
        <v>0</v>
      </c>
      <c r="AF335" s="471"/>
      <c r="AG335" s="473"/>
      <c r="AH335" s="471"/>
      <c r="AI335" s="471"/>
      <c r="AJ335" s="471"/>
      <c r="AM335" s="404"/>
      <c r="AP335" s="404"/>
      <c r="AQ335" s="404"/>
    </row>
    <row r="336" spans="1:43" s="390" customFormat="1" ht="22.25" customHeight="1">
      <c r="A336" s="454"/>
      <c r="B336" s="657" t="s">
        <v>743</v>
      </c>
      <c r="C336" s="662"/>
      <c r="D336" s="662"/>
      <c r="E336" s="662">
        <v>2</v>
      </c>
      <c r="F336" s="498">
        <f>5-0.83</f>
        <v>4.17</v>
      </c>
      <c r="G336" s="642">
        <f t="shared" si="101"/>
        <v>0.83</v>
      </c>
      <c r="H336" s="642">
        <f t="shared" si="102"/>
        <v>1</v>
      </c>
      <c r="I336" s="499"/>
      <c r="J336" s="507">
        <f t="shared" si="99"/>
        <v>6.9221999999999992</v>
      </c>
      <c r="K336" s="455"/>
      <c r="L336" s="312"/>
      <c r="M336" s="722"/>
      <c r="N336" s="722"/>
      <c r="O336" s="722"/>
      <c r="P336" s="722"/>
      <c r="Q336" s="611"/>
      <c r="R336" s="611"/>
      <c r="S336" s="624"/>
      <c r="T336" s="625"/>
      <c r="U336" s="626"/>
      <c r="V336" s="624"/>
      <c r="W336" s="624"/>
      <c r="X336" s="624"/>
      <c r="Y336" s="624"/>
      <c r="Z336" s="624"/>
      <c r="AA336" s="624"/>
      <c r="AB336" s="624"/>
      <c r="AC336" s="624"/>
      <c r="AD336" s="624"/>
      <c r="AE336" s="624"/>
      <c r="AF336" s="471"/>
      <c r="AG336" s="473"/>
      <c r="AH336" s="471"/>
      <c r="AI336" s="471"/>
      <c r="AJ336" s="471"/>
      <c r="AM336" s="404"/>
      <c r="AP336" s="404"/>
      <c r="AQ336" s="404"/>
    </row>
    <row r="337" spans="1:43" s="390" customFormat="1" ht="22.25" customHeight="1">
      <c r="A337" s="454"/>
      <c r="B337" s="657" t="s">
        <v>539</v>
      </c>
      <c r="C337" s="662"/>
      <c r="D337" s="662"/>
      <c r="E337" s="662">
        <v>1</v>
      </c>
      <c r="F337" s="498">
        <f>45-4*0.83</f>
        <v>41.68</v>
      </c>
      <c r="G337" s="642">
        <f t="shared" si="101"/>
        <v>0.83</v>
      </c>
      <c r="H337" s="642">
        <f t="shared" si="102"/>
        <v>1</v>
      </c>
      <c r="I337" s="499"/>
      <c r="J337" s="507">
        <f t="shared" si="99"/>
        <v>34.5944</v>
      </c>
      <c r="K337" s="455"/>
      <c r="L337" s="312"/>
      <c r="M337" s="722"/>
      <c r="N337" s="722"/>
      <c r="O337" s="722"/>
      <c r="P337" s="722"/>
      <c r="Q337" s="611"/>
      <c r="R337" s="611"/>
      <c r="S337" s="624"/>
      <c r="T337" s="625"/>
      <c r="U337" s="626"/>
      <c r="V337" s="624"/>
      <c r="W337" s="624"/>
      <c r="X337" s="624"/>
      <c r="Y337" s="624"/>
      <c r="Z337" s="624"/>
      <c r="AA337" s="624"/>
      <c r="AB337" s="624"/>
      <c r="AC337" s="624"/>
      <c r="AD337" s="624"/>
      <c r="AE337" s="624"/>
      <c r="AF337" s="471"/>
      <c r="AG337" s="473"/>
      <c r="AH337" s="471"/>
      <c r="AI337" s="471"/>
      <c r="AJ337" s="471"/>
      <c r="AM337" s="404"/>
      <c r="AP337" s="404"/>
      <c r="AQ337" s="404"/>
    </row>
    <row r="338" spans="1:43" s="390" customFormat="1" ht="22.25" customHeight="1">
      <c r="A338" s="454"/>
      <c r="B338" s="657" t="s">
        <v>765</v>
      </c>
      <c r="C338" s="662"/>
      <c r="D338" s="662"/>
      <c r="E338" s="662">
        <v>2</v>
      </c>
      <c r="F338" s="498">
        <f>15-1.5*0.83</f>
        <v>13.755000000000001</v>
      </c>
      <c r="G338" s="642">
        <f t="shared" si="101"/>
        <v>0.83</v>
      </c>
      <c r="H338" s="642">
        <f t="shared" si="102"/>
        <v>1</v>
      </c>
      <c r="I338" s="499"/>
      <c r="J338" s="507">
        <f t="shared" si="99"/>
        <v>22.833300000000001</v>
      </c>
      <c r="K338" s="455"/>
      <c r="L338" s="312"/>
      <c r="M338" s="722"/>
      <c r="N338" s="722"/>
      <c r="O338" s="722"/>
      <c r="P338" s="722"/>
      <c r="Q338" s="611"/>
      <c r="R338" s="611"/>
      <c r="S338" s="624"/>
      <c r="T338" s="625"/>
      <c r="U338" s="626"/>
      <c r="V338" s="624"/>
      <c r="W338" s="624"/>
      <c r="X338" s="624"/>
      <c r="Y338" s="624"/>
      <c r="Z338" s="624"/>
      <c r="AA338" s="624"/>
      <c r="AB338" s="624"/>
      <c r="AC338" s="624"/>
      <c r="AD338" s="624"/>
      <c r="AE338" s="624"/>
      <c r="AF338" s="471"/>
      <c r="AG338" s="473"/>
      <c r="AH338" s="471"/>
      <c r="AI338" s="471"/>
      <c r="AJ338" s="471"/>
      <c r="AM338" s="404"/>
      <c r="AP338" s="404"/>
      <c r="AQ338" s="404"/>
    </row>
    <row r="339" spans="1:43" s="390" customFormat="1" ht="22.25" customHeight="1">
      <c r="A339" s="454"/>
      <c r="B339" s="657" t="s">
        <v>764</v>
      </c>
      <c r="C339" s="662"/>
      <c r="D339" s="662"/>
      <c r="E339" s="662">
        <v>2</v>
      </c>
      <c r="F339" s="498">
        <f>45+5-5*0.83</f>
        <v>45.85</v>
      </c>
      <c r="G339" s="642">
        <f t="shared" si="101"/>
        <v>0.83</v>
      </c>
      <c r="H339" s="642">
        <f t="shared" si="102"/>
        <v>1</v>
      </c>
      <c r="I339" s="499"/>
      <c r="J339" s="507">
        <f t="shared" si="99"/>
        <v>76.111000000000004</v>
      </c>
      <c r="K339" s="455"/>
      <c r="L339" s="312"/>
      <c r="M339" s="722"/>
      <c r="N339" s="722"/>
      <c r="O339" s="722"/>
      <c r="P339" s="722"/>
      <c r="Q339" s="611"/>
      <c r="R339" s="611"/>
      <c r="S339" s="624"/>
      <c r="T339" s="625"/>
      <c r="U339" s="626"/>
      <c r="V339" s="624"/>
      <c r="W339" s="624"/>
      <c r="X339" s="624"/>
      <c r="Y339" s="624"/>
      <c r="Z339" s="624"/>
      <c r="AA339" s="624"/>
      <c r="AB339" s="624"/>
      <c r="AC339" s="624"/>
      <c r="AD339" s="624"/>
      <c r="AE339" s="624"/>
      <c r="AF339" s="471"/>
      <c r="AG339" s="473"/>
      <c r="AH339" s="471"/>
      <c r="AI339" s="471"/>
      <c r="AJ339" s="471"/>
      <c r="AM339" s="404"/>
      <c r="AP339" s="404"/>
      <c r="AQ339" s="404"/>
    </row>
    <row r="340" spans="1:43" s="390" customFormat="1" ht="22.25" customHeight="1">
      <c r="A340" s="454"/>
      <c r="B340" s="657" t="s">
        <v>766</v>
      </c>
      <c r="C340" s="662"/>
      <c r="D340" s="662"/>
      <c r="E340" s="662">
        <v>1</v>
      </c>
      <c r="F340" s="498">
        <f>10-2*0.83</f>
        <v>8.34</v>
      </c>
      <c r="G340" s="642">
        <f t="shared" si="101"/>
        <v>0.83</v>
      </c>
      <c r="H340" s="642">
        <f t="shared" si="102"/>
        <v>1</v>
      </c>
      <c r="I340" s="499"/>
      <c r="J340" s="507">
        <f t="shared" si="99"/>
        <v>6.9221999999999992</v>
      </c>
      <c r="K340" s="455"/>
      <c r="L340" s="312"/>
      <c r="M340" s="722"/>
      <c r="N340" s="722"/>
      <c r="O340" s="722"/>
      <c r="P340" s="722"/>
      <c r="Q340" s="611"/>
      <c r="R340" s="611"/>
      <c r="S340" s="624"/>
      <c r="T340" s="625"/>
      <c r="U340" s="626"/>
      <c r="V340" s="624"/>
      <c r="W340" s="624"/>
      <c r="X340" s="624"/>
      <c r="Y340" s="624"/>
      <c r="Z340" s="624"/>
      <c r="AA340" s="624"/>
      <c r="AB340" s="624"/>
      <c r="AC340" s="624"/>
      <c r="AD340" s="624"/>
      <c r="AE340" s="624"/>
      <c r="AF340" s="471"/>
      <c r="AG340" s="473"/>
      <c r="AH340" s="471"/>
      <c r="AI340" s="471"/>
      <c r="AJ340" s="471"/>
      <c r="AM340" s="404"/>
      <c r="AP340" s="404"/>
      <c r="AQ340" s="404"/>
    </row>
    <row r="341" spans="1:43" s="390" customFormat="1" ht="22.25" customHeight="1">
      <c r="A341" s="454"/>
      <c r="B341" s="657" t="s">
        <v>767</v>
      </c>
      <c r="C341" s="662"/>
      <c r="D341" s="662"/>
      <c r="E341" s="662">
        <v>1</v>
      </c>
      <c r="F341" s="498">
        <f>30-3*0.83</f>
        <v>27.51</v>
      </c>
      <c r="G341" s="642">
        <f t="shared" si="101"/>
        <v>0.83</v>
      </c>
      <c r="H341" s="642">
        <f t="shared" si="102"/>
        <v>1</v>
      </c>
      <c r="I341" s="499"/>
      <c r="J341" s="507">
        <f t="shared" si="99"/>
        <v>22.833300000000001</v>
      </c>
      <c r="K341" s="455"/>
      <c r="L341" s="312"/>
      <c r="M341" s="722"/>
      <c r="N341" s="722"/>
      <c r="O341" s="722"/>
      <c r="P341" s="722"/>
      <c r="Q341" s="611"/>
      <c r="R341" s="611"/>
      <c r="S341" s="624"/>
      <c r="T341" s="625"/>
      <c r="U341" s="626"/>
      <c r="V341" s="624"/>
      <c r="W341" s="624"/>
      <c r="X341" s="624"/>
      <c r="Y341" s="624"/>
      <c r="Z341" s="624"/>
      <c r="AA341" s="624"/>
      <c r="AB341" s="624"/>
      <c r="AC341" s="624"/>
      <c r="AD341" s="624"/>
      <c r="AE341" s="624"/>
      <c r="AF341" s="471"/>
      <c r="AG341" s="473"/>
      <c r="AH341" s="471"/>
      <c r="AI341" s="471"/>
      <c r="AJ341" s="471"/>
      <c r="AM341" s="404"/>
      <c r="AP341" s="404"/>
      <c r="AQ341" s="404"/>
    </row>
    <row r="342" spans="1:43" s="390" customFormat="1" ht="22.25" customHeight="1">
      <c r="A342" s="454"/>
      <c r="B342" s="657" t="s">
        <v>610</v>
      </c>
      <c r="C342" s="662"/>
      <c r="D342" s="662"/>
      <c r="E342" s="662">
        <v>1</v>
      </c>
      <c r="F342" s="498">
        <v>5</v>
      </c>
      <c r="G342" s="642">
        <f t="shared" si="101"/>
        <v>0.83</v>
      </c>
      <c r="H342" s="642">
        <f>H340</f>
        <v>1</v>
      </c>
      <c r="I342" s="499"/>
      <c r="J342" s="507">
        <f>IF(I342=0,1,I342)*IF(H342=0,1,H342)*IF(G342=0,1,G342)*IF(F342=0,1,F342)*IF(E342=0,1,E342)*IF(D342=0,1,D342)*IF(C342=0,1,C342)</f>
        <v>4.1499999999999995</v>
      </c>
      <c r="K342" s="455"/>
      <c r="L342" s="312"/>
      <c r="M342" s="722"/>
      <c r="N342" s="722"/>
      <c r="O342" s="722"/>
      <c r="P342" s="722"/>
      <c r="Q342" s="611"/>
      <c r="R342" s="611"/>
      <c r="S342" s="624"/>
      <c r="T342" s="625"/>
      <c r="U342" s="626"/>
      <c r="V342" s="624"/>
      <c r="W342" s="624"/>
      <c r="X342" s="624"/>
      <c r="Y342" s="624"/>
      <c r="Z342" s="624"/>
      <c r="AA342" s="624"/>
      <c r="AB342" s="624"/>
      <c r="AC342" s="624"/>
      <c r="AD342" s="624"/>
      <c r="AE342" s="624"/>
      <c r="AF342" s="471"/>
      <c r="AG342" s="473"/>
      <c r="AH342" s="471"/>
      <c r="AI342" s="471"/>
      <c r="AJ342" s="471"/>
      <c r="AM342" s="404"/>
      <c r="AP342" s="404"/>
      <c r="AQ342" s="404"/>
    </row>
    <row r="343" spans="1:43" s="390" customFormat="1" ht="26.25" customHeight="1">
      <c r="A343" s="454"/>
      <c r="B343" s="660"/>
      <c r="C343" s="662"/>
      <c r="D343" s="662"/>
      <c r="E343" s="662"/>
      <c r="F343" s="498"/>
      <c r="G343" s="642"/>
      <c r="H343" s="642"/>
      <c r="I343" s="458" t="str">
        <f>B323</f>
        <v>Roof Floor Beam</v>
      </c>
      <c r="J343" s="455"/>
      <c r="K343" s="455">
        <f>SUM(J323:J343)</f>
        <v>361.13847799999996</v>
      </c>
      <c r="L343" s="312" t="s">
        <v>301</v>
      </c>
      <c r="M343" s="726"/>
      <c r="N343" s="726"/>
      <c r="O343" s="726"/>
      <c r="P343" s="726"/>
      <c r="Q343" s="611"/>
      <c r="R343" s="611"/>
      <c r="S343" s="611"/>
      <c r="T343" s="626"/>
      <c r="U343" s="624"/>
      <c r="V343" s="624"/>
      <c r="W343" s="624">
        <f t="shared" ref="W343:AE343" si="103">IF($R343=W$5,$V343,0)</f>
        <v>0</v>
      </c>
      <c r="X343" s="624">
        <f t="shared" si="103"/>
        <v>0</v>
      </c>
      <c r="Y343" s="624">
        <f t="shared" si="103"/>
        <v>0</v>
      </c>
      <c r="Z343" s="624">
        <f t="shared" si="103"/>
        <v>0</v>
      </c>
      <c r="AA343" s="624">
        <f t="shared" si="103"/>
        <v>0</v>
      </c>
      <c r="AB343" s="624">
        <f t="shared" si="103"/>
        <v>0</v>
      </c>
      <c r="AC343" s="624">
        <f t="shared" si="103"/>
        <v>0</v>
      </c>
      <c r="AD343" s="624">
        <f t="shared" si="103"/>
        <v>0</v>
      </c>
      <c r="AE343" s="624">
        <f t="shared" si="103"/>
        <v>0</v>
      </c>
      <c r="AF343" s="404"/>
      <c r="AG343" s="471"/>
      <c r="AH343" s="471"/>
      <c r="AI343" s="471"/>
      <c r="AJ343" s="471"/>
      <c r="AM343" s="404"/>
      <c r="AP343" s="404"/>
      <c r="AQ343" s="404"/>
    </row>
    <row r="344" spans="1:43" s="390" customFormat="1" ht="21.9" customHeight="1">
      <c r="A344" s="454"/>
      <c r="B344" s="659" t="s">
        <v>480</v>
      </c>
      <c r="C344" s="662"/>
      <c r="D344" s="662"/>
      <c r="E344" s="662"/>
      <c r="F344" s="498"/>
      <c r="G344" s="642"/>
      <c r="H344" s="648"/>
      <c r="I344" s="501"/>
      <c r="J344" s="455"/>
      <c r="K344" s="455"/>
      <c r="L344" s="312"/>
      <c r="M344" s="726"/>
      <c r="N344" s="726"/>
      <c r="O344" s="726"/>
      <c r="P344" s="726"/>
      <c r="Q344" s="611"/>
      <c r="R344" s="611"/>
      <c r="S344" s="624"/>
      <c r="T344" s="625"/>
      <c r="U344" s="626"/>
      <c r="V344" s="624"/>
      <c r="W344" s="624">
        <f t="shared" ref="W344:AE350" si="104">IF($R344=W$5,$V344,0)</f>
        <v>0</v>
      </c>
      <c r="X344" s="624">
        <f t="shared" si="104"/>
        <v>0</v>
      </c>
      <c r="Y344" s="624">
        <f t="shared" si="104"/>
        <v>0</v>
      </c>
      <c r="Z344" s="624">
        <f t="shared" si="104"/>
        <v>0</v>
      </c>
      <c r="AA344" s="624">
        <f t="shared" si="104"/>
        <v>0</v>
      </c>
      <c r="AB344" s="624">
        <f t="shared" si="104"/>
        <v>0</v>
      </c>
      <c r="AC344" s="624">
        <f t="shared" si="104"/>
        <v>0</v>
      </c>
      <c r="AD344" s="624">
        <f t="shared" si="104"/>
        <v>0</v>
      </c>
      <c r="AE344" s="624">
        <f t="shared" si="104"/>
        <v>0</v>
      </c>
      <c r="AF344" s="404"/>
      <c r="AG344" s="471"/>
      <c r="AH344" s="471"/>
      <c r="AI344" s="471"/>
      <c r="AJ344" s="471"/>
      <c r="AM344" s="404"/>
      <c r="AP344" s="404"/>
      <c r="AQ344" s="404"/>
    </row>
    <row r="345" spans="1:43" s="390" customFormat="1" ht="21.9" customHeight="1">
      <c r="A345" s="454"/>
      <c r="B345" s="659" t="s">
        <v>768</v>
      </c>
      <c r="C345" s="662"/>
      <c r="D345" s="662"/>
      <c r="E345" s="662"/>
      <c r="F345" s="498"/>
      <c r="G345" s="642"/>
      <c r="H345" s="648"/>
      <c r="I345" s="501"/>
      <c r="J345" s="455"/>
      <c r="K345" s="455"/>
      <c r="L345" s="312"/>
      <c r="M345" s="726"/>
      <c r="N345" s="726"/>
      <c r="O345" s="726"/>
      <c r="P345" s="726"/>
      <c r="Q345" s="611"/>
      <c r="R345" s="611"/>
      <c r="S345" s="624"/>
      <c r="T345" s="625"/>
      <c r="U345" s="626"/>
      <c r="V345" s="624"/>
      <c r="W345" s="624">
        <f t="shared" si="104"/>
        <v>0</v>
      </c>
      <c r="X345" s="624">
        <f t="shared" si="104"/>
        <v>0</v>
      </c>
      <c r="Y345" s="624">
        <f t="shared" si="104"/>
        <v>0</v>
      </c>
      <c r="Z345" s="624">
        <f t="shared" si="104"/>
        <v>0</v>
      </c>
      <c r="AA345" s="624">
        <f t="shared" si="104"/>
        <v>0</v>
      </c>
      <c r="AB345" s="624">
        <f t="shared" si="104"/>
        <v>0</v>
      </c>
      <c r="AC345" s="624">
        <f t="shared" si="104"/>
        <v>0</v>
      </c>
      <c r="AD345" s="624">
        <f t="shared" si="104"/>
        <v>0</v>
      </c>
      <c r="AE345" s="624">
        <f t="shared" si="104"/>
        <v>0</v>
      </c>
      <c r="AF345" s="404"/>
      <c r="AG345" s="471"/>
      <c r="AH345" s="471"/>
      <c r="AI345" s="471"/>
      <c r="AJ345" s="471"/>
      <c r="AM345" s="404"/>
      <c r="AP345" s="404"/>
      <c r="AQ345" s="404"/>
    </row>
    <row r="346" spans="1:43" s="390" customFormat="1" ht="21.9" customHeight="1">
      <c r="A346" s="454"/>
      <c r="B346" s="659" t="s">
        <v>481</v>
      </c>
      <c r="C346" s="662"/>
      <c r="D346" s="662"/>
      <c r="E346" s="662"/>
      <c r="F346" s="498"/>
      <c r="G346" s="642"/>
      <c r="H346" s="647"/>
      <c r="I346" s="499"/>
      <c r="J346" s="455"/>
      <c r="K346" s="455"/>
      <c r="L346" s="312"/>
      <c r="M346" s="726"/>
      <c r="N346" s="726"/>
      <c r="O346" s="726"/>
      <c r="P346" s="726"/>
      <c r="Q346" s="611"/>
      <c r="R346" s="611"/>
      <c r="S346" s="624"/>
      <c r="T346" s="625"/>
      <c r="U346" s="626"/>
      <c r="V346" s="624"/>
      <c r="W346" s="624">
        <f t="shared" si="104"/>
        <v>0</v>
      </c>
      <c r="X346" s="624">
        <f t="shared" si="104"/>
        <v>0</v>
      </c>
      <c r="Y346" s="624">
        <f t="shared" si="104"/>
        <v>0</v>
      </c>
      <c r="Z346" s="624">
        <f t="shared" si="104"/>
        <v>0</v>
      </c>
      <c r="AA346" s="624">
        <f t="shared" si="104"/>
        <v>0</v>
      </c>
      <c r="AB346" s="624">
        <f t="shared" si="104"/>
        <v>0</v>
      </c>
      <c r="AC346" s="624">
        <f t="shared" si="104"/>
        <v>0</v>
      </c>
      <c r="AD346" s="624">
        <f t="shared" si="104"/>
        <v>0</v>
      </c>
      <c r="AE346" s="624">
        <f t="shared" si="104"/>
        <v>0</v>
      </c>
      <c r="AF346" s="404"/>
      <c r="AG346" s="471"/>
      <c r="AH346" s="471"/>
      <c r="AI346" s="471"/>
      <c r="AJ346" s="471"/>
      <c r="AM346" s="404"/>
      <c r="AP346" s="404"/>
      <c r="AQ346" s="404"/>
    </row>
    <row r="347" spans="1:43" s="390" customFormat="1" ht="22.25" customHeight="1">
      <c r="A347" s="454"/>
      <c r="B347" s="657" t="s">
        <v>769</v>
      </c>
      <c r="C347" s="662"/>
      <c r="D347" s="662">
        <v>1</v>
      </c>
      <c r="E347" s="662">
        <v>1</v>
      </c>
      <c r="F347" s="498">
        <v>9.5</v>
      </c>
      <c r="G347" s="642">
        <v>5.83</v>
      </c>
      <c r="H347" s="642">
        <v>0.42</v>
      </c>
      <c r="I347" s="499"/>
      <c r="J347" s="507">
        <f>IF(I347=0,1,I347)*IF(H347=0,1,H347)*IF(G347=0,1,G347)*IF(F347=0,1,F347)*IF(E347=0,1,E347)*IF(D347=0,1,D347)*IF(C347=0,1,C347)</f>
        <v>23.261699999999998</v>
      </c>
      <c r="K347" s="455"/>
      <c r="L347" s="312" t="s">
        <v>45</v>
      </c>
      <c r="M347" s="722"/>
      <c r="N347" s="722"/>
      <c r="O347" s="722"/>
      <c r="P347" s="722"/>
      <c r="Q347" s="611"/>
      <c r="R347" s="611"/>
      <c r="S347" s="624"/>
      <c r="T347" s="625"/>
      <c r="U347" s="626"/>
      <c r="V347" s="624"/>
      <c r="W347" s="624">
        <f t="shared" si="104"/>
        <v>0</v>
      </c>
      <c r="X347" s="624">
        <f t="shared" si="104"/>
        <v>0</v>
      </c>
      <c r="Y347" s="624">
        <f t="shared" si="104"/>
        <v>0</v>
      </c>
      <c r="Z347" s="624">
        <f t="shared" si="104"/>
        <v>0</v>
      </c>
      <c r="AA347" s="624">
        <f t="shared" si="104"/>
        <v>0</v>
      </c>
      <c r="AB347" s="624">
        <f t="shared" si="104"/>
        <v>0</v>
      </c>
      <c r="AC347" s="624">
        <f t="shared" si="104"/>
        <v>0</v>
      </c>
      <c r="AD347" s="624">
        <f t="shared" si="104"/>
        <v>0</v>
      </c>
      <c r="AE347" s="624">
        <f t="shared" si="104"/>
        <v>0</v>
      </c>
      <c r="AF347" s="471"/>
      <c r="AG347" s="473"/>
      <c r="AH347" s="471"/>
      <c r="AI347" s="471"/>
      <c r="AJ347" s="471"/>
      <c r="AM347" s="404"/>
      <c r="AP347" s="404"/>
      <c r="AQ347" s="404"/>
    </row>
    <row r="348" spans="1:43" s="390" customFormat="1" ht="22.25" customHeight="1">
      <c r="A348" s="454"/>
      <c r="B348" s="659" t="s">
        <v>770</v>
      </c>
      <c r="C348" s="662"/>
      <c r="D348" s="662"/>
      <c r="E348" s="662"/>
      <c r="F348" s="498"/>
      <c r="G348" s="642"/>
      <c r="H348" s="642"/>
      <c r="I348" s="499"/>
      <c r="J348" s="507"/>
      <c r="K348" s="455"/>
      <c r="L348" s="312"/>
      <c r="M348" s="722"/>
      <c r="N348" s="722"/>
      <c r="O348" s="722"/>
      <c r="P348" s="722"/>
      <c r="Q348" s="611"/>
      <c r="R348" s="611"/>
      <c r="S348" s="624"/>
      <c r="T348" s="625"/>
      <c r="U348" s="626"/>
      <c r="V348" s="624"/>
      <c r="W348" s="624"/>
      <c r="X348" s="624"/>
      <c r="Y348" s="624"/>
      <c r="Z348" s="624"/>
      <c r="AA348" s="624"/>
      <c r="AB348" s="624"/>
      <c r="AC348" s="624"/>
      <c r="AD348" s="624"/>
      <c r="AE348" s="624"/>
      <c r="AF348" s="471"/>
      <c r="AG348" s="473"/>
      <c r="AH348" s="471"/>
      <c r="AI348" s="471"/>
      <c r="AJ348" s="471"/>
      <c r="AM348" s="404"/>
      <c r="AP348" s="404"/>
      <c r="AQ348" s="404"/>
    </row>
    <row r="349" spans="1:43" s="390" customFormat="1" ht="22.25" customHeight="1">
      <c r="A349" s="454"/>
      <c r="B349" s="657" t="s">
        <v>771</v>
      </c>
      <c r="C349" s="662"/>
      <c r="D349" s="662">
        <v>1</v>
      </c>
      <c r="E349" s="662">
        <v>1</v>
      </c>
      <c r="F349" s="498">
        <v>204</v>
      </c>
      <c r="G349" s="642">
        <v>3</v>
      </c>
      <c r="H349" s="642">
        <v>0.33</v>
      </c>
      <c r="I349" s="499"/>
      <c r="J349" s="507">
        <f>IF(I349=0,1,I349)*IF(H349=0,1,H349)*IF(G349=0,1,G349)*IF(F349=0,1,F349)*IF(E349=0,1,E349)*IF(D349=0,1,D349)*IF(C349=0,1,C349)</f>
        <v>201.96</v>
      </c>
      <c r="K349" s="455"/>
      <c r="L349" s="312" t="s">
        <v>45</v>
      </c>
      <c r="M349" s="722"/>
      <c r="N349" s="722"/>
      <c r="O349" s="722"/>
      <c r="P349" s="722"/>
      <c r="Q349" s="611"/>
      <c r="R349" s="611"/>
      <c r="S349" s="624"/>
      <c r="T349" s="625"/>
      <c r="U349" s="626"/>
      <c r="V349" s="624"/>
      <c r="W349" s="624">
        <f t="shared" si="104"/>
        <v>0</v>
      </c>
      <c r="X349" s="624">
        <f t="shared" si="104"/>
        <v>0</v>
      </c>
      <c r="Y349" s="624">
        <f t="shared" si="104"/>
        <v>0</v>
      </c>
      <c r="Z349" s="624">
        <f t="shared" si="104"/>
        <v>0</v>
      </c>
      <c r="AA349" s="624">
        <f t="shared" si="104"/>
        <v>0</v>
      </c>
      <c r="AB349" s="624">
        <f t="shared" si="104"/>
        <v>0</v>
      </c>
      <c r="AC349" s="624">
        <f t="shared" si="104"/>
        <v>0</v>
      </c>
      <c r="AD349" s="624">
        <f t="shared" si="104"/>
        <v>0</v>
      </c>
      <c r="AE349" s="624">
        <f t="shared" si="104"/>
        <v>0</v>
      </c>
      <c r="AF349" s="471"/>
      <c r="AG349" s="473"/>
      <c r="AH349" s="471"/>
      <c r="AI349" s="471"/>
      <c r="AJ349" s="471"/>
      <c r="AM349" s="404"/>
      <c r="AP349" s="404"/>
      <c r="AQ349" s="404"/>
    </row>
    <row r="350" spans="1:43" s="390" customFormat="1" ht="22.25" customHeight="1">
      <c r="A350" s="454"/>
      <c r="B350" s="657"/>
      <c r="C350" s="662"/>
      <c r="D350" s="662">
        <v>1</v>
      </c>
      <c r="E350" s="662">
        <v>1</v>
      </c>
      <c r="F350" s="498">
        <f>F349</f>
        <v>204</v>
      </c>
      <c r="G350" s="642">
        <v>0.33</v>
      </c>
      <c r="H350" s="642">
        <v>1.5</v>
      </c>
      <c r="I350" s="499"/>
      <c r="J350" s="507">
        <f>IF(I350=0,1,I350)*IF(H350=0,1,H350)*IF(G350=0,1,G350)*IF(F350=0,1,F350)*IF(E350=0,1,E350)*IF(D350=0,1,D350)*IF(C350=0,1,C350)</f>
        <v>100.98</v>
      </c>
      <c r="K350" s="455"/>
      <c r="L350" s="312" t="s">
        <v>45</v>
      </c>
      <c r="M350" s="722"/>
      <c r="N350" s="722"/>
      <c r="O350" s="722"/>
      <c r="P350" s="722"/>
      <c r="Q350" s="611"/>
      <c r="R350" s="611"/>
      <c r="S350" s="624"/>
      <c r="T350" s="625"/>
      <c r="U350" s="626"/>
      <c r="V350" s="624"/>
      <c r="W350" s="624">
        <f t="shared" si="104"/>
        <v>0</v>
      </c>
      <c r="X350" s="624">
        <f t="shared" si="104"/>
        <v>0</v>
      </c>
      <c r="Y350" s="624">
        <f t="shared" si="104"/>
        <v>0</v>
      </c>
      <c r="Z350" s="624">
        <f t="shared" si="104"/>
        <v>0</v>
      </c>
      <c r="AA350" s="624">
        <f t="shared" si="104"/>
        <v>0</v>
      </c>
      <c r="AB350" s="624">
        <f t="shared" si="104"/>
        <v>0</v>
      </c>
      <c r="AC350" s="624">
        <f t="shared" si="104"/>
        <v>0</v>
      </c>
      <c r="AD350" s="624">
        <f t="shared" si="104"/>
        <v>0</v>
      </c>
      <c r="AE350" s="624">
        <f t="shared" si="104"/>
        <v>0</v>
      </c>
      <c r="AF350" s="471"/>
      <c r="AG350" s="473"/>
      <c r="AH350" s="471"/>
      <c r="AI350" s="471"/>
      <c r="AJ350" s="471"/>
      <c r="AM350" s="404"/>
      <c r="AP350" s="404"/>
      <c r="AQ350" s="404"/>
    </row>
    <row r="351" spans="1:43" s="390" customFormat="1" ht="26.25" customHeight="1">
      <c r="A351" s="454"/>
      <c r="B351" s="660"/>
      <c r="C351" s="662"/>
      <c r="D351" s="662"/>
      <c r="E351" s="662"/>
      <c r="F351" s="498"/>
      <c r="G351" s="642"/>
      <c r="H351" s="642"/>
      <c r="I351" s="458" t="str">
        <f>B344</f>
        <v>Roof Slab</v>
      </c>
      <c r="J351" s="455"/>
      <c r="K351" s="455">
        <f>SUM(J345:J351)</f>
        <v>326.20170000000002</v>
      </c>
      <c r="L351" s="312" t="s">
        <v>301</v>
      </c>
      <c r="M351" s="726"/>
      <c r="N351" s="726"/>
      <c r="O351" s="726"/>
      <c r="P351" s="726"/>
      <c r="Q351" s="611"/>
      <c r="R351" s="611"/>
      <c r="S351" s="611"/>
      <c r="T351" s="626"/>
      <c r="U351" s="624"/>
      <c r="V351" s="624"/>
      <c r="W351" s="624">
        <f t="shared" ref="W351:AE356" si="105">IF($R351=W$5,$V351,0)</f>
        <v>0</v>
      </c>
      <c r="X351" s="624">
        <f t="shared" si="105"/>
        <v>0</v>
      </c>
      <c r="Y351" s="624">
        <f t="shared" si="105"/>
        <v>0</v>
      </c>
      <c r="Z351" s="624">
        <f t="shared" si="105"/>
        <v>0</v>
      </c>
      <c r="AA351" s="624">
        <f t="shared" si="105"/>
        <v>0</v>
      </c>
      <c r="AB351" s="624">
        <f t="shared" si="105"/>
        <v>0</v>
      </c>
      <c r="AC351" s="624">
        <f t="shared" si="105"/>
        <v>0</v>
      </c>
      <c r="AD351" s="624">
        <f t="shared" si="105"/>
        <v>0</v>
      </c>
      <c r="AE351" s="624">
        <f t="shared" si="105"/>
        <v>0</v>
      </c>
      <c r="AF351" s="404"/>
      <c r="AG351" s="471"/>
      <c r="AH351" s="471"/>
      <c r="AI351" s="471"/>
      <c r="AJ351" s="471"/>
      <c r="AM351" s="404"/>
      <c r="AP351" s="404"/>
      <c r="AQ351" s="404"/>
    </row>
    <row r="352" spans="1:43" s="476" customFormat="1" ht="21.9" customHeight="1">
      <c r="A352" s="478"/>
      <c r="B352" s="763" t="s">
        <v>603</v>
      </c>
      <c r="C352" s="665"/>
      <c r="D352" s="665"/>
      <c r="E352" s="665"/>
      <c r="F352" s="751"/>
      <c r="G352" s="752"/>
      <c r="H352" s="651"/>
      <c r="I352" s="485"/>
      <c r="J352" s="479"/>
      <c r="K352" s="479"/>
      <c r="L352" s="483"/>
      <c r="M352" s="764"/>
      <c r="N352" s="764"/>
      <c r="O352" s="764"/>
      <c r="P352" s="764"/>
      <c r="Q352" s="756"/>
      <c r="R352" s="756"/>
      <c r="S352" s="757"/>
      <c r="T352" s="758"/>
      <c r="U352" s="759"/>
      <c r="V352" s="757"/>
      <c r="W352" s="757">
        <f t="shared" si="105"/>
        <v>0</v>
      </c>
      <c r="X352" s="757">
        <f t="shared" si="105"/>
        <v>0</v>
      </c>
      <c r="Y352" s="757">
        <f t="shared" si="105"/>
        <v>0</v>
      </c>
      <c r="Z352" s="757">
        <f t="shared" si="105"/>
        <v>0</v>
      </c>
      <c r="AA352" s="757">
        <f t="shared" si="105"/>
        <v>0</v>
      </c>
      <c r="AB352" s="757">
        <f t="shared" si="105"/>
        <v>0</v>
      </c>
      <c r="AC352" s="757">
        <f t="shared" si="105"/>
        <v>0</v>
      </c>
      <c r="AD352" s="757">
        <f t="shared" si="105"/>
        <v>0</v>
      </c>
      <c r="AE352" s="757">
        <f t="shared" si="105"/>
        <v>0</v>
      </c>
      <c r="AF352" s="477"/>
      <c r="AG352" s="475"/>
      <c r="AH352" s="475"/>
      <c r="AI352" s="475"/>
      <c r="AJ352" s="475"/>
      <c r="AM352" s="477"/>
      <c r="AP352" s="477"/>
      <c r="AQ352" s="477"/>
    </row>
    <row r="353" spans="1:43" s="390" customFormat="1" ht="22.25" customHeight="1">
      <c r="A353" s="454"/>
      <c r="B353" s="659" t="s">
        <v>151</v>
      </c>
      <c r="C353" s="662"/>
      <c r="D353" s="662"/>
      <c r="E353" s="662"/>
      <c r="F353" s="498"/>
      <c r="G353" s="642"/>
      <c r="H353" s="642"/>
      <c r="I353" s="499"/>
      <c r="J353" s="507"/>
      <c r="K353" s="455"/>
      <c r="L353" s="312"/>
      <c r="M353" s="722">
        <f>F353*2+G353*2</f>
        <v>0</v>
      </c>
      <c r="N353" s="722">
        <f>M353*H353</f>
        <v>0</v>
      </c>
      <c r="O353" s="455">
        <f>F353*G353</f>
        <v>0</v>
      </c>
      <c r="P353" s="722"/>
      <c r="Q353" s="611"/>
      <c r="R353" s="611"/>
      <c r="S353" s="624"/>
      <c r="T353" s="625"/>
      <c r="U353" s="626"/>
      <c r="V353" s="624"/>
      <c r="W353" s="624">
        <f t="shared" si="105"/>
        <v>0</v>
      </c>
      <c r="X353" s="624">
        <f t="shared" si="105"/>
        <v>0</v>
      </c>
      <c r="Y353" s="624">
        <f t="shared" si="105"/>
        <v>0</v>
      </c>
      <c r="Z353" s="624">
        <f t="shared" si="105"/>
        <v>0</v>
      </c>
      <c r="AA353" s="624">
        <f t="shared" si="105"/>
        <v>0</v>
      </c>
      <c r="AB353" s="624">
        <f t="shared" si="105"/>
        <v>0</v>
      </c>
      <c r="AC353" s="624">
        <f t="shared" si="105"/>
        <v>0</v>
      </c>
      <c r="AD353" s="624">
        <f t="shared" si="105"/>
        <v>0</v>
      </c>
      <c r="AE353" s="624">
        <f t="shared" si="105"/>
        <v>0</v>
      </c>
      <c r="AF353" s="471"/>
      <c r="AG353" s="473"/>
      <c r="AH353" s="471"/>
      <c r="AI353" s="471"/>
      <c r="AJ353" s="471"/>
      <c r="AM353" s="404"/>
      <c r="AP353" s="404"/>
      <c r="AQ353" s="404"/>
    </row>
    <row r="354" spans="1:43" s="390" customFormat="1" ht="22.25" customHeight="1">
      <c r="A354" s="454"/>
      <c r="B354" s="657" t="s">
        <v>763</v>
      </c>
      <c r="C354" s="662"/>
      <c r="D354" s="662">
        <v>2</v>
      </c>
      <c r="E354" s="662">
        <v>2</v>
      </c>
      <c r="F354" s="498">
        <v>45</v>
      </c>
      <c r="G354" s="642">
        <v>0.5</v>
      </c>
      <c r="H354" s="642">
        <v>0.5</v>
      </c>
      <c r="I354" s="499"/>
      <c r="J354" s="507">
        <f>IF(I354=0,1,I354)*IF(H354=0,1,H354)*IF(G354=0,1,G354)*IF(F354=0,1,F354)*IF(E354=0,1,E354)*IF(D354=0,1,D354)*IF(C354=0,1,C354)</f>
        <v>45</v>
      </c>
      <c r="K354" s="455"/>
      <c r="L354" s="302" t="s">
        <v>45</v>
      </c>
      <c r="M354" s="722"/>
      <c r="N354" s="722"/>
      <c r="O354" s="500"/>
      <c r="P354" s="722"/>
      <c r="Q354" s="611"/>
      <c r="R354" s="611"/>
      <c r="S354" s="624"/>
      <c r="T354" s="625"/>
      <c r="U354" s="626"/>
      <c r="V354" s="624"/>
      <c r="W354" s="624">
        <f t="shared" si="105"/>
        <v>0</v>
      </c>
      <c r="X354" s="624">
        <f t="shared" si="105"/>
        <v>0</v>
      </c>
      <c r="Y354" s="624">
        <f t="shared" si="105"/>
        <v>0</v>
      </c>
      <c r="Z354" s="624">
        <f t="shared" si="105"/>
        <v>0</v>
      </c>
      <c r="AA354" s="624">
        <f t="shared" si="105"/>
        <v>0</v>
      </c>
      <c r="AB354" s="624">
        <f t="shared" si="105"/>
        <v>0</v>
      </c>
      <c r="AC354" s="624">
        <f t="shared" si="105"/>
        <v>0</v>
      </c>
      <c r="AD354" s="624">
        <f t="shared" si="105"/>
        <v>0</v>
      </c>
      <c r="AE354" s="624">
        <f t="shared" si="105"/>
        <v>0</v>
      </c>
      <c r="AF354" s="471"/>
      <c r="AG354" s="473"/>
      <c r="AH354" s="471"/>
      <c r="AI354" s="471"/>
      <c r="AJ354" s="471"/>
      <c r="AM354" s="404"/>
      <c r="AP354" s="404"/>
      <c r="AQ354" s="404"/>
    </row>
    <row r="355" spans="1:43" s="390" customFormat="1" ht="22.25" customHeight="1">
      <c r="A355" s="454"/>
      <c r="B355" s="657" t="s">
        <v>555</v>
      </c>
      <c r="C355" s="662"/>
      <c r="D355" s="662">
        <v>2</v>
      </c>
      <c r="E355" s="662">
        <v>2</v>
      </c>
      <c r="F355" s="498">
        <v>8</v>
      </c>
      <c r="G355" s="642">
        <f>G354</f>
        <v>0.5</v>
      </c>
      <c r="H355" s="642">
        <f>H354</f>
        <v>0.5</v>
      </c>
      <c r="I355" s="499"/>
      <c r="J355" s="507">
        <f>IF(I355=0,1,I355)*IF(H355=0,1,H355)*IF(G355=0,1,G355)*IF(F355=0,1,F355)*IF(E355=0,1,E355)*IF(D355=0,1,D355)*IF(C355=0,1,C355)</f>
        <v>8</v>
      </c>
      <c r="K355" s="455"/>
      <c r="L355" s="302" t="s">
        <v>45</v>
      </c>
      <c r="M355" s="722"/>
      <c r="N355" s="722"/>
      <c r="O355" s="500"/>
      <c r="P355" s="722"/>
      <c r="Q355" s="611"/>
      <c r="R355" s="611"/>
      <c r="S355" s="624"/>
      <c r="T355" s="625"/>
      <c r="U355" s="626"/>
      <c r="V355" s="624"/>
      <c r="W355" s="624"/>
      <c r="X355" s="624"/>
      <c r="Y355" s="624"/>
      <c r="Z355" s="624"/>
      <c r="AA355" s="624"/>
      <c r="AB355" s="624"/>
      <c r="AC355" s="624"/>
      <c r="AD355" s="624"/>
      <c r="AE355" s="624"/>
      <c r="AF355" s="471"/>
      <c r="AG355" s="473"/>
      <c r="AH355" s="471"/>
      <c r="AI355" s="471"/>
      <c r="AJ355" s="471"/>
      <c r="AM355" s="404"/>
      <c r="AP355" s="404"/>
      <c r="AQ355" s="404"/>
    </row>
    <row r="356" spans="1:43" s="390" customFormat="1" ht="22.25" customHeight="1">
      <c r="A356" s="454"/>
      <c r="B356" s="657" t="s">
        <v>772</v>
      </c>
      <c r="C356" s="662"/>
      <c r="D356" s="662">
        <v>2</v>
      </c>
      <c r="E356" s="662">
        <v>3</v>
      </c>
      <c r="F356" s="498">
        <v>5</v>
      </c>
      <c r="G356" s="642">
        <f t="shared" ref="G356:G362" si="106">G355</f>
        <v>0.5</v>
      </c>
      <c r="H356" s="642">
        <f t="shared" ref="H356:H362" si="107">H355</f>
        <v>0.5</v>
      </c>
      <c r="I356" s="499"/>
      <c r="J356" s="507">
        <f>IF(I356=0,1,I356)*IF(H356=0,1,H356)*IF(G356=0,1,G356)*IF(F356=0,1,F356)*IF(E356=0,1,E356)*IF(D356=0,1,D356)*IF(C356=0,1,C356)</f>
        <v>7.5</v>
      </c>
      <c r="K356" s="455"/>
      <c r="L356" s="302" t="s">
        <v>45</v>
      </c>
      <c r="M356" s="722"/>
      <c r="N356" s="722"/>
      <c r="O356" s="500"/>
      <c r="P356" s="722"/>
      <c r="Q356" s="611"/>
      <c r="R356" s="611"/>
      <c r="S356" s="624"/>
      <c r="T356" s="625"/>
      <c r="U356" s="626"/>
      <c r="V356" s="624"/>
      <c r="W356" s="624">
        <f t="shared" si="105"/>
        <v>0</v>
      </c>
      <c r="X356" s="624">
        <f t="shared" si="105"/>
        <v>0</v>
      </c>
      <c r="Y356" s="624">
        <f t="shared" si="105"/>
        <v>0</v>
      </c>
      <c r="Z356" s="624">
        <f t="shared" si="105"/>
        <v>0</v>
      </c>
      <c r="AA356" s="624">
        <f t="shared" si="105"/>
        <v>0</v>
      </c>
      <c r="AB356" s="624">
        <f t="shared" si="105"/>
        <v>0</v>
      </c>
      <c r="AC356" s="624">
        <f t="shared" si="105"/>
        <v>0</v>
      </c>
      <c r="AD356" s="624">
        <f t="shared" si="105"/>
        <v>0</v>
      </c>
      <c r="AE356" s="624">
        <f t="shared" si="105"/>
        <v>0</v>
      </c>
      <c r="AF356" s="471"/>
      <c r="AG356" s="473"/>
      <c r="AH356" s="471"/>
      <c r="AI356" s="471"/>
      <c r="AJ356" s="471"/>
      <c r="AM356" s="404"/>
      <c r="AP356" s="404"/>
      <c r="AQ356" s="404"/>
    </row>
    <row r="357" spans="1:43" s="390" customFormat="1" ht="22.25" customHeight="1">
      <c r="A357" s="454"/>
      <c r="B357" s="657" t="s">
        <v>472</v>
      </c>
      <c r="C357" s="662"/>
      <c r="D357" s="662">
        <v>2</v>
      </c>
      <c r="E357" s="662">
        <v>1</v>
      </c>
      <c r="F357" s="498">
        <v>30</v>
      </c>
      <c r="G357" s="642">
        <f t="shared" si="106"/>
        <v>0.5</v>
      </c>
      <c r="H357" s="642">
        <f t="shared" si="107"/>
        <v>0.5</v>
      </c>
      <c r="I357" s="499"/>
      <c r="J357" s="507">
        <f t="shared" ref="J357:J363" si="108">IF(I357=0,1,I357)*IF(H357=0,1,H357)*IF(G357=0,1,G357)*IF(F357=0,1,F357)*IF(E357=0,1,E357)*IF(D357=0,1,D357)*IF(C357=0,1,C357)</f>
        <v>15</v>
      </c>
      <c r="K357" s="455"/>
      <c r="L357" s="302" t="s">
        <v>45</v>
      </c>
      <c r="M357" s="722"/>
      <c r="N357" s="722"/>
      <c r="O357" s="500"/>
      <c r="P357" s="722"/>
      <c r="Q357" s="611"/>
      <c r="R357" s="611"/>
      <c r="S357" s="624"/>
      <c r="T357" s="625"/>
      <c r="U357" s="626"/>
      <c r="V357" s="624"/>
      <c r="W357" s="624"/>
      <c r="X357" s="624"/>
      <c r="Y357" s="624"/>
      <c r="Z357" s="624"/>
      <c r="AA357" s="624"/>
      <c r="AB357" s="624"/>
      <c r="AC357" s="624"/>
      <c r="AD357" s="624"/>
      <c r="AE357" s="624"/>
      <c r="AF357" s="471"/>
      <c r="AG357" s="473"/>
      <c r="AH357" s="471"/>
      <c r="AI357" s="471"/>
      <c r="AJ357" s="471"/>
      <c r="AM357" s="404"/>
      <c r="AP357" s="404"/>
      <c r="AQ357" s="404"/>
    </row>
    <row r="358" spans="1:43" s="390" customFormat="1" ht="22.25" customHeight="1">
      <c r="A358" s="454"/>
      <c r="B358" s="657" t="s">
        <v>473</v>
      </c>
      <c r="C358" s="662"/>
      <c r="D358" s="662">
        <v>2</v>
      </c>
      <c r="E358" s="662">
        <v>1</v>
      </c>
      <c r="F358" s="498">
        <v>15</v>
      </c>
      <c r="G358" s="642">
        <f t="shared" si="106"/>
        <v>0.5</v>
      </c>
      <c r="H358" s="642">
        <f t="shared" si="107"/>
        <v>0.5</v>
      </c>
      <c r="I358" s="499"/>
      <c r="J358" s="507">
        <f t="shared" si="108"/>
        <v>7.5</v>
      </c>
      <c r="K358" s="455"/>
      <c r="L358" s="302" t="s">
        <v>45</v>
      </c>
      <c r="M358" s="722"/>
      <c r="N358" s="722"/>
      <c r="O358" s="500"/>
      <c r="P358" s="722"/>
      <c r="Q358" s="611"/>
      <c r="R358" s="611"/>
      <c r="S358" s="624"/>
      <c r="T358" s="625"/>
      <c r="U358" s="626"/>
      <c r="V358" s="624"/>
      <c r="W358" s="624"/>
      <c r="X358" s="624"/>
      <c r="Y358" s="624"/>
      <c r="Z358" s="624"/>
      <c r="AA358" s="624"/>
      <c r="AB358" s="624"/>
      <c r="AC358" s="624"/>
      <c r="AD358" s="624"/>
      <c r="AE358" s="624"/>
      <c r="AF358" s="471"/>
      <c r="AG358" s="473"/>
      <c r="AH358" s="471"/>
      <c r="AI358" s="471"/>
      <c r="AJ358" s="471"/>
      <c r="AM358" s="404"/>
      <c r="AP358" s="404"/>
      <c r="AQ358" s="404"/>
    </row>
    <row r="359" spans="1:43" s="390" customFormat="1" ht="22.25" customHeight="1">
      <c r="A359" s="454"/>
      <c r="B359" s="657" t="s">
        <v>609</v>
      </c>
      <c r="C359" s="662"/>
      <c r="D359" s="662">
        <v>2</v>
      </c>
      <c r="E359" s="662">
        <v>1</v>
      </c>
      <c r="F359" s="498">
        <v>15</v>
      </c>
      <c r="G359" s="642">
        <f t="shared" si="106"/>
        <v>0.5</v>
      </c>
      <c r="H359" s="642">
        <f t="shared" si="107"/>
        <v>0.5</v>
      </c>
      <c r="I359" s="499"/>
      <c r="J359" s="507">
        <f t="shared" si="108"/>
        <v>7.5</v>
      </c>
      <c r="K359" s="455"/>
      <c r="L359" s="302" t="s">
        <v>45</v>
      </c>
      <c r="M359" s="722"/>
      <c r="N359" s="722"/>
      <c r="O359" s="500"/>
      <c r="P359" s="722"/>
      <c r="Q359" s="611"/>
      <c r="R359" s="611"/>
      <c r="S359" s="624"/>
      <c r="T359" s="625"/>
      <c r="U359" s="626"/>
      <c r="V359" s="624"/>
      <c r="W359" s="624"/>
      <c r="X359" s="624"/>
      <c r="Y359" s="624"/>
      <c r="Z359" s="624"/>
      <c r="AA359" s="624"/>
      <c r="AB359" s="624"/>
      <c r="AC359" s="624"/>
      <c r="AD359" s="624"/>
      <c r="AE359" s="624"/>
      <c r="AF359" s="471"/>
      <c r="AG359" s="473"/>
      <c r="AH359" s="471"/>
      <c r="AI359" s="471"/>
      <c r="AJ359" s="471"/>
      <c r="AM359" s="404"/>
      <c r="AP359" s="404"/>
      <c r="AQ359" s="404"/>
    </row>
    <row r="360" spans="1:43" s="390" customFormat="1" ht="22.25" customHeight="1">
      <c r="A360" s="454"/>
      <c r="B360" s="657" t="s">
        <v>305</v>
      </c>
      <c r="C360" s="662"/>
      <c r="D360" s="662">
        <v>2</v>
      </c>
      <c r="E360" s="662">
        <v>1</v>
      </c>
      <c r="F360" s="498">
        <v>35</v>
      </c>
      <c r="G360" s="642">
        <f t="shared" si="106"/>
        <v>0.5</v>
      </c>
      <c r="H360" s="642">
        <f t="shared" si="107"/>
        <v>0.5</v>
      </c>
      <c r="I360" s="499"/>
      <c r="J360" s="507">
        <f t="shared" si="108"/>
        <v>17.5</v>
      </c>
      <c r="K360" s="455"/>
      <c r="L360" s="302" t="s">
        <v>45</v>
      </c>
      <c r="M360" s="722"/>
      <c r="N360" s="722"/>
      <c r="O360" s="500"/>
      <c r="P360" s="722"/>
      <c r="Q360" s="611"/>
      <c r="R360" s="611"/>
      <c r="S360" s="624"/>
      <c r="T360" s="625"/>
      <c r="U360" s="626"/>
      <c r="V360" s="624"/>
      <c r="W360" s="624"/>
      <c r="X360" s="624"/>
      <c r="Y360" s="624"/>
      <c r="Z360" s="624"/>
      <c r="AA360" s="624"/>
      <c r="AB360" s="624"/>
      <c r="AC360" s="624"/>
      <c r="AD360" s="624"/>
      <c r="AE360" s="624"/>
      <c r="AF360" s="471"/>
      <c r="AG360" s="473"/>
      <c r="AH360" s="471"/>
      <c r="AI360" s="471"/>
      <c r="AJ360" s="471"/>
      <c r="AM360" s="404"/>
      <c r="AP360" s="404"/>
      <c r="AQ360" s="404"/>
    </row>
    <row r="361" spans="1:43" s="390" customFormat="1" ht="22.25" customHeight="1">
      <c r="A361" s="454"/>
      <c r="B361" s="657" t="s">
        <v>773</v>
      </c>
      <c r="C361" s="662"/>
      <c r="D361" s="662">
        <v>2</v>
      </c>
      <c r="E361" s="662">
        <v>3</v>
      </c>
      <c r="F361" s="498">
        <f>14.5*2</f>
        <v>29</v>
      </c>
      <c r="G361" s="642">
        <f t="shared" si="106"/>
        <v>0.5</v>
      </c>
      <c r="H361" s="642">
        <f t="shared" si="107"/>
        <v>0.5</v>
      </c>
      <c r="I361" s="499"/>
      <c r="J361" s="507">
        <f t="shared" si="108"/>
        <v>43.5</v>
      </c>
      <c r="K361" s="455"/>
      <c r="L361" s="302" t="s">
        <v>45</v>
      </c>
      <c r="M361" s="722"/>
      <c r="N361" s="722"/>
      <c r="O361" s="500"/>
      <c r="P361" s="722"/>
      <c r="Q361" s="611"/>
      <c r="R361" s="611"/>
      <c r="S361" s="624"/>
      <c r="T361" s="625"/>
      <c r="U361" s="626"/>
      <c r="V361" s="624"/>
      <c r="W361" s="624"/>
      <c r="X361" s="624"/>
      <c r="Y361" s="624"/>
      <c r="Z361" s="624"/>
      <c r="AA361" s="624"/>
      <c r="AB361" s="624"/>
      <c r="AC361" s="624"/>
      <c r="AD361" s="624"/>
      <c r="AE361" s="624"/>
      <c r="AF361" s="471"/>
      <c r="AG361" s="473"/>
      <c r="AH361" s="471"/>
      <c r="AI361" s="471"/>
      <c r="AJ361" s="471"/>
      <c r="AM361" s="404"/>
      <c r="AP361" s="404"/>
      <c r="AQ361" s="404"/>
    </row>
    <row r="362" spans="1:43" s="390" customFormat="1" ht="22.25" customHeight="1">
      <c r="A362" s="454"/>
      <c r="B362" s="657" t="s">
        <v>732</v>
      </c>
      <c r="C362" s="662"/>
      <c r="D362" s="662">
        <v>2</v>
      </c>
      <c r="E362" s="662">
        <v>2</v>
      </c>
      <c r="F362" s="498">
        <v>4.5</v>
      </c>
      <c r="G362" s="642">
        <f t="shared" si="106"/>
        <v>0.5</v>
      </c>
      <c r="H362" s="642">
        <f t="shared" si="107"/>
        <v>0.5</v>
      </c>
      <c r="I362" s="499"/>
      <c r="J362" s="507">
        <f>IF(I362=0,1,I362)*IF(H362=0,1,H362)*IF(G362=0,1,G362)*IF(F362=0,1,F362)*IF(E362=0,1,E362)*IF(D362=0,1,D362)*IF(C362=0,1,C362)</f>
        <v>4.5</v>
      </c>
      <c r="K362" s="455"/>
      <c r="L362" s="302" t="s">
        <v>45</v>
      </c>
      <c r="M362" s="722"/>
      <c r="N362" s="722"/>
      <c r="O362" s="500"/>
      <c r="P362" s="722"/>
      <c r="Q362" s="611"/>
      <c r="R362" s="611"/>
      <c r="S362" s="624"/>
      <c r="T362" s="625"/>
      <c r="U362" s="626"/>
      <c r="V362" s="624"/>
      <c r="W362" s="624"/>
      <c r="X362" s="624"/>
      <c r="Y362" s="624"/>
      <c r="Z362" s="624"/>
      <c r="AA362" s="624"/>
      <c r="AB362" s="624"/>
      <c r="AC362" s="624"/>
      <c r="AD362" s="624"/>
      <c r="AE362" s="624"/>
      <c r="AF362" s="471"/>
      <c r="AG362" s="473"/>
      <c r="AH362" s="471"/>
      <c r="AI362" s="471"/>
      <c r="AJ362" s="471"/>
      <c r="AM362" s="404"/>
      <c r="AP362" s="404"/>
      <c r="AQ362" s="404"/>
    </row>
    <row r="363" spans="1:43" s="390" customFormat="1" ht="22.25" customHeight="1">
      <c r="A363" s="454"/>
      <c r="B363" s="657" t="s">
        <v>734</v>
      </c>
      <c r="C363" s="662"/>
      <c r="D363" s="662">
        <v>2</v>
      </c>
      <c r="E363" s="662">
        <v>1</v>
      </c>
      <c r="F363" s="498">
        <v>9.5</v>
      </c>
      <c r="G363" s="642">
        <f>G361</f>
        <v>0.5</v>
      </c>
      <c r="H363" s="642">
        <f>H361</f>
        <v>0.5</v>
      </c>
      <c r="I363" s="499"/>
      <c r="J363" s="507">
        <f t="shared" si="108"/>
        <v>4.75</v>
      </c>
      <c r="K363" s="455"/>
      <c r="L363" s="302" t="s">
        <v>45</v>
      </c>
      <c r="M363" s="722"/>
      <c r="N363" s="722"/>
      <c r="O363" s="500"/>
      <c r="P363" s="722"/>
      <c r="Q363" s="611"/>
      <c r="R363" s="611"/>
      <c r="S363" s="624"/>
      <c r="T363" s="625"/>
      <c r="U363" s="626"/>
      <c r="V363" s="624"/>
      <c r="W363" s="624"/>
      <c r="X363" s="624"/>
      <c r="Y363" s="624"/>
      <c r="Z363" s="624"/>
      <c r="AA363" s="624"/>
      <c r="AB363" s="624"/>
      <c r="AC363" s="624"/>
      <c r="AD363" s="624"/>
      <c r="AE363" s="624"/>
      <c r="AF363" s="471"/>
      <c r="AG363" s="473"/>
      <c r="AH363" s="471"/>
      <c r="AI363" s="471"/>
      <c r="AJ363" s="471"/>
      <c r="AM363" s="404"/>
      <c r="AP363" s="404"/>
      <c r="AQ363" s="404"/>
    </row>
    <row r="364" spans="1:43" s="390" customFormat="1" ht="22.25" customHeight="1">
      <c r="A364" s="454"/>
      <c r="B364" s="659" t="s">
        <v>43</v>
      </c>
      <c r="C364" s="662"/>
      <c r="D364" s="662"/>
      <c r="E364" s="662"/>
      <c r="F364" s="498"/>
      <c r="G364" s="642"/>
      <c r="H364" s="642"/>
      <c r="I364" s="499"/>
      <c r="J364" s="507"/>
      <c r="K364" s="455"/>
      <c r="L364" s="312"/>
      <c r="M364" s="722">
        <f>F364*2+G364*2</f>
        <v>0</v>
      </c>
      <c r="N364" s="722">
        <f>M364*H364</f>
        <v>0</v>
      </c>
      <c r="O364" s="455">
        <f>F364*G364</f>
        <v>0</v>
      </c>
      <c r="P364" s="722"/>
      <c r="Q364" s="611"/>
      <c r="R364" s="611"/>
      <c r="S364" s="624"/>
      <c r="T364" s="625"/>
      <c r="U364" s="626"/>
      <c r="V364" s="624"/>
      <c r="W364" s="624">
        <f t="shared" ref="W364:AE366" si="109">IF($R364=W$5,$V364,0)</f>
        <v>0</v>
      </c>
      <c r="X364" s="624">
        <f t="shared" si="109"/>
        <v>0</v>
      </c>
      <c r="Y364" s="624">
        <f t="shared" si="109"/>
        <v>0</v>
      </c>
      <c r="Z364" s="624">
        <f t="shared" si="109"/>
        <v>0</v>
      </c>
      <c r="AA364" s="624">
        <f t="shared" si="109"/>
        <v>0</v>
      </c>
      <c r="AB364" s="624">
        <f t="shared" si="109"/>
        <v>0</v>
      </c>
      <c r="AC364" s="624">
        <f t="shared" si="109"/>
        <v>0</v>
      </c>
      <c r="AD364" s="624">
        <f t="shared" si="109"/>
        <v>0</v>
      </c>
      <c r="AE364" s="624">
        <f t="shared" si="109"/>
        <v>0</v>
      </c>
      <c r="AF364" s="471"/>
      <c r="AG364" s="473"/>
      <c r="AH364" s="471"/>
      <c r="AI364" s="471"/>
      <c r="AJ364" s="471"/>
      <c r="AM364" s="404"/>
      <c r="AP364" s="404"/>
      <c r="AQ364" s="404"/>
    </row>
    <row r="365" spans="1:43" s="390" customFormat="1" ht="22.25" customHeight="1">
      <c r="A365" s="454"/>
      <c r="B365" s="657" t="s">
        <v>779</v>
      </c>
      <c r="C365" s="662"/>
      <c r="D365" s="662"/>
      <c r="E365" s="662">
        <v>2</v>
      </c>
      <c r="F365" s="498">
        <v>5</v>
      </c>
      <c r="G365" s="642">
        <v>0.5</v>
      </c>
      <c r="H365" s="642">
        <v>0.5</v>
      </c>
      <c r="I365" s="507">
        <f>IF(H365=0,1,H365)*IF(G365=0,1,G365)*IF(F365=0,1,F365)*IF(E365=0,1,E365)*IF(D365=0,1,D365)*IF(C365=0,1,C365)</f>
        <v>2.5</v>
      </c>
      <c r="J365" s="507"/>
      <c r="K365" s="455"/>
      <c r="L365" s="302"/>
      <c r="M365" s="722">
        <f>F365*E365</f>
        <v>10</v>
      </c>
      <c r="N365" s="722">
        <f>60/3.281</f>
        <v>18.287107589149649</v>
      </c>
      <c r="O365" s="500"/>
      <c r="P365" s="722"/>
      <c r="Q365" s="611"/>
      <c r="R365" s="611"/>
      <c r="S365" s="624"/>
      <c r="T365" s="625"/>
      <c r="U365" s="626"/>
      <c r="V365" s="624"/>
      <c r="W365" s="624">
        <f t="shared" si="109"/>
        <v>0</v>
      </c>
      <c r="X365" s="624">
        <f t="shared" si="109"/>
        <v>0</v>
      </c>
      <c r="Y365" s="624">
        <f t="shared" si="109"/>
        <v>0</v>
      </c>
      <c r="Z365" s="624">
        <f t="shared" si="109"/>
        <v>0</v>
      </c>
      <c r="AA365" s="624">
        <f t="shared" si="109"/>
        <v>0</v>
      </c>
      <c r="AB365" s="624">
        <f t="shared" si="109"/>
        <v>0</v>
      </c>
      <c r="AC365" s="624">
        <f t="shared" si="109"/>
        <v>0</v>
      </c>
      <c r="AD365" s="624">
        <f t="shared" si="109"/>
        <v>0</v>
      </c>
      <c r="AE365" s="624">
        <f t="shared" si="109"/>
        <v>0</v>
      </c>
      <c r="AF365" s="471"/>
      <c r="AG365" s="473"/>
      <c r="AH365" s="471"/>
      <c r="AI365" s="471"/>
      <c r="AJ365" s="471"/>
      <c r="AM365" s="404"/>
      <c r="AP365" s="404"/>
      <c r="AQ365" s="404"/>
    </row>
    <row r="366" spans="1:43" s="390" customFormat="1" ht="22.25" customHeight="1">
      <c r="A366" s="454"/>
      <c r="B366" s="657" t="s">
        <v>780</v>
      </c>
      <c r="C366" s="662"/>
      <c r="D366" s="662"/>
      <c r="E366" s="662">
        <v>3</v>
      </c>
      <c r="F366" s="498">
        <v>3.33</v>
      </c>
      <c r="G366" s="642">
        <f>G365</f>
        <v>0.5</v>
      </c>
      <c r="H366" s="642">
        <v>0.5</v>
      </c>
      <c r="I366" s="507">
        <f>IF(H366=0,1,H366)*IF(G366=0,1,G366)*IF(F366=0,1,F366)*IF(E366=0,1,E366)*IF(D366=0,1,D366)*IF(C366=0,1,C366)</f>
        <v>2.4975000000000001</v>
      </c>
      <c r="J366" s="507"/>
      <c r="K366" s="455"/>
      <c r="L366" s="302"/>
      <c r="M366" s="722">
        <f>F366*E366</f>
        <v>9.99</v>
      </c>
      <c r="N366" s="722"/>
      <c r="O366" s="500"/>
      <c r="P366" s="722"/>
      <c r="Q366" s="611"/>
      <c r="R366" s="611"/>
      <c r="S366" s="624"/>
      <c r="T366" s="625"/>
      <c r="U366" s="626"/>
      <c r="V366" s="624"/>
      <c r="W366" s="624">
        <f t="shared" si="109"/>
        <v>0</v>
      </c>
      <c r="X366" s="624">
        <f t="shared" si="109"/>
        <v>0</v>
      </c>
      <c r="Y366" s="624">
        <f t="shared" si="109"/>
        <v>0</v>
      </c>
      <c r="Z366" s="624">
        <f t="shared" si="109"/>
        <v>0</v>
      </c>
      <c r="AA366" s="624">
        <f t="shared" si="109"/>
        <v>0</v>
      </c>
      <c r="AB366" s="624">
        <f t="shared" si="109"/>
        <v>0</v>
      </c>
      <c r="AC366" s="624">
        <f t="shared" si="109"/>
        <v>0</v>
      </c>
      <c r="AD366" s="624">
        <f t="shared" si="109"/>
        <v>0</v>
      </c>
      <c r="AE366" s="624">
        <f t="shared" si="109"/>
        <v>0</v>
      </c>
      <c r="AF366" s="471"/>
      <c r="AG366" s="473"/>
      <c r="AH366" s="471"/>
      <c r="AI366" s="471"/>
      <c r="AJ366" s="471"/>
      <c r="AM366" s="404"/>
      <c r="AP366" s="404"/>
      <c r="AQ366" s="404"/>
    </row>
    <row r="367" spans="1:43" s="390" customFormat="1" ht="22.25" customHeight="1">
      <c r="A367" s="454"/>
      <c r="B367" s="657" t="s">
        <v>781</v>
      </c>
      <c r="C367" s="662"/>
      <c r="D367" s="662"/>
      <c r="E367" s="662">
        <v>4</v>
      </c>
      <c r="F367" s="498">
        <v>2.5</v>
      </c>
      <c r="G367" s="642">
        <f>G366</f>
        <v>0.5</v>
      </c>
      <c r="H367" s="642">
        <v>0.5</v>
      </c>
      <c r="I367" s="507">
        <f>IF(H367=0,1,H367)*IF(G367=0,1,G367)*IF(F367=0,1,F367)*IF(E367=0,1,E367)*IF(D367=0,1,D367)*IF(C367=0,1,C367)</f>
        <v>2.5</v>
      </c>
      <c r="J367" s="507"/>
      <c r="K367" s="455"/>
      <c r="L367" s="302"/>
      <c r="M367" s="722">
        <f>F367*E367</f>
        <v>10</v>
      </c>
      <c r="N367" s="722"/>
      <c r="O367" s="500"/>
      <c r="P367" s="722"/>
      <c r="Q367" s="611"/>
      <c r="R367" s="611"/>
      <c r="S367" s="624"/>
      <c r="T367" s="625"/>
      <c r="U367" s="626"/>
      <c r="V367" s="624"/>
      <c r="W367" s="624"/>
      <c r="X367" s="624"/>
      <c r="Y367" s="624"/>
      <c r="Z367" s="624"/>
      <c r="AA367" s="624"/>
      <c r="AB367" s="624"/>
      <c r="AC367" s="624"/>
      <c r="AD367" s="624"/>
      <c r="AE367" s="624"/>
      <c r="AF367" s="471"/>
      <c r="AG367" s="473"/>
      <c r="AH367" s="471"/>
      <c r="AI367" s="471"/>
      <c r="AJ367" s="471"/>
      <c r="AM367" s="404"/>
      <c r="AP367" s="404"/>
      <c r="AQ367" s="404"/>
    </row>
    <row r="368" spans="1:43" s="390" customFormat="1" ht="26.25" customHeight="1">
      <c r="A368" s="454"/>
      <c r="B368" s="454"/>
      <c r="C368" s="986"/>
      <c r="D368" s="662"/>
      <c r="E368" s="662"/>
      <c r="F368" s="498"/>
      <c r="G368" s="642"/>
      <c r="H368" s="642"/>
      <c r="I368" s="458" t="str">
        <f>B352</f>
        <v>Lintel</v>
      </c>
      <c r="J368" s="455"/>
      <c r="K368" s="455">
        <f>SUM(J353:J367)-SUM(I353:I367)</f>
        <v>153.2525</v>
      </c>
      <c r="L368" s="312" t="s">
        <v>301</v>
      </c>
      <c r="M368" s="726"/>
      <c r="N368" s="726"/>
      <c r="O368" s="726"/>
      <c r="P368" s="726"/>
      <c r="Q368" s="611"/>
      <c r="R368" s="611"/>
      <c r="S368" s="611"/>
      <c r="T368" s="626"/>
      <c r="U368" s="624"/>
      <c r="V368" s="624"/>
      <c r="W368" s="624">
        <f t="shared" ref="W368:AE371" si="110">IF($R368=W$5,$V368,0)</f>
        <v>0</v>
      </c>
      <c r="X368" s="624">
        <f t="shared" si="110"/>
        <v>0</v>
      </c>
      <c r="Y368" s="624">
        <f t="shared" si="110"/>
        <v>0</v>
      </c>
      <c r="Z368" s="624">
        <f t="shared" si="110"/>
        <v>0</v>
      </c>
      <c r="AA368" s="624">
        <f t="shared" si="110"/>
        <v>0</v>
      </c>
      <c r="AB368" s="624">
        <f t="shared" si="110"/>
        <v>0</v>
      </c>
      <c r="AC368" s="624">
        <f t="shared" si="110"/>
        <v>0</v>
      </c>
      <c r="AD368" s="624">
        <f t="shared" si="110"/>
        <v>0</v>
      </c>
      <c r="AE368" s="624">
        <f t="shared" si="110"/>
        <v>0</v>
      </c>
      <c r="AF368" s="404"/>
      <c r="AG368" s="471"/>
      <c r="AH368" s="471"/>
      <c r="AI368" s="471"/>
      <c r="AJ368" s="471"/>
      <c r="AM368" s="404"/>
      <c r="AP368" s="404"/>
      <c r="AQ368" s="404"/>
    </row>
    <row r="369" spans="1:48" s="390" customFormat="1" ht="21.9" customHeight="1">
      <c r="A369" s="454"/>
      <c r="B369" s="659" t="s">
        <v>612</v>
      </c>
      <c r="C369" s="662"/>
      <c r="D369" s="662"/>
      <c r="E369" s="662"/>
      <c r="F369" s="498"/>
      <c r="G369" s="642"/>
      <c r="H369" s="648"/>
      <c r="I369" s="501"/>
      <c r="J369" s="455"/>
      <c r="K369" s="455"/>
      <c r="L369" s="312"/>
      <c r="M369" s="726"/>
      <c r="N369" s="726"/>
      <c r="O369" s="726"/>
      <c r="P369" s="726"/>
      <c r="Q369" s="611"/>
      <c r="R369" s="611"/>
      <c r="S369" s="624"/>
      <c r="T369" s="625"/>
      <c r="U369" s="626"/>
      <c r="V369" s="624"/>
      <c r="W369" s="624">
        <f t="shared" si="110"/>
        <v>0</v>
      </c>
      <c r="X369" s="624">
        <f t="shared" si="110"/>
        <v>0</v>
      </c>
      <c r="Y369" s="624">
        <f t="shared" si="110"/>
        <v>0</v>
      </c>
      <c r="Z369" s="624">
        <f t="shared" si="110"/>
        <v>0</v>
      </c>
      <c r="AA369" s="624">
        <f t="shared" si="110"/>
        <v>0</v>
      </c>
      <c r="AB369" s="624">
        <f t="shared" si="110"/>
        <v>0</v>
      </c>
      <c r="AC369" s="624">
        <f t="shared" si="110"/>
        <v>0</v>
      </c>
      <c r="AD369" s="624">
        <f t="shared" si="110"/>
        <v>0</v>
      </c>
      <c r="AE369" s="624">
        <f t="shared" si="110"/>
        <v>0</v>
      </c>
      <c r="AF369" s="404"/>
      <c r="AG369" s="471"/>
      <c r="AH369" s="471"/>
      <c r="AI369" s="471"/>
      <c r="AJ369" s="471"/>
      <c r="AM369" s="404"/>
      <c r="AP369" s="404"/>
      <c r="AQ369" s="404"/>
    </row>
    <row r="370" spans="1:48" s="390" customFormat="1" ht="22.25" customHeight="1">
      <c r="A370" s="454"/>
      <c r="B370" s="659" t="s">
        <v>151</v>
      </c>
      <c r="C370" s="662"/>
      <c r="D370" s="662"/>
      <c r="E370" s="662"/>
      <c r="F370" s="498"/>
      <c r="G370" s="642"/>
      <c r="H370" s="642"/>
      <c r="I370" s="499"/>
      <c r="J370" s="507"/>
      <c r="K370" s="455"/>
      <c r="L370" s="312"/>
      <c r="M370" s="722">
        <f>F370*2+G370*2</f>
        <v>0</v>
      </c>
      <c r="N370" s="722">
        <f>M370*H370</f>
        <v>0</v>
      </c>
      <c r="O370" s="455">
        <f>F370*G370</f>
        <v>0</v>
      </c>
      <c r="P370" s="722"/>
      <c r="Q370" s="611"/>
      <c r="R370" s="611"/>
      <c r="S370" s="624"/>
      <c r="T370" s="625"/>
      <c r="U370" s="626"/>
      <c r="V370" s="624"/>
      <c r="W370" s="624">
        <f t="shared" si="110"/>
        <v>0</v>
      </c>
      <c r="X370" s="624">
        <f t="shared" si="110"/>
        <v>0</v>
      </c>
      <c r="Y370" s="624">
        <f t="shared" si="110"/>
        <v>0</v>
      </c>
      <c r="Z370" s="624">
        <f t="shared" si="110"/>
        <v>0</v>
      </c>
      <c r="AA370" s="624">
        <f t="shared" si="110"/>
        <v>0</v>
      </c>
      <c r="AB370" s="624">
        <f t="shared" si="110"/>
        <v>0</v>
      </c>
      <c r="AC370" s="624">
        <f t="shared" si="110"/>
        <v>0</v>
      </c>
      <c r="AD370" s="624">
        <f t="shared" si="110"/>
        <v>0</v>
      </c>
      <c r="AE370" s="624">
        <f t="shared" si="110"/>
        <v>0</v>
      </c>
      <c r="AF370" s="471"/>
      <c r="AG370" s="473"/>
      <c r="AH370" s="471"/>
      <c r="AI370" s="471"/>
      <c r="AJ370" s="471"/>
      <c r="AM370" s="404"/>
      <c r="AP370" s="404"/>
      <c r="AQ370" s="404"/>
    </row>
    <row r="371" spans="1:48" s="390" customFormat="1" ht="22.25" customHeight="1">
      <c r="A371" s="454"/>
      <c r="B371" s="657"/>
      <c r="C371" s="662"/>
      <c r="D371" s="662"/>
      <c r="E371" s="662">
        <v>19</v>
      </c>
      <c r="F371" s="642">
        <v>0.5</v>
      </c>
      <c r="G371" s="642">
        <v>0.5</v>
      </c>
      <c r="H371" s="642">
        <v>13</v>
      </c>
      <c r="I371" s="499"/>
      <c r="J371" s="507">
        <f>IF(I371=0,1,I371)*IF(H371=0,1,H371)*IF(G371=0,1,G371)*IF(F371=0,1,F371)*IF(E371=0,1,E371)*IF(D371=0,1,D371)*IF(C371=0,1,C371)</f>
        <v>61.75</v>
      </c>
      <c r="K371" s="455"/>
      <c r="L371" s="302"/>
      <c r="M371" s="722"/>
      <c r="N371" s="722"/>
      <c r="O371" s="500"/>
      <c r="P371" s="722"/>
      <c r="Q371" s="611"/>
      <c r="R371" s="611"/>
      <c r="S371" s="624"/>
      <c r="T371" s="625"/>
      <c r="U371" s="626"/>
      <c r="V371" s="624"/>
      <c r="W371" s="624">
        <f t="shared" si="110"/>
        <v>0</v>
      </c>
      <c r="X371" s="624">
        <f t="shared" si="110"/>
        <v>0</v>
      </c>
      <c r="Y371" s="624">
        <f t="shared" si="110"/>
        <v>0</v>
      </c>
      <c r="Z371" s="624">
        <f t="shared" si="110"/>
        <v>0</v>
      </c>
      <c r="AA371" s="624">
        <f t="shared" si="110"/>
        <v>0</v>
      </c>
      <c r="AB371" s="624">
        <f t="shared" si="110"/>
        <v>0</v>
      </c>
      <c r="AC371" s="624">
        <f t="shared" si="110"/>
        <v>0</v>
      </c>
      <c r="AD371" s="624">
        <f t="shared" si="110"/>
        <v>0</v>
      </c>
      <c r="AE371" s="624">
        <f t="shared" si="110"/>
        <v>0</v>
      </c>
      <c r="AF371" s="471"/>
      <c r="AG371" s="473"/>
      <c r="AH371" s="471"/>
      <c r="AI371" s="471"/>
      <c r="AJ371" s="471"/>
      <c r="AM371" s="404"/>
      <c r="AP371" s="404"/>
      <c r="AQ371" s="404"/>
    </row>
    <row r="372" spans="1:48" s="390" customFormat="1" ht="26.25" customHeight="1">
      <c r="A372" s="454"/>
      <c r="B372" s="660"/>
      <c r="C372" s="662"/>
      <c r="D372" s="662"/>
      <c r="E372" s="662"/>
      <c r="F372" s="498"/>
      <c r="G372" s="642"/>
      <c r="H372" s="642"/>
      <c r="I372" s="458" t="str">
        <f>B369</f>
        <v>Stiffener</v>
      </c>
      <c r="J372" s="455"/>
      <c r="K372" s="455">
        <f>SUM(J370:J372)</f>
        <v>61.75</v>
      </c>
      <c r="L372" s="312" t="s">
        <v>301</v>
      </c>
      <c r="M372" s="726"/>
      <c r="N372" s="726"/>
      <c r="O372" s="726"/>
      <c r="P372" s="726"/>
      <c r="Q372" s="611"/>
      <c r="R372" s="611"/>
      <c r="S372" s="611"/>
      <c r="T372" s="626"/>
      <c r="U372" s="624"/>
      <c r="V372" s="624"/>
      <c r="W372" s="624">
        <f t="shared" ref="W372:AE374" si="111">IF($R372=W$5,$V372,0)</f>
        <v>0</v>
      </c>
      <c r="X372" s="624">
        <f t="shared" si="111"/>
        <v>0</v>
      </c>
      <c r="Y372" s="624">
        <f t="shared" si="111"/>
        <v>0</v>
      </c>
      <c r="Z372" s="624">
        <f t="shared" si="111"/>
        <v>0</v>
      </c>
      <c r="AA372" s="624">
        <f t="shared" si="111"/>
        <v>0</v>
      </c>
      <c r="AB372" s="624">
        <f t="shared" si="111"/>
        <v>0</v>
      </c>
      <c r="AC372" s="624">
        <f t="shared" si="111"/>
        <v>0</v>
      </c>
      <c r="AD372" s="624">
        <f t="shared" si="111"/>
        <v>0</v>
      </c>
      <c r="AE372" s="624">
        <f t="shared" si="111"/>
        <v>0</v>
      </c>
      <c r="AF372" s="404"/>
      <c r="AG372" s="471"/>
      <c r="AH372" s="471"/>
      <c r="AI372" s="471"/>
      <c r="AJ372" s="471"/>
      <c r="AM372" s="404"/>
      <c r="AP372" s="404"/>
      <c r="AQ372" s="404"/>
    </row>
    <row r="373" spans="1:48" s="476" customFormat="1" ht="21.9" customHeight="1">
      <c r="A373" s="478"/>
      <c r="B373" s="763" t="s">
        <v>650</v>
      </c>
      <c r="C373" s="665"/>
      <c r="D373" s="665"/>
      <c r="E373" s="665"/>
      <c r="F373" s="751"/>
      <c r="G373" s="752"/>
      <c r="H373" s="651"/>
      <c r="I373" s="485"/>
      <c r="J373" s="479"/>
      <c r="K373" s="479"/>
      <c r="L373" s="483"/>
      <c r="M373" s="764"/>
      <c r="N373" s="764"/>
      <c r="O373" s="764"/>
      <c r="P373" s="764"/>
      <c r="Q373" s="756"/>
      <c r="R373" s="756"/>
      <c r="S373" s="757"/>
      <c r="T373" s="758"/>
      <c r="U373" s="759"/>
      <c r="V373" s="757"/>
      <c r="W373" s="757">
        <f t="shared" si="111"/>
        <v>0</v>
      </c>
      <c r="X373" s="757">
        <f t="shared" si="111"/>
        <v>0</v>
      </c>
      <c r="Y373" s="757">
        <f t="shared" si="111"/>
        <v>0</v>
      </c>
      <c r="Z373" s="757">
        <f t="shared" si="111"/>
        <v>0</v>
      </c>
      <c r="AA373" s="757">
        <f t="shared" si="111"/>
        <v>0</v>
      </c>
      <c r="AB373" s="757">
        <f t="shared" si="111"/>
        <v>0</v>
      </c>
      <c r="AC373" s="757">
        <f t="shared" si="111"/>
        <v>0</v>
      </c>
      <c r="AD373" s="757">
        <f t="shared" si="111"/>
        <v>0</v>
      </c>
      <c r="AE373" s="757">
        <f t="shared" si="111"/>
        <v>0</v>
      </c>
      <c r="AF373" s="477"/>
      <c r="AG373" s="475"/>
      <c r="AH373" s="475"/>
      <c r="AI373" s="475"/>
      <c r="AJ373" s="475"/>
      <c r="AM373" s="477"/>
      <c r="AP373" s="477"/>
      <c r="AQ373" s="477"/>
    </row>
    <row r="374" spans="1:48" s="390" customFormat="1" ht="22.25" customHeight="1">
      <c r="A374" s="454"/>
      <c r="B374" s="659" t="s">
        <v>151</v>
      </c>
      <c r="C374" s="662"/>
      <c r="D374" s="662"/>
      <c r="E374" s="662"/>
      <c r="F374" s="498"/>
      <c r="G374" s="642"/>
      <c r="H374" s="642"/>
      <c r="I374" s="499"/>
      <c r="J374" s="507"/>
      <c r="K374" s="455"/>
      <c r="L374" s="312"/>
      <c r="M374" s="722">
        <f>F374*2+G374*2</f>
        <v>0</v>
      </c>
      <c r="N374" s="722">
        <f>M374*H374</f>
        <v>0</v>
      </c>
      <c r="O374" s="455">
        <f>F374*G374</f>
        <v>0</v>
      </c>
      <c r="P374" s="722"/>
      <c r="Q374" s="611"/>
      <c r="R374" s="611"/>
      <c r="S374" s="624"/>
      <c r="T374" s="625"/>
      <c r="U374" s="626"/>
      <c r="V374" s="624"/>
      <c r="W374" s="624">
        <f t="shared" si="111"/>
        <v>0</v>
      </c>
      <c r="X374" s="624">
        <f t="shared" si="111"/>
        <v>0</v>
      </c>
      <c r="Y374" s="624">
        <f t="shared" si="111"/>
        <v>0</v>
      </c>
      <c r="Z374" s="624">
        <f t="shared" si="111"/>
        <v>0</v>
      </c>
      <c r="AA374" s="624">
        <f t="shared" si="111"/>
        <v>0</v>
      </c>
      <c r="AB374" s="624">
        <f t="shared" si="111"/>
        <v>0</v>
      </c>
      <c r="AC374" s="624">
        <f t="shared" si="111"/>
        <v>0</v>
      </c>
      <c r="AD374" s="624">
        <f t="shared" si="111"/>
        <v>0</v>
      </c>
      <c r="AE374" s="624">
        <f t="shared" si="111"/>
        <v>0</v>
      </c>
      <c r="AF374" s="471"/>
      <c r="AG374" s="473"/>
      <c r="AH374" s="471"/>
      <c r="AI374" s="471"/>
      <c r="AJ374" s="471"/>
      <c r="AM374" s="404"/>
      <c r="AP374" s="404"/>
      <c r="AQ374" s="404"/>
    </row>
    <row r="375" spans="1:48" s="885" customFormat="1" ht="20" customHeight="1">
      <c r="A375" s="788"/>
      <c r="B375" s="939" t="s">
        <v>774</v>
      </c>
      <c r="C375" s="940"/>
      <c r="D375" s="940"/>
      <c r="E375" s="940">
        <v>2</v>
      </c>
      <c r="F375" s="941">
        <f>(9.67+6.83)*2</f>
        <v>33</v>
      </c>
      <c r="G375" s="942">
        <v>0.33</v>
      </c>
      <c r="H375" s="942">
        <v>0.33</v>
      </c>
      <c r="I375" s="943"/>
      <c r="J375" s="507">
        <f>IF(I375=0,1,I375)*IF(H375=0,1,H375)*IF(G375=0,1,G375)*IF(F375=0,1,F375)*IF(E375=0,1,E375)*IF(D375=0,1,D375)*IF(C375=0,1,C375)</f>
        <v>7.1874000000000011</v>
      </c>
      <c r="K375" s="943"/>
      <c r="L375" s="802"/>
      <c r="M375" s="944"/>
      <c r="N375" s="944"/>
      <c r="O375" s="944"/>
      <c r="P375" s="944"/>
      <c r="Q375" s="944"/>
      <c r="R375" s="944"/>
      <c r="S375" s="944"/>
      <c r="T375" s="944"/>
      <c r="U375" s="944"/>
      <c r="V375" s="944"/>
      <c r="Y375" s="886"/>
      <c r="AB375" s="886"/>
      <c r="AC375" s="886"/>
    </row>
    <row r="376" spans="1:48" s="885" customFormat="1" ht="20" customHeight="1">
      <c r="A376" s="788"/>
      <c r="B376" s="939" t="s">
        <v>775</v>
      </c>
      <c r="C376" s="940"/>
      <c r="D376" s="940"/>
      <c r="E376" s="940">
        <v>1</v>
      </c>
      <c r="F376" s="941">
        <f>(6.17+6.83)*2</f>
        <v>26</v>
      </c>
      <c r="G376" s="942">
        <v>0.33</v>
      </c>
      <c r="H376" s="942">
        <v>0.33</v>
      </c>
      <c r="I376" s="943"/>
      <c r="J376" s="507">
        <f t="shared" ref="J376:J381" si="112">IF(I376=0,1,I376)*IF(H376=0,1,H376)*IF(G376=0,1,G376)*IF(F376=0,1,F376)*IF(E376=0,1,E376)*IF(D376=0,1,D376)*IF(C376=0,1,C376)</f>
        <v>2.8314000000000004</v>
      </c>
      <c r="K376" s="943"/>
      <c r="L376" s="802"/>
      <c r="M376" s="944"/>
      <c r="N376" s="944"/>
      <c r="O376" s="944"/>
      <c r="P376" s="944"/>
      <c r="Q376" s="944"/>
      <c r="R376" s="944"/>
      <c r="S376" s="944"/>
      <c r="T376" s="944"/>
      <c r="U376" s="944"/>
      <c r="V376" s="944"/>
      <c r="Y376" s="886"/>
      <c r="AB376" s="886"/>
      <c r="AC376" s="886"/>
    </row>
    <row r="377" spans="1:48" s="885" customFormat="1" ht="20" customHeight="1">
      <c r="A377" s="788"/>
      <c r="B377" s="939"/>
      <c r="C377" s="940"/>
      <c r="D377" s="940"/>
      <c r="E377" s="940">
        <v>1</v>
      </c>
      <c r="F377" s="941">
        <f>(11+6.83)*2</f>
        <v>35.659999999999997</v>
      </c>
      <c r="G377" s="942">
        <v>0.33</v>
      </c>
      <c r="H377" s="942">
        <v>0.33</v>
      </c>
      <c r="I377" s="943"/>
      <c r="J377" s="507">
        <f t="shared" si="112"/>
        <v>3.8833739999999999</v>
      </c>
      <c r="K377" s="943"/>
      <c r="L377" s="802"/>
      <c r="M377" s="944"/>
      <c r="N377" s="944"/>
      <c r="O377" s="944"/>
      <c r="P377" s="944"/>
      <c r="Q377" s="944"/>
      <c r="R377" s="944"/>
      <c r="S377" s="944"/>
      <c r="T377" s="944"/>
      <c r="U377" s="944"/>
      <c r="V377" s="944"/>
      <c r="Y377" s="886"/>
      <c r="AB377" s="886"/>
      <c r="AC377" s="886"/>
    </row>
    <row r="378" spans="1:48" s="885" customFormat="1" ht="20" customHeight="1">
      <c r="A378" s="788"/>
      <c r="B378" s="939"/>
      <c r="C378" s="940"/>
      <c r="D378" s="940"/>
      <c r="E378" s="940">
        <v>1</v>
      </c>
      <c r="F378" s="941">
        <f>(4.67+6.83)*2</f>
        <v>23</v>
      </c>
      <c r="G378" s="942">
        <v>0.33</v>
      </c>
      <c r="H378" s="942">
        <v>0.33</v>
      </c>
      <c r="I378" s="943"/>
      <c r="J378" s="507">
        <f t="shared" si="112"/>
        <v>2.5047000000000001</v>
      </c>
      <c r="K378" s="943"/>
      <c r="L378" s="802"/>
      <c r="M378" s="944"/>
      <c r="N378" s="944"/>
      <c r="O378" s="944"/>
      <c r="P378" s="944"/>
      <c r="Q378" s="944"/>
      <c r="R378" s="944"/>
      <c r="S378" s="944"/>
      <c r="T378" s="944"/>
      <c r="U378" s="944"/>
      <c r="V378" s="944"/>
      <c r="Y378" s="886"/>
      <c r="AB378" s="886"/>
      <c r="AC378" s="886"/>
    </row>
    <row r="379" spans="1:48" s="885" customFormat="1" ht="20" customHeight="1">
      <c r="A379" s="788"/>
      <c r="B379" s="939" t="s">
        <v>776</v>
      </c>
      <c r="C379" s="940"/>
      <c r="D379" s="940"/>
      <c r="E379" s="940">
        <v>2</v>
      </c>
      <c r="F379" s="941">
        <f>(4.67+6.83)*2</f>
        <v>23</v>
      </c>
      <c r="G379" s="942">
        <v>0.33</v>
      </c>
      <c r="H379" s="942">
        <v>0.33</v>
      </c>
      <c r="I379" s="943"/>
      <c r="J379" s="507">
        <f t="shared" si="112"/>
        <v>5.0094000000000003</v>
      </c>
      <c r="K379" s="943"/>
      <c r="L379" s="802"/>
      <c r="M379" s="944"/>
      <c r="N379" s="944"/>
      <c r="O379" s="944"/>
      <c r="P379" s="944"/>
      <c r="Q379" s="944"/>
      <c r="R379" s="944"/>
      <c r="S379" s="944"/>
      <c r="T379" s="944"/>
      <c r="U379" s="944"/>
      <c r="V379" s="944"/>
      <c r="Y379" s="886"/>
      <c r="AB379" s="886"/>
      <c r="AC379" s="886"/>
    </row>
    <row r="380" spans="1:48" s="885" customFormat="1" ht="20" customHeight="1">
      <c r="A380" s="788"/>
      <c r="B380" s="939" t="s">
        <v>777</v>
      </c>
      <c r="C380" s="940"/>
      <c r="D380" s="940"/>
      <c r="E380" s="940">
        <v>1</v>
      </c>
      <c r="F380" s="941">
        <f>(11.67+6.83)*2</f>
        <v>37</v>
      </c>
      <c r="G380" s="942">
        <v>0.33</v>
      </c>
      <c r="H380" s="942">
        <v>0.33</v>
      </c>
      <c r="I380" s="943"/>
      <c r="J380" s="507">
        <f t="shared" si="112"/>
        <v>4.0293000000000001</v>
      </c>
      <c r="K380" s="943"/>
      <c r="L380" s="802"/>
      <c r="M380" s="944"/>
      <c r="N380" s="944"/>
      <c r="O380" s="944"/>
      <c r="P380" s="944"/>
      <c r="Q380" s="944"/>
      <c r="R380" s="944"/>
      <c r="S380" s="944"/>
      <c r="T380" s="944"/>
      <c r="U380" s="944"/>
      <c r="V380" s="944"/>
      <c r="Y380" s="886"/>
      <c r="AB380" s="886"/>
      <c r="AC380" s="886"/>
    </row>
    <row r="381" spans="1:48" s="885" customFormat="1" ht="20" customHeight="1">
      <c r="A381" s="788"/>
      <c r="B381" s="939"/>
      <c r="C381" s="940"/>
      <c r="D381" s="940"/>
      <c r="E381" s="940">
        <v>2</v>
      </c>
      <c r="F381" s="941">
        <f>(4.67+6.83)*2</f>
        <v>23</v>
      </c>
      <c r="G381" s="942">
        <v>0.33</v>
      </c>
      <c r="H381" s="942">
        <v>0.33</v>
      </c>
      <c r="I381" s="943"/>
      <c r="J381" s="507">
        <f t="shared" si="112"/>
        <v>5.0094000000000003</v>
      </c>
      <c r="K381" s="943"/>
      <c r="L381" s="802"/>
      <c r="M381" s="944"/>
      <c r="N381" s="944"/>
      <c r="O381" s="944"/>
      <c r="P381" s="944"/>
      <c r="Q381" s="944"/>
      <c r="R381" s="944"/>
      <c r="S381" s="944"/>
      <c r="T381" s="944"/>
      <c r="U381" s="944"/>
      <c r="V381" s="944"/>
      <c r="Y381" s="886"/>
      <c r="AB381" s="886"/>
      <c r="AC381" s="886"/>
    </row>
    <row r="382" spans="1:48" s="390" customFormat="1" ht="26.25" customHeight="1" thickBot="1">
      <c r="A382" s="454"/>
      <c r="B382" s="660"/>
      <c r="C382" s="662"/>
      <c r="D382" s="662"/>
      <c r="E382" s="662"/>
      <c r="F382" s="498"/>
      <c r="G382" s="642"/>
      <c r="H382" s="642"/>
      <c r="I382" s="458" t="str">
        <f>B373</f>
        <v>Sunshade</v>
      </c>
      <c r="J382" s="455"/>
      <c r="K382" s="455">
        <f>SUM(J374:J382)</f>
        <v>30.454974</v>
      </c>
      <c r="L382" s="312" t="s">
        <v>301</v>
      </c>
      <c r="M382" s="726"/>
      <c r="N382" s="726"/>
      <c r="O382" s="726"/>
      <c r="P382" s="726"/>
      <c r="Q382" s="611"/>
      <c r="R382" s="611"/>
      <c r="S382" s="611"/>
      <c r="T382" s="626"/>
      <c r="U382" s="624"/>
      <c r="V382" s="624"/>
      <c r="W382" s="624">
        <f t="shared" ref="W382:AE382" si="113">IF($R382=W$5,$V382,0)</f>
        <v>0</v>
      </c>
      <c r="X382" s="624">
        <f t="shared" si="113"/>
        <v>0</v>
      </c>
      <c r="Y382" s="624">
        <f t="shared" si="113"/>
        <v>0</v>
      </c>
      <c r="Z382" s="624">
        <f t="shared" si="113"/>
        <v>0</v>
      </c>
      <c r="AA382" s="624">
        <f t="shared" si="113"/>
        <v>0</v>
      </c>
      <c r="AB382" s="624">
        <f t="shared" si="113"/>
        <v>0</v>
      </c>
      <c r="AC382" s="624">
        <f t="shared" si="113"/>
        <v>0</v>
      </c>
      <c r="AD382" s="624">
        <f t="shared" si="113"/>
        <v>0</v>
      </c>
      <c r="AE382" s="624">
        <f t="shared" si="113"/>
        <v>0</v>
      </c>
      <c r="AF382" s="404"/>
      <c r="AG382" s="471"/>
      <c r="AH382" s="471"/>
      <c r="AI382" s="471"/>
      <c r="AJ382" s="471"/>
      <c r="AM382" s="404"/>
      <c r="AP382" s="404"/>
      <c r="AQ382" s="404"/>
    </row>
    <row r="383" spans="1:48" s="423" customFormat="1" ht="22.25" customHeight="1" thickBot="1">
      <c r="A383" s="454"/>
      <c r="B383" s="951"/>
      <c r="C383" s="661"/>
      <c r="D383" s="952"/>
      <c r="E383" s="952"/>
      <c r="F383" s="953"/>
      <c r="G383" s="954"/>
      <c r="H383" s="955"/>
      <c r="I383" s="956"/>
      <c r="J383" s="421"/>
      <c r="K383" s="509">
        <f>SUM(K273:K382)</f>
        <v>2039.163331</v>
      </c>
      <c r="L383" s="880" t="s">
        <v>301</v>
      </c>
      <c r="M383" s="722">
        <v>5488</v>
      </c>
      <c r="N383" s="722"/>
      <c r="O383" s="957"/>
      <c r="P383" s="722"/>
      <c r="Q383" s="618"/>
      <c r="R383" s="618"/>
      <c r="S383" s="618"/>
      <c r="T383" s="618"/>
      <c r="U383" s="618"/>
      <c r="V383" s="641"/>
      <c r="W383" s="624">
        <f t="shared" ref="W383:AE386" si="114">IF($R383=W$5,$V383,0)</f>
        <v>0</v>
      </c>
      <c r="X383" s="624">
        <f t="shared" si="114"/>
        <v>0</v>
      </c>
      <c r="Y383" s="624">
        <f t="shared" si="114"/>
        <v>0</v>
      </c>
      <c r="Z383" s="624">
        <f t="shared" si="114"/>
        <v>0</v>
      </c>
      <c r="AA383" s="624">
        <f t="shared" si="114"/>
        <v>0</v>
      </c>
      <c r="AB383" s="624">
        <f t="shared" si="114"/>
        <v>0</v>
      </c>
      <c r="AC383" s="624">
        <f t="shared" si="114"/>
        <v>0</v>
      </c>
      <c r="AD383" s="624">
        <f t="shared" si="114"/>
        <v>0</v>
      </c>
      <c r="AE383" s="624">
        <f t="shared" si="114"/>
        <v>0</v>
      </c>
      <c r="AF383" s="472"/>
      <c r="AG383" s="472"/>
      <c r="AH383" s="472"/>
      <c r="AI383" s="472"/>
      <c r="AJ383" s="472"/>
      <c r="AK383" s="472"/>
      <c r="AL383" s="472"/>
      <c r="AM383" s="472"/>
      <c r="AN383" s="472"/>
      <c r="AO383" s="472"/>
      <c r="AR383" s="427"/>
      <c r="AU383" s="427"/>
      <c r="AV383" s="427"/>
    </row>
    <row r="384" spans="1:48" s="423" customFormat="1" ht="22.25" customHeight="1" thickBot="1">
      <c r="A384" s="454"/>
      <c r="B384" s="655"/>
      <c r="C384" s="662"/>
      <c r="D384" s="663"/>
      <c r="E384" s="663"/>
      <c r="F384" s="512"/>
      <c r="G384" s="644"/>
      <c r="H384" s="649"/>
      <c r="I384" s="513"/>
      <c r="J384" s="507"/>
      <c r="K384" s="502">
        <f>K383/100</f>
        <v>20.39163331</v>
      </c>
      <c r="L384" s="503" t="s">
        <v>316</v>
      </c>
      <c r="M384" s="722"/>
      <c r="N384" s="722"/>
      <c r="O384" s="957"/>
      <c r="P384" s="722"/>
      <c r="Q384" s="618"/>
      <c r="R384" s="618"/>
      <c r="S384" s="618"/>
      <c r="T384" s="618"/>
      <c r="U384" s="618"/>
      <c r="V384" s="641"/>
      <c r="W384" s="624">
        <f t="shared" si="114"/>
        <v>0</v>
      </c>
      <c r="X384" s="624">
        <f t="shared" si="114"/>
        <v>0</v>
      </c>
      <c r="Y384" s="624">
        <f t="shared" si="114"/>
        <v>0</v>
      </c>
      <c r="Z384" s="624">
        <f t="shared" si="114"/>
        <v>0</v>
      </c>
      <c r="AA384" s="624">
        <f t="shared" si="114"/>
        <v>0</v>
      </c>
      <c r="AB384" s="624">
        <f t="shared" si="114"/>
        <v>0</v>
      </c>
      <c r="AC384" s="624">
        <f t="shared" si="114"/>
        <v>0</v>
      </c>
      <c r="AD384" s="624">
        <f t="shared" si="114"/>
        <v>0</v>
      </c>
      <c r="AE384" s="624">
        <f t="shared" si="114"/>
        <v>0</v>
      </c>
      <c r="AF384" s="472"/>
      <c r="AG384" s="472"/>
      <c r="AH384" s="472"/>
      <c r="AI384" s="472"/>
      <c r="AJ384" s="472"/>
      <c r="AK384" s="472"/>
      <c r="AL384" s="472"/>
      <c r="AM384" s="472"/>
      <c r="AN384" s="472"/>
      <c r="AO384" s="472"/>
      <c r="AR384" s="427"/>
      <c r="AU384" s="427"/>
      <c r="AV384" s="427"/>
    </row>
    <row r="385" spans="1:48" s="390" customFormat="1" ht="22.25" customHeight="1" thickTop="1">
      <c r="A385" s="454"/>
      <c r="B385" s="655"/>
      <c r="C385" s="662"/>
      <c r="D385" s="663"/>
      <c r="E385" s="663"/>
      <c r="F385" s="512"/>
      <c r="G385" s="644"/>
      <c r="H385" s="649"/>
      <c r="I385" s="513"/>
      <c r="J385" s="507"/>
      <c r="K385" s="455"/>
      <c r="L385" s="457"/>
      <c r="M385" s="722"/>
      <c r="N385" s="722"/>
      <c r="O385" s="957"/>
      <c r="P385" s="722"/>
      <c r="Q385" s="618"/>
      <c r="R385" s="618"/>
      <c r="S385" s="618"/>
      <c r="T385" s="618"/>
      <c r="U385" s="618"/>
      <c r="V385" s="641"/>
      <c r="W385" s="624">
        <f t="shared" si="114"/>
        <v>0</v>
      </c>
      <c r="X385" s="624">
        <f t="shared" si="114"/>
        <v>0</v>
      </c>
      <c r="Y385" s="624">
        <f t="shared" si="114"/>
        <v>0</v>
      </c>
      <c r="Z385" s="624">
        <f t="shared" si="114"/>
        <v>0</v>
      </c>
      <c r="AA385" s="624">
        <f t="shared" si="114"/>
        <v>0</v>
      </c>
      <c r="AB385" s="624">
        <f t="shared" si="114"/>
        <v>0</v>
      </c>
      <c r="AC385" s="624">
        <f t="shared" si="114"/>
        <v>0</v>
      </c>
      <c r="AD385" s="624">
        <f t="shared" si="114"/>
        <v>0</v>
      </c>
      <c r="AE385" s="624">
        <f t="shared" si="114"/>
        <v>0</v>
      </c>
      <c r="AF385" s="472"/>
      <c r="AG385" s="472"/>
      <c r="AH385" s="472"/>
      <c r="AI385" s="472"/>
      <c r="AJ385" s="472"/>
      <c r="AK385" s="472"/>
      <c r="AL385" s="472"/>
      <c r="AM385" s="472"/>
      <c r="AN385" s="471"/>
      <c r="AO385" s="471"/>
      <c r="AR385" s="404"/>
      <c r="AU385" s="404"/>
      <c r="AV385" s="404"/>
    </row>
    <row r="386" spans="1:48" s="885" customFormat="1" ht="22.25" customHeight="1">
      <c r="A386" s="788">
        <v>10</v>
      </c>
      <c r="B386" s="958" t="s">
        <v>401</v>
      </c>
      <c r="C386" s="940"/>
      <c r="D386" s="940"/>
      <c r="E386" s="940"/>
      <c r="F386" s="959"/>
      <c r="G386" s="960"/>
      <c r="H386" s="961"/>
      <c r="I386" s="802"/>
      <c r="J386" s="513"/>
      <c r="K386" s="513"/>
      <c r="L386" s="513"/>
      <c r="M386" s="722"/>
      <c r="N386" s="722"/>
      <c r="O386" s="957"/>
      <c r="P386" s="722"/>
      <c r="Q386" s="618"/>
      <c r="R386" s="618"/>
      <c r="S386" s="618"/>
      <c r="T386" s="618"/>
      <c r="U386" s="618"/>
      <c r="V386" s="641"/>
      <c r="W386" s="624">
        <f t="shared" si="114"/>
        <v>0</v>
      </c>
      <c r="X386" s="624">
        <f t="shared" si="114"/>
        <v>0</v>
      </c>
      <c r="Y386" s="624">
        <f t="shared" si="114"/>
        <v>0</v>
      </c>
      <c r="Z386" s="624">
        <f t="shared" si="114"/>
        <v>0</v>
      </c>
      <c r="AA386" s="624">
        <f t="shared" si="114"/>
        <v>0</v>
      </c>
      <c r="AB386" s="624">
        <f t="shared" si="114"/>
        <v>0</v>
      </c>
      <c r="AC386" s="624">
        <f t="shared" ref="W386:AE401" si="115">IF($R386=AC$5,$V386,0)</f>
        <v>0</v>
      </c>
      <c r="AD386" s="624">
        <f t="shared" si="115"/>
        <v>0</v>
      </c>
      <c r="AE386" s="624">
        <f t="shared" si="115"/>
        <v>0</v>
      </c>
      <c r="AF386" s="944"/>
      <c r="AG386" s="944"/>
      <c r="AH386" s="944"/>
      <c r="AI386" s="944"/>
      <c r="AJ386" s="944"/>
      <c r="AK386" s="944"/>
      <c r="AL386" s="885">
        <f>200*50*2</f>
        <v>20000</v>
      </c>
      <c r="AN386" s="886"/>
      <c r="AQ386" s="886"/>
      <c r="AR386" s="886"/>
    </row>
    <row r="387" spans="1:48" s="390" customFormat="1" ht="21.9" customHeight="1">
      <c r="A387" s="454"/>
      <c r="B387" s="659" t="s">
        <v>353</v>
      </c>
      <c r="C387" s="662"/>
      <c r="D387" s="662"/>
      <c r="E387" s="662"/>
      <c r="F387" s="498"/>
      <c r="G387" s="642"/>
      <c r="H387" s="648"/>
      <c r="I387" s="501"/>
      <c r="J387" s="455"/>
      <c r="K387" s="455"/>
      <c r="L387" s="312"/>
      <c r="M387" s="726"/>
      <c r="N387" s="726"/>
      <c r="O387" s="726"/>
      <c r="P387" s="726"/>
      <c r="Q387" s="611"/>
      <c r="R387" s="611"/>
      <c r="S387" s="611"/>
      <c r="T387" s="611"/>
      <c r="U387" s="624"/>
      <c r="V387" s="624"/>
      <c r="W387" s="624">
        <f t="shared" si="115"/>
        <v>0</v>
      </c>
      <c r="X387" s="624">
        <f t="shared" si="115"/>
        <v>0</v>
      </c>
      <c r="Y387" s="624">
        <f t="shared" si="115"/>
        <v>0</v>
      </c>
      <c r="Z387" s="624">
        <f t="shared" si="115"/>
        <v>0</v>
      </c>
      <c r="AA387" s="624">
        <f t="shared" si="115"/>
        <v>0</v>
      </c>
      <c r="AB387" s="624">
        <f t="shared" si="115"/>
        <v>0</v>
      </c>
      <c r="AC387" s="624">
        <f t="shared" si="115"/>
        <v>0</v>
      </c>
      <c r="AD387" s="624">
        <f t="shared" si="115"/>
        <v>0</v>
      </c>
      <c r="AE387" s="624">
        <f t="shared" si="115"/>
        <v>0</v>
      </c>
      <c r="AF387" s="404"/>
      <c r="AG387" s="471"/>
      <c r="AH387" s="471"/>
      <c r="AI387" s="471"/>
      <c r="AJ387" s="471"/>
      <c r="AM387" s="404"/>
      <c r="AP387" s="404"/>
      <c r="AQ387" s="404"/>
    </row>
    <row r="388" spans="1:48" s="390" customFormat="1" ht="24" customHeight="1">
      <c r="A388" s="454"/>
      <c r="B388" s="657" t="str">
        <f>$B$192</f>
        <v>F1 (3'-0"x3'-0"x0'-9")</v>
      </c>
      <c r="C388" s="662"/>
      <c r="D388" s="662"/>
      <c r="E388" s="662">
        <f>E192</f>
        <v>6</v>
      </c>
      <c r="F388" s="498">
        <f>F192</f>
        <v>3</v>
      </c>
      <c r="G388" s="642">
        <f>G192</f>
        <v>3</v>
      </c>
      <c r="H388" s="642">
        <v>0.75</v>
      </c>
      <c r="I388" s="501"/>
      <c r="J388" s="507"/>
      <c r="K388" s="455"/>
      <c r="L388" s="312"/>
      <c r="M388" s="726"/>
      <c r="N388" s="726"/>
      <c r="O388" s="726"/>
      <c r="P388" s="726"/>
      <c r="Q388" s="611"/>
      <c r="R388" s="611"/>
      <c r="S388" s="624"/>
      <c r="T388" s="626"/>
      <c r="U388" s="626"/>
      <c r="V388" s="624"/>
      <c r="W388" s="624">
        <f t="shared" si="115"/>
        <v>0</v>
      </c>
      <c r="X388" s="624">
        <f t="shared" si="115"/>
        <v>0</v>
      </c>
      <c r="Y388" s="624">
        <f t="shared" si="115"/>
        <v>0</v>
      </c>
      <c r="Z388" s="624">
        <f t="shared" si="115"/>
        <v>0</v>
      </c>
      <c r="AA388" s="624">
        <f t="shared" si="115"/>
        <v>0</v>
      </c>
      <c r="AB388" s="624">
        <f t="shared" si="115"/>
        <v>0</v>
      </c>
      <c r="AC388" s="624">
        <f t="shared" si="115"/>
        <v>0</v>
      </c>
      <c r="AD388" s="624">
        <f t="shared" si="115"/>
        <v>0</v>
      </c>
      <c r="AE388" s="624">
        <f t="shared" si="115"/>
        <v>0</v>
      </c>
      <c r="AF388" s="404"/>
      <c r="AG388" s="471"/>
      <c r="AH388" s="471"/>
      <c r="AI388" s="471"/>
      <c r="AJ388" s="471"/>
      <c r="AM388" s="404"/>
      <c r="AP388" s="404"/>
      <c r="AQ388" s="404"/>
    </row>
    <row r="389" spans="1:48" s="476" customFormat="1" ht="24" customHeight="1">
      <c r="A389" s="478"/>
      <c r="B389" s="770" t="s">
        <v>782</v>
      </c>
      <c r="C389" s="665"/>
      <c r="D389" s="665"/>
      <c r="E389" s="665"/>
      <c r="F389" s="751"/>
      <c r="G389" s="752"/>
      <c r="H389" s="752"/>
      <c r="I389" s="485"/>
      <c r="J389" s="481"/>
      <c r="K389" s="479"/>
      <c r="L389" s="483"/>
      <c r="M389" s="764"/>
      <c r="N389" s="764"/>
      <c r="O389" s="764"/>
      <c r="P389" s="764"/>
      <c r="Q389" s="756"/>
      <c r="R389" s="756"/>
      <c r="S389" s="757"/>
      <c r="T389" s="759"/>
      <c r="U389" s="759"/>
      <c r="V389" s="757"/>
      <c r="W389" s="757">
        <f t="shared" si="115"/>
        <v>0</v>
      </c>
      <c r="X389" s="757">
        <f t="shared" si="115"/>
        <v>0</v>
      </c>
      <c r="Y389" s="757">
        <f t="shared" si="115"/>
        <v>0</v>
      </c>
      <c r="Z389" s="757">
        <f t="shared" si="115"/>
        <v>0</v>
      </c>
      <c r="AA389" s="757">
        <f t="shared" si="115"/>
        <v>0</v>
      </c>
      <c r="AB389" s="757">
        <f t="shared" si="115"/>
        <v>0</v>
      </c>
      <c r="AC389" s="757">
        <f t="shared" si="115"/>
        <v>0</v>
      </c>
      <c r="AD389" s="757">
        <f t="shared" si="115"/>
        <v>0</v>
      </c>
      <c r="AE389" s="757">
        <f t="shared" si="115"/>
        <v>0</v>
      </c>
      <c r="AF389" s="477"/>
      <c r="AG389" s="475"/>
      <c r="AH389" s="475"/>
      <c r="AI389" s="475"/>
      <c r="AJ389" s="475"/>
      <c r="AM389" s="477"/>
      <c r="AP389" s="477"/>
      <c r="AQ389" s="477"/>
    </row>
    <row r="390" spans="1:48" s="776" customFormat="1" ht="22.25" customHeight="1">
      <c r="A390" s="769"/>
      <c r="B390" s="770" t="s">
        <v>483</v>
      </c>
      <c r="C390" s="771"/>
      <c r="D390" s="771">
        <f>T390</f>
        <v>6</v>
      </c>
      <c r="E390" s="771">
        <f>E388</f>
        <v>6</v>
      </c>
      <c r="F390" s="751">
        <f>U390</f>
        <v>1.2215330691862238</v>
      </c>
      <c r="G390" s="773"/>
      <c r="H390" s="778"/>
      <c r="I390" s="774"/>
      <c r="J390" s="492">
        <f>IF(I390=0,1,I390)*IF(H390=0,1,H390)*IF(G390=0,1,G390)*IF(F390=0,1,F390)*IF(E390=0,1,E390)*IF(D390=0,1,D390)*IF(C390=0,1,C390)</f>
        <v>43.975190490704058</v>
      </c>
      <c r="K390" s="480"/>
      <c r="L390" s="480"/>
      <c r="M390" s="760">
        <f>F388/3.281</f>
        <v>0.91435537945748246</v>
      </c>
      <c r="N390" s="760">
        <f>H388/3.281</f>
        <v>0.22858884486437062</v>
      </c>
      <c r="O390" s="768">
        <f>E390</f>
        <v>6</v>
      </c>
      <c r="P390" s="727">
        <v>7.4999999999999997E-2</v>
      </c>
      <c r="Q390" s="756" t="s">
        <v>457</v>
      </c>
      <c r="R390" s="756">
        <v>16</v>
      </c>
      <c r="S390" s="757">
        <f>6/(12*3.281)</f>
        <v>0.15239256324291375</v>
      </c>
      <c r="T390" s="758">
        <f>M391/S390</f>
        <v>6</v>
      </c>
      <c r="U390" s="759">
        <f>M390+2*N390-2*P390</f>
        <v>1.2215330691862238</v>
      </c>
      <c r="V390" s="757">
        <f>T390*U390*O390</f>
        <v>43.975190490704058</v>
      </c>
      <c r="W390" s="757">
        <f t="shared" si="115"/>
        <v>0</v>
      </c>
      <c r="X390" s="757">
        <f t="shared" si="115"/>
        <v>0</v>
      </c>
      <c r="Y390" s="757">
        <f t="shared" si="115"/>
        <v>0</v>
      </c>
      <c r="Z390" s="757">
        <f t="shared" si="115"/>
        <v>0</v>
      </c>
      <c r="AA390" s="757">
        <f t="shared" si="115"/>
        <v>43.975190490704058</v>
      </c>
      <c r="AB390" s="757">
        <f t="shared" si="115"/>
        <v>0</v>
      </c>
      <c r="AC390" s="757">
        <f t="shared" si="115"/>
        <v>0</v>
      </c>
      <c r="AD390" s="757">
        <f t="shared" si="115"/>
        <v>0</v>
      </c>
      <c r="AE390" s="757">
        <f t="shared" si="115"/>
        <v>0</v>
      </c>
      <c r="AF390" s="775">
        <f>F388-0.25*2+0.5*2</f>
        <v>3.5</v>
      </c>
      <c r="AI390" s="777"/>
      <c r="AL390" s="777"/>
      <c r="AM390" s="777"/>
    </row>
    <row r="391" spans="1:48" s="776" customFormat="1" ht="22.25" customHeight="1">
      <c r="A391" s="769"/>
      <c r="B391" s="770" t="s">
        <v>483</v>
      </c>
      <c r="C391" s="771"/>
      <c r="D391" s="771">
        <f>T391</f>
        <v>6</v>
      </c>
      <c r="E391" s="771">
        <f>E390</f>
        <v>6</v>
      </c>
      <c r="F391" s="751">
        <f>U391</f>
        <v>1.2215330691862238</v>
      </c>
      <c r="G391" s="773"/>
      <c r="H391" s="778"/>
      <c r="I391" s="774"/>
      <c r="J391" s="492">
        <f>IF(I391=0,1,I391)*IF(H391=0,1,H391)*IF(G391=0,1,G391)*IF(F391=0,1,F391)*IF(E391=0,1,E391)*IF(D391=0,1,D391)*IF(C391=0,1,C391)</f>
        <v>43.975190490704058</v>
      </c>
      <c r="K391" s="480"/>
      <c r="L391" s="480"/>
      <c r="M391" s="760">
        <f>G388/3.281</f>
        <v>0.91435537945748246</v>
      </c>
      <c r="N391" s="760"/>
      <c r="O391" s="768">
        <f>O390</f>
        <v>6</v>
      </c>
      <c r="P391" s="727">
        <v>7.4999999999999997E-2</v>
      </c>
      <c r="Q391" s="756" t="s">
        <v>457</v>
      </c>
      <c r="R391" s="756">
        <v>16</v>
      </c>
      <c r="S391" s="757">
        <f>6/(12*3.281)</f>
        <v>0.15239256324291375</v>
      </c>
      <c r="T391" s="758">
        <f>M390/S391</f>
        <v>6</v>
      </c>
      <c r="U391" s="759">
        <f>M391+2*N390-2*P391</f>
        <v>1.2215330691862238</v>
      </c>
      <c r="V391" s="757">
        <f>T391*U391*O391</f>
        <v>43.975190490704058</v>
      </c>
      <c r="W391" s="757">
        <f t="shared" si="115"/>
        <v>0</v>
      </c>
      <c r="X391" s="757">
        <f t="shared" si="115"/>
        <v>0</v>
      </c>
      <c r="Y391" s="757">
        <f t="shared" si="115"/>
        <v>0</v>
      </c>
      <c r="Z391" s="757">
        <f t="shared" si="115"/>
        <v>0</v>
      </c>
      <c r="AA391" s="757">
        <f t="shared" si="115"/>
        <v>43.975190490704058</v>
      </c>
      <c r="AB391" s="757">
        <f t="shared" si="115"/>
        <v>0</v>
      </c>
      <c r="AC391" s="757">
        <f t="shared" si="115"/>
        <v>0</v>
      </c>
      <c r="AD391" s="757">
        <f t="shared" si="115"/>
        <v>0</v>
      </c>
      <c r="AE391" s="757">
        <f t="shared" si="115"/>
        <v>0</v>
      </c>
      <c r="AF391" s="775">
        <f>F389-0.25*2+0.5*2</f>
        <v>0.5</v>
      </c>
      <c r="AI391" s="777"/>
      <c r="AL391" s="777"/>
      <c r="AM391" s="777"/>
    </row>
    <row r="392" spans="1:48" s="390" customFormat="1" ht="24" customHeight="1">
      <c r="A392" s="454"/>
      <c r="B392" s="657" t="str">
        <f>$B$193</f>
        <v>F2 (4'-0"x4'-0"x0'-9")</v>
      </c>
      <c r="C392" s="662"/>
      <c r="D392" s="662"/>
      <c r="E392" s="662">
        <f>E193</f>
        <v>3</v>
      </c>
      <c r="F392" s="498">
        <f>F193</f>
        <v>4</v>
      </c>
      <c r="G392" s="642">
        <f>G193</f>
        <v>4</v>
      </c>
      <c r="H392" s="642">
        <v>0.75</v>
      </c>
      <c r="I392" s="501"/>
      <c r="J392" s="507"/>
      <c r="K392" s="455"/>
      <c r="L392" s="312"/>
      <c r="M392" s="726"/>
      <c r="N392" s="726"/>
      <c r="O392" s="726"/>
      <c r="P392" s="726"/>
      <c r="Q392" s="611"/>
      <c r="R392" s="611"/>
      <c r="S392" s="624"/>
      <c r="T392" s="626"/>
      <c r="U392" s="626"/>
      <c r="V392" s="624"/>
      <c r="W392" s="624">
        <f t="shared" si="115"/>
        <v>0</v>
      </c>
      <c r="X392" s="624">
        <f t="shared" si="115"/>
        <v>0</v>
      </c>
      <c r="Y392" s="624">
        <f t="shared" si="115"/>
        <v>0</v>
      </c>
      <c r="Z392" s="624">
        <f t="shared" si="115"/>
        <v>0</v>
      </c>
      <c r="AA392" s="624">
        <f t="shared" si="115"/>
        <v>0</v>
      </c>
      <c r="AB392" s="624">
        <f t="shared" si="115"/>
        <v>0</v>
      </c>
      <c r="AC392" s="624">
        <f t="shared" si="115"/>
        <v>0</v>
      </c>
      <c r="AD392" s="624">
        <f t="shared" si="115"/>
        <v>0</v>
      </c>
      <c r="AE392" s="624">
        <f t="shared" si="115"/>
        <v>0</v>
      </c>
      <c r="AF392" s="404"/>
      <c r="AG392" s="471"/>
      <c r="AH392" s="471"/>
      <c r="AI392" s="471"/>
      <c r="AJ392" s="471"/>
      <c r="AM392" s="404"/>
      <c r="AP392" s="404"/>
      <c r="AQ392" s="404"/>
    </row>
    <row r="393" spans="1:48" s="476" customFormat="1" ht="24" customHeight="1">
      <c r="A393" s="478"/>
      <c r="B393" s="770" t="s">
        <v>782</v>
      </c>
      <c r="C393" s="665"/>
      <c r="D393" s="665"/>
      <c r="E393" s="665"/>
      <c r="F393" s="751"/>
      <c r="G393" s="752"/>
      <c r="H393" s="752"/>
      <c r="I393" s="485"/>
      <c r="J393" s="481"/>
      <c r="K393" s="479"/>
      <c r="L393" s="483"/>
      <c r="M393" s="764"/>
      <c r="N393" s="764"/>
      <c r="O393" s="764"/>
      <c r="P393" s="764"/>
      <c r="Q393" s="756"/>
      <c r="R393" s="756"/>
      <c r="S393" s="757"/>
      <c r="T393" s="759"/>
      <c r="U393" s="759"/>
      <c r="V393" s="757"/>
      <c r="W393" s="757">
        <f t="shared" si="115"/>
        <v>0</v>
      </c>
      <c r="X393" s="757">
        <f t="shared" si="115"/>
        <v>0</v>
      </c>
      <c r="Y393" s="757">
        <f t="shared" si="115"/>
        <v>0</v>
      </c>
      <c r="Z393" s="757">
        <f t="shared" si="115"/>
        <v>0</v>
      </c>
      <c r="AA393" s="757">
        <f t="shared" si="115"/>
        <v>0</v>
      </c>
      <c r="AB393" s="757">
        <f t="shared" si="115"/>
        <v>0</v>
      </c>
      <c r="AC393" s="757">
        <f t="shared" si="115"/>
        <v>0</v>
      </c>
      <c r="AD393" s="757">
        <f t="shared" si="115"/>
        <v>0</v>
      </c>
      <c r="AE393" s="757">
        <f t="shared" si="115"/>
        <v>0</v>
      </c>
      <c r="AF393" s="477"/>
      <c r="AG393" s="475"/>
      <c r="AH393" s="475"/>
      <c r="AI393" s="475"/>
      <c r="AJ393" s="475"/>
      <c r="AM393" s="477"/>
      <c r="AP393" s="477"/>
      <c r="AQ393" s="477"/>
    </row>
    <row r="394" spans="1:48" s="776" customFormat="1" ht="22.25" customHeight="1">
      <c r="A394" s="769"/>
      <c r="B394" s="770" t="s">
        <v>483</v>
      </c>
      <c r="C394" s="771"/>
      <c r="D394" s="771">
        <f>T394</f>
        <v>7.9999999999999982</v>
      </c>
      <c r="E394" s="771">
        <f>E392</f>
        <v>3</v>
      </c>
      <c r="F394" s="751">
        <f>U394</f>
        <v>1.5263181956720511</v>
      </c>
      <c r="G394" s="773"/>
      <c r="H394" s="778"/>
      <c r="I394" s="774"/>
      <c r="J394" s="492">
        <f>IF(I394=0,1,I394)*IF(H394=0,1,H394)*IF(G394=0,1,G394)*IF(F394=0,1,F394)*IF(E394=0,1,E394)*IF(D394=0,1,D394)*IF(C394=0,1,C394)</f>
        <v>36.63163669612922</v>
      </c>
      <c r="K394" s="480"/>
      <c r="L394" s="480"/>
      <c r="M394" s="760">
        <f>F392/3.281</f>
        <v>1.2191405059433098</v>
      </c>
      <c r="N394" s="760">
        <f>H392/3.281</f>
        <v>0.22858884486437062</v>
      </c>
      <c r="O394" s="768">
        <f>E394</f>
        <v>3</v>
      </c>
      <c r="P394" s="727">
        <v>7.4999999999999997E-2</v>
      </c>
      <c r="Q394" s="756" t="s">
        <v>457</v>
      </c>
      <c r="R394" s="756">
        <v>16</v>
      </c>
      <c r="S394" s="757">
        <f>6/(12*3.281)</f>
        <v>0.15239256324291375</v>
      </c>
      <c r="T394" s="758">
        <f>M395/S394</f>
        <v>7.9999999999999982</v>
      </c>
      <c r="U394" s="759">
        <f>M394+2*N394-2*P394</f>
        <v>1.5263181956720511</v>
      </c>
      <c r="V394" s="757">
        <f>T394*U394*O394</f>
        <v>36.631636696129213</v>
      </c>
      <c r="W394" s="757">
        <f t="shared" si="115"/>
        <v>0</v>
      </c>
      <c r="X394" s="757">
        <f t="shared" si="115"/>
        <v>0</v>
      </c>
      <c r="Y394" s="757">
        <f t="shared" si="115"/>
        <v>0</v>
      </c>
      <c r="Z394" s="757">
        <f t="shared" si="115"/>
        <v>0</v>
      </c>
      <c r="AA394" s="757">
        <f t="shared" si="115"/>
        <v>36.631636696129213</v>
      </c>
      <c r="AB394" s="757">
        <f t="shared" si="115"/>
        <v>0</v>
      </c>
      <c r="AC394" s="757">
        <f t="shared" si="115"/>
        <v>0</v>
      </c>
      <c r="AD394" s="757">
        <f t="shared" si="115"/>
        <v>0</v>
      </c>
      <c r="AE394" s="757">
        <f t="shared" si="115"/>
        <v>0</v>
      </c>
      <c r="AF394" s="775">
        <f>F392-0.25*2+0.5*2</f>
        <v>4.5</v>
      </c>
      <c r="AI394" s="777"/>
      <c r="AL394" s="777"/>
      <c r="AM394" s="777"/>
    </row>
    <row r="395" spans="1:48" s="776" customFormat="1" ht="22.25" customHeight="1">
      <c r="A395" s="769"/>
      <c r="B395" s="770" t="s">
        <v>483</v>
      </c>
      <c r="C395" s="771"/>
      <c r="D395" s="771">
        <f>T395</f>
        <v>7.9999999999999982</v>
      </c>
      <c r="E395" s="771">
        <f>E394</f>
        <v>3</v>
      </c>
      <c r="F395" s="751">
        <f>U395</f>
        <v>1.5263181956720511</v>
      </c>
      <c r="G395" s="773"/>
      <c r="H395" s="778"/>
      <c r="I395" s="774"/>
      <c r="J395" s="492">
        <f>IF(I395=0,1,I395)*IF(H395=0,1,H395)*IF(G395=0,1,G395)*IF(F395=0,1,F395)*IF(E395=0,1,E395)*IF(D395=0,1,D395)*IF(C395=0,1,C395)</f>
        <v>36.63163669612922</v>
      </c>
      <c r="K395" s="480"/>
      <c r="L395" s="480"/>
      <c r="M395" s="760">
        <f>G392/3.281</f>
        <v>1.2191405059433098</v>
      </c>
      <c r="N395" s="760"/>
      <c r="O395" s="768">
        <f>O394</f>
        <v>3</v>
      </c>
      <c r="P395" s="727">
        <v>7.4999999999999997E-2</v>
      </c>
      <c r="Q395" s="756" t="s">
        <v>457</v>
      </c>
      <c r="R395" s="756">
        <v>16</v>
      </c>
      <c r="S395" s="757">
        <f>6/(12*3.281)</f>
        <v>0.15239256324291375</v>
      </c>
      <c r="T395" s="758">
        <f>M394/S395</f>
        <v>7.9999999999999982</v>
      </c>
      <c r="U395" s="759">
        <f>M395+2*N394-2*P395</f>
        <v>1.5263181956720511</v>
      </c>
      <c r="V395" s="757">
        <f>T395*U395*O395</f>
        <v>36.631636696129213</v>
      </c>
      <c r="W395" s="757">
        <f t="shared" si="115"/>
        <v>0</v>
      </c>
      <c r="X395" s="757">
        <f t="shared" si="115"/>
        <v>0</v>
      </c>
      <c r="Y395" s="757">
        <f t="shared" si="115"/>
        <v>0</v>
      </c>
      <c r="Z395" s="757">
        <f t="shared" si="115"/>
        <v>0</v>
      </c>
      <c r="AA395" s="757">
        <f t="shared" si="115"/>
        <v>36.631636696129213</v>
      </c>
      <c r="AB395" s="757">
        <f t="shared" si="115"/>
        <v>0</v>
      </c>
      <c r="AC395" s="757">
        <f t="shared" si="115"/>
        <v>0</v>
      </c>
      <c r="AD395" s="757">
        <f t="shared" si="115"/>
        <v>0</v>
      </c>
      <c r="AE395" s="757">
        <f t="shared" si="115"/>
        <v>0</v>
      </c>
      <c r="AF395" s="775">
        <f>F393-0.25*2+0.5*2</f>
        <v>0.5</v>
      </c>
      <c r="AI395" s="777"/>
      <c r="AL395" s="777"/>
      <c r="AM395" s="777"/>
    </row>
    <row r="396" spans="1:48" s="390" customFormat="1" ht="24" customHeight="1">
      <c r="A396" s="454"/>
      <c r="B396" s="657" t="str">
        <f>$B$194</f>
        <v>F3 (5'-0"x5'-0"x0'-10")</v>
      </c>
      <c r="C396" s="662"/>
      <c r="D396" s="662"/>
      <c r="E396" s="662">
        <f>E194</f>
        <v>11</v>
      </c>
      <c r="F396" s="498">
        <f>F194</f>
        <v>5</v>
      </c>
      <c r="G396" s="642">
        <f>G194</f>
        <v>5</v>
      </c>
      <c r="H396" s="642">
        <v>0.83</v>
      </c>
      <c r="I396" s="501"/>
      <c r="J396" s="507"/>
      <c r="K396" s="455"/>
      <c r="L396" s="312"/>
      <c r="M396" s="726"/>
      <c r="N396" s="726"/>
      <c r="O396" s="726"/>
      <c r="P396" s="726"/>
      <c r="Q396" s="611"/>
      <c r="R396" s="611"/>
      <c r="S396" s="624"/>
      <c r="T396" s="626"/>
      <c r="U396" s="626"/>
      <c r="V396" s="624"/>
      <c r="W396" s="624"/>
      <c r="X396" s="624"/>
      <c r="Y396" s="624"/>
      <c r="Z396" s="624"/>
      <c r="AA396" s="624"/>
      <c r="AB396" s="624"/>
      <c r="AC396" s="624"/>
      <c r="AD396" s="624"/>
      <c r="AE396" s="624"/>
      <c r="AF396" s="404"/>
      <c r="AG396" s="471"/>
      <c r="AH396" s="471"/>
      <c r="AI396" s="471"/>
      <c r="AJ396" s="471"/>
      <c r="AM396" s="404"/>
      <c r="AP396" s="404"/>
      <c r="AQ396" s="404"/>
    </row>
    <row r="397" spans="1:48" s="476" customFormat="1" ht="24" customHeight="1">
      <c r="A397" s="478"/>
      <c r="B397" s="770" t="s">
        <v>782</v>
      </c>
      <c r="C397" s="665"/>
      <c r="D397" s="665"/>
      <c r="E397" s="665"/>
      <c r="F397" s="751"/>
      <c r="G397" s="752"/>
      <c r="H397" s="752"/>
      <c r="I397" s="485"/>
      <c r="J397" s="481"/>
      <c r="K397" s="479"/>
      <c r="L397" s="483"/>
      <c r="M397" s="764"/>
      <c r="N397" s="764"/>
      <c r="O397" s="764"/>
      <c r="P397" s="764"/>
      <c r="Q397" s="756"/>
      <c r="R397" s="756"/>
      <c r="S397" s="757"/>
      <c r="T397" s="759"/>
      <c r="U397" s="759"/>
      <c r="V397" s="757"/>
      <c r="W397" s="757">
        <f t="shared" si="115"/>
        <v>0</v>
      </c>
      <c r="X397" s="757">
        <f t="shared" si="115"/>
        <v>0</v>
      </c>
      <c r="Y397" s="757">
        <f t="shared" si="115"/>
        <v>0</v>
      </c>
      <c r="Z397" s="757">
        <f t="shared" si="115"/>
        <v>0</v>
      </c>
      <c r="AA397" s="757">
        <f t="shared" si="115"/>
        <v>0</v>
      </c>
      <c r="AB397" s="757">
        <f t="shared" si="115"/>
        <v>0</v>
      </c>
      <c r="AC397" s="757">
        <f t="shared" si="115"/>
        <v>0</v>
      </c>
      <c r="AD397" s="757">
        <f t="shared" si="115"/>
        <v>0</v>
      </c>
      <c r="AE397" s="757">
        <f t="shared" si="115"/>
        <v>0</v>
      </c>
      <c r="AF397" s="477"/>
      <c r="AG397" s="475"/>
      <c r="AH397" s="475"/>
      <c r="AI397" s="475"/>
      <c r="AJ397" s="475"/>
      <c r="AM397" s="477"/>
      <c r="AP397" s="477"/>
      <c r="AQ397" s="477"/>
    </row>
    <row r="398" spans="1:48" s="776" customFormat="1" ht="22.25" customHeight="1">
      <c r="A398" s="769"/>
      <c r="B398" s="770" t="s">
        <v>483</v>
      </c>
      <c r="C398" s="771"/>
      <c r="D398" s="771">
        <f>T398</f>
        <v>10</v>
      </c>
      <c r="E398" s="771">
        <f>E396</f>
        <v>11</v>
      </c>
      <c r="F398" s="751">
        <f>U398</f>
        <v>1.879868942395611</v>
      </c>
      <c r="G398" s="773"/>
      <c r="H398" s="778"/>
      <c r="I398" s="774"/>
      <c r="J398" s="492">
        <f>IF(I398=0,1,I398)*IF(H398=0,1,H398)*IF(G398=0,1,G398)*IF(F398=0,1,F398)*IF(E398=0,1,E398)*IF(D398=0,1,D398)*IF(C398=0,1,C398)</f>
        <v>206.7855836635172</v>
      </c>
      <c r="K398" s="480"/>
      <c r="L398" s="480"/>
      <c r="M398" s="760">
        <f>F396/3.281</f>
        <v>1.5239256324291375</v>
      </c>
      <c r="N398" s="760">
        <f>H396/3.281</f>
        <v>0.25297165498323682</v>
      </c>
      <c r="O398" s="768">
        <f>E398</f>
        <v>11</v>
      </c>
      <c r="P398" s="727">
        <v>7.4999999999999997E-2</v>
      </c>
      <c r="Q398" s="756" t="s">
        <v>457</v>
      </c>
      <c r="R398" s="756">
        <v>16</v>
      </c>
      <c r="S398" s="757">
        <f>6/(12*3.281)</f>
        <v>0.15239256324291375</v>
      </c>
      <c r="T398" s="758">
        <f>M399/S398</f>
        <v>10</v>
      </c>
      <c r="U398" s="759">
        <f>M398+2*N398-2*P398</f>
        <v>1.879868942395611</v>
      </c>
      <c r="V398" s="757">
        <f>T398*U398*O398</f>
        <v>206.7855836635172</v>
      </c>
      <c r="W398" s="757">
        <f t="shared" si="115"/>
        <v>0</v>
      </c>
      <c r="X398" s="757">
        <f t="shared" si="115"/>
        <v>0</v>
      </c>
      <c r="Y398" s="757">
        <f t="shared" si="115"/>
        <v>0</v>
      </c>
      <c r="Z398" s="757">
        <f t="shared" si="115"/>
        <v>0</v>
      </c>
      <c r="AA398" s="757">
        <f t="shared" si="115"/>
        <v>206.7855836635172</v>
      </c>
      <c r="AB398" s="757">
        <f t="shared" si="115"/>
        <v>0</v>
      </c>
      <c r="AC398" s="757">
        <f t="shared" si="115"/>
        <v>0</v>
      </c>
      <c r="AD398" s="757">
        <f t="shared" si="115"/>
        <v>0</v>
      </c>
      <c r="AE398" s="757">
        <f t="shared" si="115"/>
        <v>0</v>
      </c>
      <c r="AF398" s="775">
        <f>F396-0.25*2+0.5*2</f>
        <v>5.5</v>
      </c>
      <c r="AI398" s="777"/>
      <c r="AL398" s="777"/>
      <c r="AM398" s="777"/>
    </row>
    <row r="399" spans="1:48" s="776" customFormat="1" ht="22.25" customHeight="1">
      <c r="A399" s="769"/>
      <c r="B399" s="770" t="s">
        <v>483</v>
      </c>
      <c r="C399" s="771"/>
      <c r="D399" s="771">
        <f>T399</f>
        <v>10</v>
      </c>
      <c r="E399" s="771">
        <f>E398</f>
        <v>11</v>
      </c>
      <c r="F399" s="751">
        <f>U399</f>
        <v>1.879868942395611</v>
      </c>
      <c r="G399" s="773"/>
      <c r="H399" s="778"/>
      <c r="I399" s="774"/>
      <c r="J399" s="492">
        <f>IF(I399=0,1,I399)*IF(H399=0,1,H399)*IF(G399=0,1,G399)*IF(F399=0,1,F399)*IF(E399=0,1,E399)*IF(D399=0,1,D399)*IF(C399=0,1,C399)</f>
        <v>206.7855836635172</v>
      </c>
      <c r="K399" s="480"/>
      <c r="L399" s="480"/>
      <c r="M399" s="760">
        <f>G396/3.281</f>
        <v>1.5239256324291375</v>
      </c>
      <c r="N399" s="760"/>
      <c r="O399" s="768">
        <f>O398</f>
        <v>11</v>
      </c>
      <c r="P399" s="727">
        <v>7.4999999999999997E-2</v>
      </c>
      <c r="Q399" s="756" t="s">
        <v>457</v>
      </c>
      <c r="R399" s="756">
        <v>16</v>
      </c>
      <c r="S399" s="757">
        <f>6/(12*3.281)</f>
        <v>0.15239256324291375</v>
      </c>
      <c r="T399" s="758">
        <f>M398/S399</f>
        <v>10</v>
      </c>
      <c r="U399" s="759">
        <f>M399+2*N398-2*P399</f>
        <v>1.879868942395611</v>
      </c>
      <c r="V399" s="757">
        <f>T399*U399*O399</f>
        <v>206.7855836635172</v>
      </c>
      <c r="W399" s="757">
        <f t="shared" si="115"/>
        <v>0</v>
      </c>
      <c r="X399" s="757">
        <f t="shared" si="115"/>
        <v>0</v>
      </c>
      <c r="Y399" s="757">
        <f t="shared" si="115"/>
        <v>0</v>
      </c>
      <c r="Z399" s="757">
        <f t="shared" si="115"/>
        <v>0</v>
      </c>
      <c r="AA399" s="757">
        <f t="shared" si="115"/>
        <v>206.7855836635172</v>
      </c>
      <c r="AB399" s="757">
        <f t="shared" si="115"/>
        <v>0</v>
      </c>
      <c r="AC399" s="757">
        <f t="shared" si="115"/>
        <v>0</v>
      </c>
      <c r="AD399" s="757">
        <f t="shared" si="115"/>
        <v>0</v>
      </c>
      <c r="AE399" s="757">
        <f t="shared" si="115"/>
        <v>0</v>
      </c>
      <c r="AF399" s="775">
        <f>F397-0.25*2+0.5*2</f>
        <v>0.5</v>
      </c>
      <c r="AI399" s="777"/>
      <c r="AL399" s="777"/>
      <c r="AM399" s="777"/>
    </row>
    <row r="400" spans="1:48" s="390" customFormat="1" ht="24" customHeight="1">
      <c r="A400" s="454"/>
      <c r="B400" s="657" t="str">
        <f>$B$195</f>
        <v>F4 (5'-6"x5'-6"x1'-0")</v>
      </c>
      <c r="C400" s="662"/>
      <c r="D400" s="662"/>
      <c r="E400" s="662">
        <f>E195</f>
        <v>3</v>
      </c>
      <c r="F400" s="498">
        <f>F195</f>
        <v>5.5</v>
      </c>
      <c r="G400" s="642">
        <f>G195</f>
        <v>5.5</v>
      </c>
      <c r="H400" s="642">
        <v>1</v>
      </c>
      <c r="I400" s="501"/>
      <c r="J400" s="507"/>
      <c r="K400" s="455"/>
      <c r="L400" s="312"/>
      <c r="M400" s="726"/>
      <c r="N400" s="726"/>
      <c r="O400" s="726"/>
      <c r="P400" s="726"/>
      <c r="Q400" s="611"/>
      <c r="R400" s="611"/>
      <c r="S400" s="624"/>
      <c r="T400" s="626"/>
      <c r="U400" s="626"/>
      <c r="V400" s="624"/>
      <c r="W400" s="624"/>
      <c r="X400" s="624"/>
      <c r="Y400" s="624"/>
      <c r="Z400" s="624"/>
      <c r="AA400" s="624"/>
      <c r="AB400" s="624"/>
      <c r="AC400" s="624"/>
      <c r="AD400" s="624"/>
      <c r="AE400" s="624"/>
      <c r="AF400" s="404"/>
      <c r="AG400" s="471"/>
      <c r="AH400" s="471"/>
      <c r="AI400" s="471"/>
      <c r="AJ400" s="471"/>
      <c r="AM400" s="404"/>
      <c r="AP400" s="404"/>
      <c r="AQ400" s="404"/>
    </row>
    <row r="401" spans="1:48" s="476" customFormat="1" ht="24" customHeight="1">
      <c r="A401" s="478"/>
      <c r="B401" s="770" t="s">
        <v>782</v>
      </c>
      <c r="C401" s="665"/>
      <c r="D401" s="665"/>
      <c r="E401" s="665"/>
      <c r="F401" s="751"/>
      <c r="G401" s="752"/>
      <c r="H401" s="752"/>
      <c r="I401" s="485"/>
      <c r="J401" s="481"/>
      <c r="K401" s="479"/>
      <c r="L401" s="483"/>
      <c r="M401" s="764"/>
      <c r="N401" s="764"/>
      <c r="O401" s="764"/>
      <c r="P401" s="764"/>
      <c r="Q401" s="756"/>
      <c r="R401" s="756"/>
      <c r="S401" s="757"/>
      <c r="T401" s="759"/>
      <c r="U401" s="759"/>
      <c r="V401" s="757"/>
      <c r="W401" s="757">
        <f t="shared" si="115"/>
        <v>0</v>
      </c>
      <c r="X401" s="757">
        <f t="shared" si="115"/>
        <v>0</v>
      </c>
      <c r="Y401" s="757">
        <f t="shared" si="115"/>
        <v>0</v>
      </c>
      <c r="Z401" s="757">
        <f t="shared" si="115"/>
        <v>0</v>
      </c>
      <c r="AA401" s="757">
        <f t="shared" si="115"/>
        <v>0</v>
      </c>
      <c r="AB401" s="757">
        <f t="shared" si="115"/>
        <v>0</v>
      </c>
      <c r="AC401" s="757">
        <f t="shared" si="115"/>
        <v>0</v>
      </c>
      <c r="AD401" s="757">
        <f t="shared" si="115"/>
        <v>0</v>
      </c>
      <c r="AE401" s="757">
        <f t="shared" si="115"/>
        <v>0</v>
      </c>
      <c r="AF401" s="477"/>
      <c r="AG401" s="475"/>
      <c r="AH401" s="475"/>
      <c r="AI401" s="475"/>
      <c r="AJ401" s="475"/>
      <c r="AM401" s="477"/>
      <c r="AP401" s="477"/>
      <c r="AQ401" s="477"/>
    </row>
    <row r="402" spans="1:48" s="776" customFormat="1" ht="22.25" customHeight="1">
      <c r="A402" s="769"/>
      <c r="B402" s="770" t="s">
        <v>483</v>
      </c>
      <c r="C402" s="771"/>
      <c r="D402" s="771">
        <f>T402</f>
        <v>11</v>
      </c>
      <c r="E402" s="771">
        <f>E400</f>
        <v>3</v>
      </c>
      <c r="F402" s="751">
        <f>U402</f>
        <v>2.1358884486437062</v>
      </c>
      <c r="G402" s="773"/>
      <c r="H402" s="778"/>
      <c r="I402" s="774"/>
      <c r="J402" s="492">
        <f>IF(I402=0,1,I402)*IF(H402=0,1,H402)*IF(G402=0,1,G402)*IF(F402=0,1,F402)*IF(E402=0,1,E402)*IF(D402=0,1,D402)*IF(C402=0,1,C402)</f>
        <v>70.484318805242296</v>
      </c>
      <c r="K402" s="480"/>
      <c r="L402" s="480"/>
      <c r="M402" s="760">
        <f>F400/3.281</f>
        <v>1.6763181956720512</v>
      </c>
      <c r="N402" s="760">
        <f>H400/3.281</f>
        <v>0.30478512648582745</v>
      </c>
      <c r="O402" s="768">
        <f>E402</f>
        <v>3</v>
      </c>
      <c r="P402" s="727">
        <v>7.4999999999999997E-2</v>
      </c>
      <c r="Q402" s="756" t="s">
        <v>457</v>
      </c>
      <c r="R402" s="756">
        <v>16</v>
      </c>
      <c r="S402" s="757">
        <f>6/(12*3.281)</f>
        <v>0.15239256324291375</v>
      </c>
      <c r="T402" s="758">
        <f>M403/S402</f>
        <v>11</v>
      </c>
      <c r="U402" s="759">
        <f>M402+2*N402-2*P402</f>
        <v>2.1358884486437062</v>
      </c>
      <c r="V402" s="757">
        <f>T402*U402*O402</f>
        <v>70.48431880524231</v>
      </c>
      <c r="W402" s="757">
        <f t="shared" ref="W402:AE403" si="116">IF($R402=W$5,$V402,0)</f>
        <v>0</v>
      </c>
      <c r="X402" s="757">
        <f t="shared" si="116"/>
        <v>0</v>
      </c>
      <c r="Y402" s="757">
        <f t="shared" si="116"/>
        <v>0</v>
      </c>
      <c r="Z402" s="757">
        <f t="shared" si="116"/>
        <v>0</v>
      </c>
      <c r="AA402" s="757">
        <f t="shared" si="116"/>
        <v>70.48431880524231</v>
      </c>
      <c r="AB402" s="757">
        <f t="shared" si="116"/>
        <v>0</v>
      </c>
      <c r="AC402" s="757">
        <f t="shared" si="116"/>
        <v>0</v>
      </c>
      <c r="AD402" s="757">
        <f t="shared" si="116"/>
        <v>0</v>
      </c>
      <c r="AE402" s="757">
        <f t="shared" si="116"/>
        <v>0</v>
      </c>
      <c r="AF402" s="775">
        <f>F400-0.25*2+0.5*2</f>
        <v>6</v>
      </c>
      <c r="AI402" s="777"/>
      <c r="AL402" s="777"/>
      <c r="AM402" s="777"/>
    </row>
    <row r="403" spans="1:48" s="776" customFormat="1" ht="22.25" customHeight="1">
      <c r="A403" s="769"/>
      <c r="B403" s="770" t="s">
        <v>483</v>
      </c>
      <c r="C403" s="771"/>
      <c r="D403" s="771">
        <f>T403</f>
        <v>11</v>
      </c>
      <c r="E403" s="771">
        <f>E402</f>
        <v>3</v>
      </c>
      <c r="F403" s="751">
        <f>U403</f>
        <v>2.1358884486437062</v>
      </c>
      <c r="G403" s="773"/>
      <c r="H403" s="778"/>
      <c r="I403" s="774"/>
      <c r="J403" s="492">
        <f>IF(I403=0,1,I403)*IF(H403=0,1,H403)*IF(G403=0,1,G403)*IF(F403=0,1,F403)*IF(E403=0,1,E403)*IF(D403=0,1,D403)*IF(C403=0,1,C403)</f>
        <v>70.484318805242296</v>
      </c>
      <c r="K403" s="480"/>
      <c r="L403" s="480"/>
      <c r="M403" s="760">
        <f>G400/3.281</f>
        <v>1.6763181956720512</v>
      </c>
      <c r="N403" s="760"/>
      <c r="O403" s="768">
        <f>O402</f>
        <v>3</v>
      </c>
      <c r="P403" s="727">
        <v>7.4999999999999997E-2</v>
      </c>
      <c r="Q403" s="756" t="s">
        <v>457</v>
      </c>
      <c r="R403" s="756">
        <v>16</v>
      </c>
      <c r="S403" s="757">
        <f>6/(12*3.281)</f>
        <v>0.15239256324291375</v>
      </c>
      <c r="T403" s="758">
        <f>M402/S403</f>
        <v>11</v>
      </c>
      <c r="U403" s="759">
        <f>M403+2*N402-2*P403</f>
        <v>2.1358884486437062</v>
      </c>
      <c r="V403" s="757">
        <f>T403*U403*O403</f>
        <v>70.48431880524231</v>
      </c>
      <c r="W403" s="757">
        <f t="shared" si="116"/>
        <v>0</v>
      </c>
      <c r="X403" s="757">
        <f t="shared" si="116"/>
        <v>0</v>
      </c>
      <c r="Y403" s="757">
        <f t="shared" si="116"/>
        <v>0</v>
      </c>
      <c r="Z403" s="757">
        <f t="shared" si="116"/>
        <v>0</v>
      </c>
      <c r="AA403" s="757">
        <f t="shared" si="116"/>
        <v>70.48431880524231</v>
      </c>
      <c r="AB403" s="757">
        <f t="shared" si="116"/>
        <v>0</v>
      </c>
      <c r="AC403" s="757">
        <f t="shared" si="116"/>
        <v>0</v>
      </c>
      <c r="AD403" s="757">
        <f t="shared" si="116"/>
        <v>0</v>
      </c>
      <c r="AE403" s="757">
        <f t="shared" si="116"/>
        <v>0</v>
      </c>
      <c r="AF403" s="775">
        <f>F401-0.25*2+0.5*2</f>
        <v>0.5</v>
      </c>
      <c r="AI403" s="777"/>
      <c r="AL403" s="777"/>
      <c r="AM403" s="777"/>
    </row>
    <row r="404" spans="1:48" s="885" customFormat="1" ht="25.75" customHeight="1">
      <c r="A404" s="788"/>
      <c r="B404" s="958"/>
      <c r="C404" s="940"/>
      <c r="D404" s="940"/>
      <c r="E404" s="940"/>
      <c r="F404" s="959"/>
      <c r="G404" s="960"/>
      <c r="H404" s="962"/>
      <c r="I404" s="802"/>
      <c r="J404" s="958" t="s">
        <v>483</v>
      </c>
      <c r="K404" s="963">
        <f>SUMIF($B$388:$B$404,J404,$J$388:$J$404)</f>
        <v>715.75345931118557</v>
      </c>
      <c r="L404" s="791" t="s">
        <v>46</v>
      </c>
      <c r="M404" s="964"/>
      <c r="N404" s="964"/>
      <c r="O404" s="965"/>
      <c r="P404" s="964"/>
      <c r="Q404" s="618"/>
      <c r="R404" s="618"/>
      <c r="S404" s="618"/>
      <c r="T404" s="618"/>
      <c r="U404" s="618"/>
      <c r="V404" s="624"/>
      <c r="W404" s="624">
        <f t="shared" ref="W404:AE405" si="117">IF($R404=W$5,$V404,0)</f>
        <v>0</v>
      </c>
      <c r="X404" s="624">
        <f t="shared" si="117"/>
        <v>0</v>
      </c>
      <c r="Y404" s="624">
        <f t="shared" si="117"/>
        <v>0</v>
      </c>
      <c r="Z404" s="624">
        <f t="shared" si="117"/>
        <v>0</v>
      </c>
      <c r="AA404" s="624">
        <f t="shared" si="117"/>
        <v>0</v>
      </c>
      <c r="AB404" s="624">
        <f t="shared" si="117"/>
        <v>0</v>
      </c>
      <c r="AC404" s="624">
        <f t="shared" si="117"/>
        <v>0</v>
      </c>
      <c r="AD404" s="624">
        <f t="shared" si="117"/>
        <v>0</v>
      </c>
      <c r="AE404" s="624">
        <f t="shared" si="117"/>
        <v>0</v>
      </c>
      <c r="AF404" s="944"/>
      <c r="AG404" s="966"/>
      <c r="AH404" s="966"/>
      <c r="AI404" s="966"/>
      <c r="AJ404" s="944"/>
      <c r="AK404" s="944"/>
      <c r="AN404" s="886"/>
      <c r="AQ404" s="886"/>
      <c r="AR404" s="886"/>
    </row>
    <row r="405" spans="1:48" s="390" customFormat="1" ht="25.75" customHeight="1">
      <c r="A405" s="788"/>
      <c r="B405" s="958"/>
      <c r="C405" s="940"/>
      <c r="D405" s="940"/>
      <c r="E405" s="940"/>
      <c r="F405" s="959"/>
      <c r="G405" s="960"/>
      <c r="H405" s="958"/>
      <c r="I405" s="791"/>
      <c r="J405" s="513"/>
      <c r="K405" s="963">
        <f>K404*$AA$889</f>
        <v>1131.0671949608857</v>
      </c>
      <c r="L405" s="513" t="s">
        <v>172</v>
      </c>
      <c r="M405" s="722"/>
      <c r="N405" s="722"/>
      <c r="O405" s="957"/>
      <c r="P405" s="722"/>
      <c r="Q405" s="611"/>
      <c r="R405" s="611"/>
      <c r="S405" s="624"/>
      <c r="T405" s="625"/>
      <c r="U405" s="611"/>
      <c r="V405" s="624"/>
      <c r="W405" s="624">
        <f t="shared" si="117"/>
        <v>0</v>
      </c>
      <c r="X405" s="624">
        <f t="shared" si="117"/>
        <v>0</v>
      </c>
      <c r="Y405" s="624">
        <f t="shared" si="117"/>
        <v>0</v>
      </c>
      <c r="Z405" s="624">
        <f t="shared" si="117"/>
        <v>0</v>
      </c>
      <c r="AA405" s="624">
        <f t="shared" si="117"/>
        <v>0</v>
      </c>
      <c r="AB405" s="624">
        <f t="shared" si="117"/>
        <v>0</v>
      </c>
      <c r="AC405" s="624">
        <f t="shared" si="117"/>
        <v>0</v>
      </c>
      <c r="AD405" s="624">
        <f t="shared" si="117"/>
        <v>0</v>
      </c>
      <c r="AE405" s="624">
        <f t="shared" si="117"/>
        <v>0</v>
      </c>
      <c r="AF405" s="471" t="e">
        <f>1/#REF!</f>
        <v>#REF!</v>
      </c>
      <c r="AG405" s="471" t="e">
        <f>#REF!*2.8</f>
        <v>#REF!</v>
      </c>
      <c r="AH405" s="471"/>
      <c r="AI405" s="471"/>
      <c r="AJ405" s="471"/>
      <c r="AK405" s="471"/>
      <c r="AL405" s="471"/>
      <c r="AM405" s="471"/>
      <c r="AN405" s="471"/>
      <c r="AO405" s="471"/>
      <c r="AR405" s="404"/>
      <c r="AU405" s="404"/>
      <c r="AV405" s="404"/>
    </row>
    <row r="406" spans="1:48" s="390" customFormat="1" ht="26.25" customHeight="1">
      <c r="A406" s="454"/>
      <c r="B406" s="660"/>
      <c r="C406" s="662"/>
      <c r="D406" s="662"/>
      <c r="E406" s="662"/>
      <c r="F406" s="498"/>
      <c r="G406" s="642"/>
      <c r="H406" s="642"/>
      <c r="I406" s="458"/>
      <c r="J406" s="455"/>
      <c r="K406" s="455"/>
      <c r="L406" s="312"/>
      <c r="M406" s="726"/>
      <c r="N406" s="726"/>
      <c r="O406" s="726"/>
      <c r="P406" s="726"/>
      <c r="Q406" s="611"/>
      <c r="R406" s="611"/>
      <c r="S406" s="611"/>
      <c r="T406" s="626"/>
      <c r="U406" s="624"/>
      <c r="V406" s="624"/>
      <c r="W406" s="624"/>
      <c r="X406" s="624"/>
      <c r="Y406" s="624"/>
      <c r="Z406" s="624"/>
      <c r="AA406" s="624"/>
      <c r="AB406" s="624"/>
      <c r="AC406" s="624"/>
      <c r="AD406" s="624"/>
      <c r="AE406" s="624"/>
      <c r="AF406" s="404"/>
      <c r="AG406" s="471"/>
      <c r="AH406" s="471"/>
      <c r="AI406" s="471"/>
      <c r="AJ406" s="471"/>
      <c r="AM406" s="404"/>
      <c r="AP406" s="404"/>
      <c r="AQ406" s="404"/>
    </row>
    <row r="407" spans="1:48" s="476" customFormat="1" ht="22.25" customHeight="1">
      <c r="A407" s="478"/>
      <c r="B407" s="819" t="s">
        <v>538</v>
      </c>
      <c r="C407" s="665"/>
      <c r="D407" s="665"/>
      <c r="E407" s="665"/>
      <c r="F407" s="751"/>
      <c r="G407" s="752"/>
      <c r="H407" s="752"/>
      <c r="I407" s="485"/>
      <c r="J407" s="492"/>
      <c r="K407" s="479"/>
      <c r="L407" s="483"/>
      <c r="M407" s="764"/>
      <c r="N407" s="764"/>
      <c r="O407" s="764"/>
      <c r="P407" s="764"/>
      <c r="Q407" s="756"/>
      <c r="R407" s="756"/>
      <c r="S407" s="756"/>
      <c r="T407" s="756"/>
      <c r="U407" s="757"/>
      <c r="V407" s="757"/>
      <c r="W407" s="757">
        <f>IF($R407=W$5,$V407,0)</f>
        <v>0</v>
      </c>
      <c r="X407" s="757">
        <f>IF($R407=X$5,$V407,0)</f>
        <v>0</v>
      </c>
      <c r="Y407" s="757">
        <f t="shared" ref="Y407:AE407" si="118">IF($R407=Y$5,$V407,0)</f>
        <v>0</v>
      </c>
      <c r="Z407" s="757">
        <f t="shared" si="118"/>
        <v>0</v>
      </c>
      <c r="AA407" s="757">
        <f t="shared" si="118"/>
        <v>0</v>
      </c>
      <c r="AB407" s="757">
        <f t="shared" si="118"/>
        <v>0</v>
      </c>
      <c r="AC407" s="757">
        <f t="shared" si="118"/>
        <v>0</v>
      </c>
      <c r="AD407" s="757">
        <f t="shared" si="118"/>
        <v>0</v>
      </c>
      <c r="AE407" s="757">
        <f t="shared" si="118"/>
        <v>0</v>
      </c>
      <c r="AF407" s="477"/>
      <c r="AG407" s="475"/>
      <c r="AH407" s="475"/>
      <c r="AI407" s="475"/>
      <c r="AJ407" s="475"/>
      <c r="AM407" s="477"/>
      <c r="AP407" s="477"/>
      <c r="AQ407" s="477"/>
    </row>
    <row r="408" spans="1:48" s="476" customFormat="1" ht="22.25" customHeight="1">
      <c r="A408" s="478"/>
      <c r="B408" s="660" t="str">
        <f>$B$78</f>
        <v>C1 (12"x12") on F3</v>
      </c>
      <c r="C408" s="662"/>
      <c r="D408" s="662"/>
      <c r="E408" s="662">
        <f>$E$78</f>
        <v>3</v>
      </c>
      <c r="F408" s="498">
        <v>1</v>
      </c>
      <c r="G408" s="642">
        <v>1</v>
      </c>
      <c r="H408" s="642">
        <f>4+3</f>
        <v>7</v>
      </c>
      <c r="I408" s="485"/>
      <c r="J408" s="492"/>
      <c r="K408" s="479"/>
      <c r="L408" s="483"/>
      <c r="M408" s="764"/>
      <c r="N408" s="764"/>
      <c r="O408" s="764"/>
      <c r="P408" s="764"/>
      <c r="Q408" s="756"/>
      <c r="R408" s="756"/>
      <c r="S408" s="757"/>
      <c r="T408" s="758"/>
      <c r="U408" s="759"/>
      <c r="V408" s="757"/>
      <c r="W408" s="757">
        <f t="shared" ref="W408:AE429" si="119">IF($R408=W$5,$V408,0)</f>
        <v>0</v>
      </c>
      <c r="X408" s="757">
        <f t="shared" si="119"/>
        <v>0</v>
      </c>
      <c r="Y408" s="757">
        <f t="shared" si="119"/>
        <v>0</v>
      </c>
      <c r="Z408" s="757">
        <f t="shared" si="119"/>
        <v>0</v>
      </c>
      <c r="AA408" s="757">
        <f t="shared" si="119"/>
        <v>0</v>
      </c>
      <c r="AB408" s="757">
        <f t="shared" si="119"/>
        <v>0</v>
      </c>
      <c r="AC408" s="757">
        <f t="shared" si="119"/>
        <v>0</v>
      </c>
      <c r="AD408" s="757">
        <f t="shared" si="119"/>
        <v>0</v>
      </c>
      <c r="AE408" s="757">
        <f t="shared" si="119"/>
        <v>0</v>
      </c>
      <c r="AF408" s="477">
        <f>381+609</f>
        <v>990</v>
      </c>
      <c r="AG408" s="475">
        <f>9.9/3.281</f>
        <v>3.0173727522096923</v>
      </c>
      <c r="AH408" s="918">
        <f>1.25+9+3</f>
        <v>13.25</v>
      </c>
      <c r="AI408" s="475"/>
      <c r="AJ408" s="475"/>
      <c r="AM408" s="477"/>
      <c r="AP408" s="477"/>
      <c r="AQ408" s="477"/>
    </row>
    <row r="409" spans="1:48" s="776" customFormat="1" ht="22.25" customHeight="1">
      <c r="A409" s="769"/>
      <c r="B409" s="770" t="s">
        <v>727</v>
      </c>
      <c r="C409" s="665"/>
      <c r="D409" s="665"/>
      <c r="E409" s="665"/>
      <c r="F409" s="751"/>
      <c r="G409" s="773"/>
      <c r="H409" s="778"/>
      <c r="I409" s="774"/>
      <c r="J409" s="778"/>
      <c r="K409" s="480"/>
      <c r="L409" s="774"/>
      <c r="M409" s="760"/>
      <c r="N409" s="781"/>
      <c r="O409" s="782"/>
      <c r="P409" s="781"/>
      <c r="Q409" s="756"/>
      <c r="R409" s="756"/>
      <c r="S409" s="757"/>
      <c r="T409" s="758"/>
      <c r="U409" s="759"/>
      <c r="V409" s="757"/>
      <c r="W409" s="757">
        <f t="shared" si="119"/>
        <v>0</v>
      </c>
      <c r="X409" s="757">
        <f t="shared" si="119"/>
        <v>0</v>
      </c>
      <c r="Y409" s="757">
        <f t="shared" si="119"/>
        <v>0</v>
      </c>
      <c r="Z409" s="757">
        <f t="shared" si="119"/>
        <v>0</v>
      </c>
      <c r="AA409" s="757">
        <f t="shared" si="119"/>
        <v>0</v>
      </c>
      <c r="AB409" s="757">
        <f t="shared" si="119"/>
        <v>0</v>
      </c>
      <c r="AC409" s="757">
        <f t="shared" si="119"/>
        <v>0</v>
      </c>
      <c r="AD409" s="757">
        <f t="shared" si="119"/>
        <v>0</v>
      </c>
      <c r="AE409" s="757">
        <f t="shared" si="119"/>
        <v>0</v>
      </c>
      <c r="AF409" s="772" t="e">
        <f>((#REF!+#REF!/12)-(1.5/12)*2)*4+0.25*2</f>
        <v>#REF!</v>
      </c>
      <c r="AI409" s="777"/>
      <c r="AL409" s="777"/>
      <c r="AM409" s="777"/>
    </row>
    <row r="410" spans="1:48" s="776" customFormat="1" ht="22.25" customHeight="1">
      <c r="A410" s="769"/>
      <c r="B410" s="770" t="s">
        <v>483</v>
      </c>
      <c r="C410" s="665"/>
      <c r="D410" s="665">
        <v>6</v>
      </c>
      <c r="E410" s="665">
        <f>E408</f>
        <v>3</v>
      </c>
      <c r="F410" s="751">
        <f>U410</f>
        <v>4.5515992075586702</v>
      </c>
      <c r="G410" s="773"/>
      <c r="H410" s="778"/>
      <c r="I410" s="774"/>
      <c r="J410" s="492">
        <f>IF(I410=0,1,I410)*IF(H410=0,1,H410)*IF(G410=0,1,G410)*IF(F410=0,1,F410)*IF(E410=0,1,E410)*IF(D410=0,1,D410)*IF(C410=0,1,C410)</f>
        <v>81.928785736056057</v>
      </c>
      <c r="K410" s="480"/>
      <c r="L410" s="774"/>
      <c r="M410" s="760">
        <f>F408/3.281</f>
        <v>0.30478512648582745</v>
      </c>
      <c r="N410" s="781">
        <f>H408/3.281</f>
        <v>2.1334958854007922</v>
      </c>
      <c r="O410" s="768">
        <f>E410</f>
        <v>3</v>
      </c>
      <c r="P410" s="781">
        <v>0.05</v>
      </c>
      <c r="Q410" s="756" t="s">
        <v>459</v>
      </c>
      <c r="R410" s="756">
        <v>16</v>
      </c>
      <c r="S410" s="757"/>
      <c r="T410" s="758">
        <f>D410</f>
        <v>6</v>
      </c>
      <c r="U410" s="759">
        <f>N410-1*$P$403+1*32*R410/1000+(6.5)/3.281</f>
        <v>4.5515992075586702</v>
      </c>
      <c r="V410" s="757">
        <f>T410*U410*O410</f>
        <v>81.928785736056057</v>
      </c>
      <c r="W410" s="757">
        <f t="shared" si="119"/>
        <v>0</v>
      </c>
      <c r="X410" s="757">
        <f t="shared" si="119"/>
        <v>0</v>
      </c>
      <c r="Y410" s="757">
        <f t="shared" si="119"/>
        <v>0</v>
      </c>
      <c r="Z410" s="757">
        <f t="shared" si="119"/>
        <v>0</v>
      </c>
      <c r="AA410" s="757">
        <f t="shared" si="119"/>
        <v>81.928785736056057</v>
      </c>
      <c r="AB410" s="757">
        <f t="shared" si="119"/>
        <v>0</v>
      </c>
      <c r="AC410" s="757">
        <f t="shared" si="119"/>
        <v>0</v>
      </c>
      <c r="AD410" s="757">
        <f t="shared" si="119"/>
        <v>0</v>
      </c>
      <c r="AE410" s="757">
        <f t="shared" si="119"/>
        <v>0</v>
      </c>
      <c r="AF410" s="772" t="e">
        <f>(#REF!+#REF!/12)-0.25+0.5+0.25*2</f>
        <v>#REF!</v>
      </c>
      <c r="AI410" s="777"/>
      <c r="AL410" s="777"/>
      <c r="AM410" s="777"/>
    </row>
    <row r="411" spans="1:48" s="776" customFormat="1" ht="22.25" customHeight="1">
      <c r="A411" s="769"/>
      <c r="B411" s="770" t="s">
        <v>525</v>
      </c>
      <c r="C411" s="665"/>
      <c r="D411" s="665"/>
      <c r="E411" s="665"/>
      <c r="F411" s="751"/>
      <c r="G411" s="773"/>
      <c r="H411" s="778"/>
      <c r="I411" s="774"/>
      <c r="J411" s="778"/>
      <c r="K411" s="480"/>
      <c r="L411" s="774"/>
      <c r="M411" s="760"/>
      <c r="N411" s="781"/>
      <c r="O411" s="782"/>
      <c r="P411" s="781"/>
      <c r="Q411" s="756"/>
      <c r="R411" s="756"/>
      <c r="S411" s="757"/>
      <c r="T411" s="758"/>
      <c r="U411" s="759"/>
      <c r="V411" s="757"/>
      <c r="W411" s="757">
        <f t="shared" si="119"/>
        <v>0</v>
      </c>
      <c r="X411" s="757">
        <f t="shared" si="119"/>
        <v>0</v>
      </c>
      <c r="Y411" s="757">
        <f t="shared" si="119"/>
        <v>0</v>
      </c>
      <c r="Z411" s="757">
        <f t="shared" si="119"/>
        <v>0</v>
      </c>
      <c r="AA411" s="757">
        <f t="shared" si="119"/>
        <v>0</v>
      </c>
      <c r="AB411" s="757">
        <f t="shared" si="119"/>
        <v>0</v>
      </c>
      <c r="AC411" s="757">
        <f t="shared" si="119"/>
        <v>0</v>
      </c>
      <c r="AD411" s="757">
        <f t="shared" si="119"/>
        <v>0</v>
      </c>
      <c r="AE411" s="757">
        <f t="shared" si="119"/>
        <v>0</v>
      </c>
      <c r="AF411" s="772" t="e">
        <f>((#REF!+#REF!/12)-(1.5/12)*2)*4+0.25*2</f>
        <v>#REF!</v>
      </c>
      <c r="AI411" s="777"/>
      <c r="AL411" s="777"/>
      <c r="AM411" s="777"/>
    </row>
    <row r="412" spans="1:48" s="776" customFormat="1" ht="22.25" customHeight="1">
      <c r="A412" s="769"/>
      <c r="B412" s="770" t="s">
        <v>484</v>
      </c>
      <c r="C412" s="665"/>
      <c r="D412" s="665">
        <f>T412</f>
        <v>22</v>
      </c>
      <c r="E412" s="665">
        <f>E410</f>
        <v>3</v>
      </c>
      <c r="F412" s="751">
        <f>U412</f>
        <v>0.97914050594330981</v>
      </c>
      <c r="G412" s="779"/>
      <c r="H412" s="780"/>
      <c r="I412" s="774"/>
      <c r="J412" s="492">
        <f>IF(I412=0,1,I412)*IF(H412=0,1,H412)*IF(G412=0,1,G412)*IF(F412=0,1,F412)*IF(E412=0,1,E412)*IF(D412=0,1,D412)*IF(C412=0,1,C412)</f>
        <v>64.623273392258454</v>
      </c>
      <c r="K412" s="480"/>
      <c r="L412" s="774"/>
      <c r="M412" s="760">
        <f>G408/3.281</f>
        <v>0.30478512648582745</v>
      </c>
      <c r="N412" s="781"/>
      <c r="O412" s="782">
        <f>O410</f>
        <v>3</v>
      </c>
      <c r="P412" s="781"/>
      <c r="Q412" s="756" t="s">
        <v>463</v>
      </c>
      <c r="R412" s="756">
        <v>10</v>
      </c>
      <c r="S412" s="757">
        <f>4/(12*3.281)</f>
        <v>0.1015950421619425</v>
      </c>
      <c r="T412" s="758">
        <f>(ROUND((N410)/S412+1,0))</f>
        <v>22</v>
      </c>
      <c r="U412" s="759">
        <f>2*(M410+M412)-8*P410+2*8*R412/1000</f>
        <v>0.97914050594330981</v>
      </c>
      <c r="V412" s="757">
        <f>T412*U412*O412</f>
        <v>64.62327339225844</v>
      </c>
      <c r="W412" s="757">
        <f t="shared" si="119"/>
        <v>0</v>
      </c>
      <c r="X412" s="757">
        <f t="shared" si="119"/>
        <v>0</v>
      </c>
      <c r="Y412" s="757">
        <f t="shared" si="119"/>
        <v>64.62327339225844</v>
      </c>
      <c r="Z412" s="757">
        <f t="shared" si="119"/>
        <v>0</v>
      </c>
      <c r="AA412" s="757">
        <f t="shared" si="119"/>
        <v>0</v>
      </c>
      <c r="AB412" s="757">
        <f t="shared" si="119"/>
        <v>0</v>
      </c>
      <c r="AC412" s="757">
        <f t="shared" si="119"/>
        <v>0</v>
      </c>
      <c r="AD412" s="757">
        <f t="shared" si="119"/>
        <v>0</v>
      </c>
      <c r="AE412" s="757">
        <f t="shared" si="119"/>
        <v>0</v>
      </c>
      <c r="AF412" s="777"/>
      <c r="AI412" s="777"/>
      <c r="AL412" s="777"/>
      <c r="AM412" s="777"/>
    </row>
    <row r="413" spans="1:48" s="776" customFormat="1" ht="22.25" customHeight="1">
      <c r="A413" s="769"/>
      <c r="B413" s="770" t="s">
        <v>601</v>
      </c>
      <c r="C413" s="665"/>
      <c r="D413" s="665">
        <f>T413</f>
        <v>12</v>
      </c>
      <c r="E413" s="665">
        <f>E412</f>
        <v>3</v>
      </c>
      <c r="F413" s="751">
        <f>U413</f>
        <v>0.91435537945748246</v>
      </c>
      <c r="G413" s="779"/>
      <c r="H413" s="780"/>
      <c r="I413" s="774"/>
      <c r="J413" s="492">
        <f>IF(I413=0,1,I413)*IF(H413=0,1,H413)*IF(G413=0,1,G413)*IF(F413=0,1,F413)*IF(E413=0,1,E413)*IF(D413=0,1,D413)*IF(C413=0,1,C413)</f>
        <v>32.916793660469367</v>
      </c>
      <c r="K413" s="480"/>
      <c r="L413" s="774"/>
      <c r="M413" s="760"/>
      <c r="N413" s="781"/>
      <c r="O413" s="782">
        <f>O412</f>
        <v>3</v>
      </c>
      <c r="P413" s="781"/>
      <c r="Q413" s="756" t="s">
        <v>464</v>
      </c>
      <c r="R413" s="756">
        <v>6.5</v>
      </c>
      <c r="S413" s="757">
        <f>2/(3.281)</f>
        <v>0.6095702529716549</v>
      </c>
      <c r="T413" s="887">
        <f>3*ROUND(N410/S413,0)</f>
        <v>12</v>
      </c>
      <c r="U413" s="759">
        <f>3/3.281</f>
        <v>0.91435537945748246</v>
      </c>
      <c r="V413" s="757">
        <f>T413*U413*O413</f>
        <v>32.916793660469367</v>
      </c>
      <c r="W413" s="757">
        <f t="shared" si="119"/>
        <v>0</v>
      </c>
      <c r="X413" s="757">
        <f t="shared" si="119"/>
        <v>32.916793660469367</v>
      </c>
      <c r="Y413" s="757">
        <f t="shared" si="119"/>
        <v>0</v>
      </c>
      <c r="Z413" s="757">
        <f t="shared" si="119"/>
        <v>0</v>
      </c>
      <c r="AA413" s="757">
        <f t="shared" si="119"/>
        <v>0</v>
      </c>
      <c r="AB413" s="757">
        <f t="shared" si="119"/>
        <v>0</v>
      </c>
      <c r="AC413" s="757">
        <f t="shared" si="119"/>
        <v>0</v>
      </c>
      <c r="AD413" s="757">
        <f t="shared" si="119"/>
        <v>0</v>
      </c>
      <c r="AE413" s="757">
        <f t="shared" si="119"/>
        <v>0</v>
      </c>
      <c r="AF413" s="777"/>
      <c r="AI413" s="777"/>
      <c r="AL413" s="777"/>
      <c r="AM413" s="777"/>
    </row>
    <row r="414" spans="1:48" s="390" customFormat="1" ht="22.25" customHeight="1">
      <c r="A414" s="454"/>
      <c r="B414" s="660" t="str">
        <f>$B$79</f>
        <v>C1 (12"x12") on F4</v>
      </c>
      <c r="C414" s="662"/>
      <c r="D414" s="662"/>
      <c r="E414" s="662">
        <f>$E$79</f>
        <v>2</v>
      </c>
      <c r="F414" s="498">
        <v>1</v>
      </c>
      <c r="G414" s="642">
        <v>1</v>
      </c>
      <c r="H414" s="642">
        <f>4+3</f>
        <v>7</v>
      </c>
      <c r="I414" s="501"/>
      <c r="J414" s="507"/>
      <c r="K414" s="455"/>
      <c r="L414" s="312"/>
      <c r="M414" s="726"/>
      <c r="N414" s="726"/>
      <c r="O414" s="726"/>
      <c r="P414" s="726"/>
      <c r="Q414" s="611"/>
      <c r="R414" s="611"/>
      <c r="S414" s="624"/>
      <c r="T414" s="625"/>
      <c r="U414" s="626"/>
      <c r="V414" s="624"/>
      <c r="W414" s="624"/>
      <c r="X414" s="624"/>
      <c r="Y414" s="624"/>
      <c r="Z414" s="624"/>
      <c r="AA414" s="624"/>
      <c r="AB414" s="624"/>
      <c r="AC414" s="624"/>
      <c r="AD414" s="624"/>
      <c r="AE414" s="624"/>
      <c r="AF414" s="404"/>
      <c r="AG414" s="471"/>
      <c r="AH414" s="874"/>
      <c r="AI414" s="471"/>
      <c r="AJ414" s="471"/>
      <c r="AM414" s="404"/>
      <c r="AP414" s="404"/>
      <c r="AQ414" s="404"/>
    </row>
    <row r="415" spans="1:48" s="776" customFormat="1" ht="22.25" customHeight="1">
      <c r="A415" s="769"/>
      <c r="B415" s="770" t="s">
        <v>727</v>
      </c>
      <c r="C415" s="665"/>
      <c r="D415" s="665"/>
      <c r="E415" s="665"/>
      <c r="F415" s="751"/>
      <c r="G415" s="773"/>
      <c r="H415" s="778"/>
      <c r="I415" s="774"/>
      <c r="J415" s="778"/>
      <c r="K415" s="480"/>
      <c r="L415" s="774"/>
      <c r="M415" s="760"/>
      <c r="N415" s="781"/>
      <c r="O415" s="782"/>
      <c r="P415" s="781"/>
      <c r="Q415" s="756"/>
      <c r="R415" s="756"/>
      <c r="S415" s="757"/>
      <c r="T415" s="758"/>
      <c r="U415" s="759"/>
      <c r="V415" s="757"/>
      <c r="W415" s="757">
        <f t="shared" si="119"/>
        <v>0</v>
      </c>
      <c r="X415" s="757">
        <f t="shared" si="119"/>
        <v>0</v>
      </c>
      <c r="Y415" s="757">
        <f t="shared" si="119"/>
        <v>0</v>
      </c>
      <c r="Z415" s="757">
        <f t="shared" si="119"/>
        <v>0</v>
      </c>
      <c r="AA415" s="757">
        <f t="shared" si="119"/>
        <v>0</v>
      </c>
      <c r="AB415" s="757">
        <f t="shared" si="119"/>
        <v>0</v>
      </c>
      <c r="AC415" s="757">
        <f t="shared" si="119"/>
        <v>0</v>
      </c>
      <c r="AD415" s="757">
        <f t="shared" si="119"/>
        <v>0</v>
      </c>
      <c r="AE415" s="757">
        <f t="shared" si="119"/>
        <v>0</v>
      </c>
      <c r="AF415" s="772" t="e">
        <f>((#REF!+#REF!/12)-(1.5/12)*2)*4+0.25*2</f>
        <v>#REF!</v>
      </c>
      <c r="AI415" s="777"/>
      <c r="AL415" s="777"/>
      <c r="AM415" s="777"/>
    </row>
    <row r="416" spans="1:48" s="776" customFormat="1" ht="22.25" customHeight="1">
      <c r="A416" s="769"/>
      <c r="B416" s="770" t="s">
        <v>483</v>
      </c>
      <c r="C416" s="665"/>
      <c r="D416" s="665">
        <v>6</v>
      </c>
      <c r="E416" s="665">
        <f>E414</f>
        <v>2</v>
      </c>
      <c r="F416" s="751">
        <f>U416</f>
        <v>4.5515992075586702</v>
      </c>
      <c r="G416" s="773"/>
      <c r="H416" s="778"/>
      <c r="I416" s="774"/>
      <c r="J416" s="492">
        <f>IF(I416=0,1,I416)*IF(H416=0,1,H416)*IF(G416=0,1,G416)*IF(F416=0,1,F416)*IF(E416=0,1,E416)*IF(D416=0,1,D416)*IF(C416=0,1,C416)</f>
        <v>54.619190490704042</v>
      </c>
      <c r="K416" s="480"/>
      <c r="L416" s="774"/>
      <c r="M416" s="760">
        <f>F414/3.281</f>
        <v>0.30478512648582745</v>
      </c>
      <c r="N416" s="781">
        <f>H414/3.281</f>
        <v>2.1334958854007922</v>
      </c>
      <c r="O416" s="768">
        <f>E416</f>
        <v>2</v>
      </c>
      <c r="P416" s="781">
        <v>0.05</v>
      </c>
      <c r="Q416" s="756" t="s">
        <v>459</v>
      </c>
      <c r="R416" s="756">
        <v>16</v>
      </c>
      <c r="S416" s="757"/>
      <c r="T416" s="758">
        <f>D416</f>
        <v>6</v>
      </c>
      <c r="U416" s="759">
        <f>N416-1*$P$403+1*32*R416/1000+(6.5)/3.281</f>
        <v>4.5515992075586702</v>
      </c>
      <c r="V416" s="757">
        <f>T416*U416*O416</f>
        <v>54.619190490704042</v>
      </c>
      <c r="W416" s="757">
        <f t="shared" si="119"/>
        <v>0</v>
      </c>
      <c r="X416" s="757">
        <f t="shared" si="119"/>
        <v>0</v>
      </c>
      <c r="Y416" s="757">
        <f t="shared" si="119"/>
        <v>0</v>
      </c>
      <c r="Z416" s="757">
        <f t="shared" si="119"/>
        <v>0</v>
      </c>
      <c r="AA416" s="757">
        <f t="shared" si="119"/>
        <v>54.619190490704042</v>
      </c>
      <c r="AB416" s="757">
        <f t="shared" si="119"/>
        <v>0</v>
      </c>
      <c r="AC416" s="757">
        <f t="shared" si="119"/>
        <v>0</v>
      </c>
      <c r="AD416" s="757">
        <f t="shared" si="119"/>
        <v>0</v>
      </c>
      <c r="AE416" s="757">
        <f t="shared" si="119"/>
        <v>0</v>
      </c>
      <c r="AF416" s="772" t="e">
        <f>(#REF!+#REF!/12)-0.25+0.5+0.25*2</f>
        <v>#REF!</v>
      </c>
      <c r="AI416" s="777"/>
      <c r="AL416" s="777"/>
      <c r="AM416" s="777"/>
    </row>
    <row r="417" spans="1:43" s="776" customFormat="1" ht="22.25" customHeight="1">
      <c r="A417" s="769"/>
      <c r="B417" s="770" t="s">
        <v>525</v>
      </c>
      <c r="C417" s="665"/>
      <c r="D417" s="665"/>
      <c r="E417" s="665"/>
      <c r="F417" s="751"/>
      <c r="G417" s="773"/>
      <c r="H417" s="778"/>
      <c r="I417" s="774"/>
      <c r="J417" s="778"/>
      <c r="K417" s="480"/>
      <c r="L417" s="774"/>
      <c r="M417" s="760"/>
      <c r="N417" s="781"/>
      <c r="O417" s="782"/>
      <c r="P417" s="781"/>
      <c r="Q417" s="756"/>
      <c r="R417" s="756"/>
      <c r="S417" s="757"/>
      <c r="T417" s="758"/>
      <c r="U417" s="759"/>
      <c r="V417" s="757"/>
      <c r="W417" s="757">
        <f t="shared" si="119"/>
        <v>0</v>
      </c>
      <c r="X417" s="757">
        <f t="shared" si="119"/>
        <v>0</v>
      </c>
      <c r="Y417" s="757">
        <f t="shared" si="119"/>
        <v>0</v>
      </c>
      <c r="Z417" s="757">
        <f t="shared" si="119"/>
        <v>0</v>
      </c>
      <c r="AA417" s="757">
        <f t="shared" si="119"/>
        <v>0</v>
      </c>
      <c r="AB417" s="757">
        <f t="shared" si="119"/>
        <v>0</v>
      </c>
      <c r="AC417" s="757">
        <f t="shared" si="119"/>
        <v>0</v>
      </c>
      <c r="AD417" s="757">
        <f t="shared" si="119"/>
        <v>0</v>
      </c>
      <c r="AE417" s="757">
        <f t="shared" si="119"/>
        <v>0</v>
      </c>
      <c r="AF417" s="772" t="e">
        <f>((#REF!+#REF!/12)-(1.5/12)*2)*4+0.25*2</f>
        <v>#REF!</v>
      </c>
      <c r="AI417" s="777"/>
      <c r="AL417" s="777"/>
      <c r="AM417" s="777"/>
    </row>
    <row r="418" spans="1:43" s="776" customFormat="1" ht="22.25" customHeight="1">
      <c r="A418" s="769"/>
      <c r="B418" s="770" t="s">
        <v>484</v>
      </c>
      <c r="C418" s="665"/>
      <c r="D418" s="665">
        <f>T418</f>
        <v>22</v>
      </c>
      <c r="E418" s="665">
        <f>E416</f>
        <v>2</v>
      </c>
      <c r="F418" s="751">
        <f>U418</f>
        <v>0.97914050594330981</v>
      </c>
      <c r="G418" s="779"/>
      <c r="H418" s="780"/>
      <c r="I418" s="774"/>
      <c r="J418" s="492">
        <f>IF(I418=0,1,I418)*IF(H418=0,1,H418)*IF(G418=0,1,G418)*IF(F418=0,1,F418)*IF(E418=0,1,E418)*IF(D418=0,1,D418)*IF(C418=0,1,C418)</f>
        <v>43.082182261505629</v>
      </c>
      <c r="K418" s="480"/>
      <c r="L418" s="774"/>
      <c r="M418" s="760">
        <f>G414/3.281</f>
        <v>0.30478512648582745</v>
      </c>
      <c r="N418" s="781"/>
      <c r="O418" s="782">
        <f>O416</f>
        <v>2</v>
      </c>
      <c r="P418" s="781"/>
      <c r="Q418" s="756" t="s">
        <v>463</v>
      </c>
      <c r="R418" s="756">
        <v>10</v>
      </c>
      <c r="S418" s="757">
        <f>4/(12*3.281)</f>
        <v>0.1015950421619425</v>
      </c>
      <c r="T418" s="758">
        <f>(ROUND((N416)/S418+1,0))</f>
        <v>22</v>
      </c>
      <c r="U418" s="759">
        <f>2*(M416+M418)-8*P416+2*8*R418/1000</f>
        <v>0.97914050594330981</v>
      </c>
      <c r="V418" s="757">
        <f>T418*U418*O418</f>
        <v>43.082182261505629</v>
      </c>
      <c r="W418" s="757">
        <f t="shared" si="119"/>
        <v>0</v>
      </c>
      <c r="X418" s="757">
        <f t="shared" si="119"/>
        <v>0</v>
      </c>
      <c r="Y418" s="757">
        <f t="shared" si="119"/>
        <v>43.082182261505629</v>
      </c>
      <c r="Z418" s="757">
        <f t="shared" si="119"/>
        <v>0</v>
      </c>
      <c r="AA418" s="757">
        <f t="shared" si="119"/>
        <v>0</v>
      </c>
      <c r="AB418" s="757">
        <f t="shared" si="119"/>
        <v>0</v>
      </c>
      <c r="AC418" s="757">
        <f t="shared" si="119"/>
        <v>0</v>
      </c>
      <c r="AD418" s="757">
        <f t="shared" si="119"/>
        <v>0</v>
      </c>
      <c r="AE418" s="757">
        <f t="shared" si="119"/>
        <v>0</v>
      </c>
      <c r="AF418" s="777"/>
      <c r="AI418" s="777"/>
      <c r="AL418" s="777"/>
      <c r="AM418" s="777"/>
    </row>
    <row r="419" spans="1:43" s="776" customFormat="1" ht="22.25" customHeight="1">
      <c r="A419" s="769"/>
      <c r="B419" s="770" t="s">
        <v>601</v>
      </c>
      <c r="C419" s="665"/>
      <c r="D419" s="665">
        <f>T419</f>
        <v>12</v>
      </c>
      <c r="E419" s="665">
        <f>E418</f>
        <v>2</v>
      </c>
      <c r="F419" s="751">
        <f>U419</f>
        <v>0.91435537945748246</v>
      </c>
      <c r="G419" s="779"/>
      <c r="H419" s="780"/>
      <c r="I419" s="774"/>
      <c r="J419" s="492">
        <f>IF(I419=0,1,I419)*IF(H419=0,1,H419)*IF(G419=0,1,G419)*IF(F419=0,1,F419)*IF(E419=0,1,E419)*IF(D419=0,1,D419)*IF(C419=0,1,C419)</f>
        <v>21.94452910697958</v>
      </c>
      <c r="K419" s="480"/>
      <c r="L419" s="774"/>
      <c r="M419" s="760"/>
      <c r="N419" s="781"/>
      <c r="O419" s="782">
        <f>O418</f>
        <v>2</v>
      </c>
      <c r="P419" s="781"/>
      <c r="Q419" s="756" t="s">
        <v>464</v>
      </c>
      <c r="R419" s="756">
        <v>6.5</v>
      </c>
      <c r="S419" s="757">
        <f>2/(3.281)</f>
        <v>0.6095702529716549</v>
      </c>
      <c r="T419" s="887">
        <f>3*ROUND(N416/S419,0)</f>
        <v>12</v>
      </c>
      <c r="U419" s="759">
        <f>3/3.281</f>
        <v>0.91435537945748246</v>
      </c>
      <c r="V419" s="757">
        <f>T419*U419*O419</f>
        <v>21.94452910697958</v>
      </c>
      <c r="W419" s="757">
        <f t="shared" si="119"/>
        <v>0</v>
      </c>
      <c r="X419" s="757">
        <f t="shared" si="119"/>
        <v>21.94452910697958</v>
      </c>
      <c r="Y419" s="757">
        <f t="shared" si="119"/>
        <v>0</v>
      </c>
      <c r="Z419" s="757">
        <f t="shared" si="119"/>
        <v>0</v>
      </c>
      <c r="AA419" s="757">
        <f t="shared" si="119"/>
        <v>0</v>
      </c>
      <c r="AB419" s="757">
        <f t="shared" si="119"/>
        <v>0</v>
      </c>
      <c r="AC419" s="757">
        <f t="shared" si="119"/>
        <v>0</v>
      </c>
      <c r="AD419" s="757">
        <f t="shared" si="119"/>
        <v>0</v>
      </c>
      <c r="AE419" s="757">
        <f t="shared" si="119"/>
        <v>0</v>
      </c>
      <c r="AF419" s="777"/>
      <c r="AI419" s="777"/>
      <c r="AL419" s="777"/>
      <c r="AM419" s="777"/>
    </row>
    <row r="420" spans="1:43" s="390" customFormat="1" ht="22.25" customHeight="1">
      <c r="A420" s="454"/>
      <c r="B420" s="660" t="str">
        <f>$B$80</f>
        <v>C2 (10"x10") on F1</v>
      </c>
      <c r="C420" s="662"/>
      <c r="D420" s="662"/>
      <c r="E420" s="662">
        <f>$E$80</f>
        <v>6</v>
      </c>
      <c r="F420" s="498">
        <v>0.83</v>
      </c>
      <c r="G420" s="642">
        <v>0.83</v>
      </c>
      <c r="H420" s="642">
        <f>4+3</f>
        <v>7</v>
      </c>
      <c r="I420" s="501"/>
      <c r="J420" s="507"/>
      <c r="K420" s="455"/>
      <c r="L420" s="312"/>
      <c r="M420" s="726"/>
      <c r="N420" s="726"/>
      <c r="O420" s="726"/>
      <c r="P420" s="726"/>
      <c r="Q420" s="611"/>
      <c r="R420" s="611"/>
      <c r="S420" s="624"/>
      <c r="T420" s="625"/>
      <c r="U420" s="626"/>
      <c r="V420" s="624"/>
      <c r="W420" s="624"/>
      <c r="X420" s="624"/>
      <c r="Y420" s="624"/>
      <c r="Z420" s="624"/>
      <c r="AA420" s="624"/>
      <c r="AB420" s="624"/>
      <c r="AC420" s="624"/>
      <c r="AD420" s="624"/>
      <c r="AE420" s="624"/>
      <c r="AF420" s="404"/>
      <c r="AG420" s="471"/>
      <c r="AH420" s="874"/>
      <c r="AI420" s="471"/>
      <c r="AJ420" s="471"/>
      <c r="AM420" s="404"/>
      <c r="AP420" s="404"/>
      <c r="AQ420" s="404"/>
    </row>
    <row r="421" spans="1:43" s="776" customFormat="1" ht="22.25" customHeight="1">
      <c r="A421" s="769"/>
      <c r="B421" s="770" t="s">
        <v>727</v>
      </c>
      <c r="C421" s="665"/>
      <c r="D421" s="665"/>
      <c r="E421" s="665"/>
      <c r="F421" s="751"/>
      <c r="G421" s="773"/>
      <c r="H421" s="778"/>
      <c r="I421" s="774"/>
      <c r="J421" s="778"/>
      <c r="K421" s="480"/>
      <c r="L421" s="774"/>
      <c r="M421" s="760"/>
      <c r="N421" s="781"/>
      <c r="O421" s="782"/>
      <c r="P421" s="781"/>
      <c r="Q421" s="756"/>
      <c r="R421" s="756"/>
      <c r="S421" s="757"/>
      <c r="T421" s="758"/>
      <c r="U421" s="759"/>
      <c r="V421" s="757"/>
      <c r="W421" s="757">
        <f t="shared" si="119"/>
        <v>0</v>
      </c>
      <c r="X421" s="757">
        <f t="shared" si="119"/>
        <v>0</v>
      </c>
      <c r="Y421" s="757">
        <f t="shared" si="119"/>
        <v>0</v>
      </c>
      <c r="Z421" s="757">
        <f t="shared" si="119"/>
        <v>0</v>
      </c>
      <c r="AA421" s="757">
        <f t="shared" si="119"/>
        <v>0</v>
      </c>
      <c r="AB421" s="757">
        <f t="shared" si="119"/>
        <v>0</v>
      </c>
      <c r="AC421" s="757">
        <f t="shared" si="119"/>
        <v>0</v>
      </c>
      <c r="AD421" s="757">
        <f t="shared" si="119"/>
        <v>0</v>
      </c>
      <c r="AE421" s="757">
        <f t="shared" si="119"/>
        <v>0</v>
      </c>
      <c r="AF421" s="772" t="e">
        <f>((#REF!+#REF!/12)-(1.5/12)*2)*4+0.25*2</f>
        <v>#REF!</v>
      </c>
      <c r="AI421" s="777"/>
      <c r="AL421" s="777"/>
      <c r="AM421" s="777"/>
    </row>
    <row r="422" spans="1:43" s="776" customFormat="1" ht="22.25" customHeight="1">
      <c r="A422" s="769"/>
      <c r="B422" s="770" t="s">
        <v>483</v>
      </c>
      <c r="C422" s="665"/>
      <c r="D422" s="665">
        <v>6</v>
      </c>
      <c r="E422" s="665">
        <f>E420</f>
        <v>6</v>
      </c>
      <c r="F422" s="751">
        <f>U422</f>
        <v>4.5515992075586702</v>
      </c>
      <c r="G422" s="773"/>
      <c r="H422" s="778"/>
      <c r="I422" s="774"/>
      <c r="J422" s="492">
        <f>IF(I422=0,1,I422)*IF(H422=0,1,H422)*IF(G422=0,1,G422)*IF(F422=0,1,F422)*IF(E422=0,1,E422)*IF(D422=0,1,D422)*IF(C422=0,1,C422)</f>
        <v>163.85757147211211</v>
      </c>
      <c r="K422" s="480"/>
      <c r="L422" s="774"/>
      <c r="M422" s="760">
        <f>F420/3.281</f>
        <v>0.25297165498323682</v>
      </c>
      <c r="N422" s="781">
        <f>H420/3.281</f>
        <v>2.1334958854007922</v>
      </c>
      <c r="O422" s="768">
        <f>E422</f>
        <v>6</v>
      </c>
      <c r="P422" s="781">
        <v>0.05</v>
      </c>
      <c r="Q422" s="756" t="s">
        <v>459</v>
      </c>
      <c r="R422" s="756">
        <v>16</v>
      </c>
      <c r="S422" s="757"/>
      <c r="T422" s="758">
        <f>D422</f>
        <v>6</v>
      </c>
      <c r="U422" s="759">
        <f>N422-1*$P$403+1*32*R422/1000+(6.5)/3.281</f>
        <v>4.5515992075586702</v>
      </c>
      <c r="V422" s="757">
        <f>T422*U422*O422</f>
        <v>163.85757147211211</v>
      </c>
      <c r="W422" s="757">
        <f t="shared" si="119"/>
        <v>0</v>
      </c>
      <c r="X422" s="757">
        <f t="shared" si="119"/>
        <v>0</v>
      </c>
      <c r="Y422" s="757">
        <f t="shared" si="119"/>
        <v>0</v>
      </c>
      <c r="Z422" s="757">
        <f t="shared" si="119"/>
        <v>0</v>
      </c>
      <c r="AA422" s="757">
        <f t="shared" si="119"/>
        <v>163.85757147211211</v>
      </c>
      <c r="AB422" s="757">
        <f t="shared" si="119"/>
        <v>0</v>
      </c>
      <c r="AC422" s="757">
        <f t="shared" si="119"/>
        <v>0</v>
      </c>
      <c r="AD422" s="757">
        <f t="shared" si="119"/>
        <v>0</v>
      </c>
      <c r="AE422" s="757">
        <f t="shared" si="119"/>
        <v>0</v>
      </c>
      <c r="AF422" s="772" t="e">
        <f>(#REF!+#REF!/12)-0.25+0.5+0.25*2</f>
        <v>#REF!</v>
      </c>
      <c r="AI422" s="777"/>
      <c r="AL422" s="777"/>
      <c r="AM422" s="777"/>
    </row>
    <row r="423" spans="1:43" s="776" customFormat="1" ht="22.25" customHeight="1">
      <c r="A423" s="769"/>
      <c r="B423" s="770" t="s">
        <v>525</v>
      </c>
      <c r="C423" s="665"/>
      <c r="D423" s="665"/>
      <c r="E423" s="665"/>
      <c r="F423" s="751"/>
      <c r="G423" s="773"/>
      <c r="H423" s="778"/>
      <c r="I423" s="774"/>
      <c r="J423" s="778"/>
      <c r="K423" s="480"/>
      <c r="L423" s="774"/>
      <c r="M423" s="760"/>
      <c r="N423" s="781"/>
      <c r="O423" s="782"/>
      <c r="P423" s="781"/>
      <c r="Q423" s="756"/>
      <c r="R423" s="756"/>
      <c r="S423" s="757"/>
      <c r="T423" s="758"/>
      <c r="U423" s="759"/>
      <c r="V423" s="757"/>
      <c r="W423" s="757">
        <f t="shared" si="119"/>
        <v>0</v>
      </c>
      <c r="X423" s="757">
        <f t="shared" si="119"/>
        <v>0</v>
      </c>
      <c r="Y423" s="757">
        <f t="shared" si="119"/>
        <v>0</v>
      </c>
      <c r="Z423" s="757">
        <f t="shared" si="119"/>
        <v>0</v>
      </c>
      <c r="AA423" s="757">
        <f t="shared" si="119"/>
        <v>0</v>
      </c>
      <c r="AB423" s="757">
        <f t="shared" si="119"/>
        <v>0</v>
      </c>
      <c r="AC423" s="757">
        <f t="shared" si="119"/>
        <v>0</v>
      </c>
      <c r="AD423" s="757">
        <f t="shared" si="119"/>
        <v>0</v>
      </c>
      <c r="AE423" s="757">
        <f t="shared" si="119"/>
        <v>0</v>
      </c>
      <c r="AF423" s="772" t="e">
        <f>((#REF!+#REF!/12)-(1.5/12)*2)*4+0.25*2</f>
        <v>#REF!</v>
      </c>
      <c r="AI423" s="777"/>
      <c r="AL423" s="777"/>
      <c r="AM423" s="777"/>
    </row>
    <row r="424" spans="1:43" s="776" customFormat="1" ht="22.25" customHeight="1">
      <c r="A424" s="769"/>
      <c r="B424" s="770" t="s">
        <v>484</v>
      </c>
      <c r="C424" s="665"/>
      <c r="D424" s="665">
        <f>T424</f>
        <v>22</v>
      </c>
      <c r="E424" s="665">
        <f>E422</f>
        <v>6</v>
      </c>
      <c r="F424" s="751">
        <f>U424</f>
        <v>0.77188661993294727</v>
      </c>
      <c r="G424" s="779"/>
      <c r="H424" s="780"/>
      <c r="I424" s="774"/>
      <c r="J424" s="492">
        <f>IF(I424=0,1,I424)*IF(H424=0,1,H424)*IF(G424=0,1,G424)*IF(F424=0,1,F424)*IF(E424=0,1,E424)*IF(D424=0,1,D424)*IF(C424=0,1,C424)</f>
        <v>101.88903383114905</v>
      </c>
      <c r="K424" s="480"/>
      <c r="L424" s="774"/>
      <c r="M424" s="760">
        <f>G420/3.281</f>
        <v>0.25297165498323682</v>
      </c>
      <c r="N424" s="781"/>
      <c r="O424" s="782">
        <f>O422</f>
        <v>6</v>
      </c>
      <c r="P424" s="781"/>
      <c r="Q424" s="756" t="s">
        <v>463</v>
      </c>
      <c r="R424" s="756">
        <v>10</v>
      </c>
      <c r="S424" s="757">
        <f>4/(12*3.281)</f>
        <v>0.1015950421619425</v>
      </c>
      <c r="T424" s="758">
        <f>(ROUND((N422)/S424+1,0))</f>
        <v>22</v>
      </c>
      <c r="U424" s="759">
        <f>2*(M422+M424)-8*P422+2*8*R424/1000</f>
        <v>0.77188661993294727</v>
      </c>
      <c r="V424" s="757">
        <f>T424*U424*O424</f>
        <v>101.88903383114905</v>
      </c>
      <c r="W424" s="757">
        <f t="shared" si="119"/>
        <v>0</v>
      </c>
      <c r="X424" s="757">
        <f t="shared" si="119"/>
        <v>0</v>
      </c>
      <c r="Y424" s="757">
        <f t="shared" si="119"/>
        <v>101.88903383114905</v>
      </c>
      <c r="Z424" s="757">
        <f t="shared" si="119"/>
        <v>0</v>
      </c>
      <c r="AA424" s="757">
        <f t="shared" si="119"/>
        <v>0</v>
      </c>
      <c r="AB424" s="757">
        <f t="shared" si="119"/>
        <v>0</v>
      </c>
      <c r="AC424" s="757">
        <f t="shared" si="119"/>
        <v>0</v>
      </c>
      <c r="AD424" s="757">
        <f t="shared" si="119"/>
        <v>0</v>
      </c>
      <c r="AE424" s="757">
        <f t="shared" si="119"/>
        <v>0</v>
      </c>
      <c r="AF424" s="777"/>
      <c r="AI424" s="777"/>
      <c r="AL424" s="777"/>
      <c r="AM424" s="777"/>
    </row>
    <row r="425" spans="1:43" s="776" customFormat="1" ht="22.25" customHeight="1">
      <c r="A425" s="769"/>
      <c r="B425" s="770" t="s">
        <v>601</v>
      </c>
      <c r="C425" s="665"/>
      <c r="D425" s="665">
        <f>T425</f>
        <v>12</v>
      </c>
      <c r="E425" s="665">
        <f>E424</f>
        <v>6</v>
      </c>
      <c r="F425" s="751">
        <f>U425</f>
        <v>0.91435537945748246</v>
      </c>
      <c r="G425" s="779"/>
      <c r="H425" s="780"/>
      <c r="I425" s="774"/>
      <c r="J425" s="492">
        <f>IF(I425=0,1,I425)*IF(H425=0,1,H425)*IF(G425=0,1,G425)*IF(F425=0,1,F425)*IF(E425=0,1,E425)*IF(D425=0,1,D425)*IF(C425=0,1,C425)</f>
        <v>65.833587320938733</v>
      </c>
      <c r="K425" s="480"/>
      <c r="L425" s="774"/>
      <c r="M425" s="760"/>
      <c r="N425" s="781"/>
      <c r="O425" s="782">
        <f>O424</f>
        <v>6</v>
      </c>
      <c r="P425" s="781"/>
      <c r="Q425" s="756" t="s">
        <v>464</v>
      </c>
      <c r="R425" s="756">
        <v>6.5</v>
      </c>
      <c r="S425" s="757">
        <f>2/(3.281)</f>
        <v>0.6095702529716549</v>
      </c>
      <c r="T425" s="887">
        <f>3*ROUND(N422/S425,0)</f>
        <v>12</v>
      </c>
      <c r="U425" s="759">
        <f>3/3.281</f>
        <v>0.91435537945748246</v>
      </c>
      <c r="V425" s="757">
        <f>T425*U425*O425</f>
        <v>65.833587320938733</v>
      </c>
      <c r="W425" s="757">
        <f t="shared" si="119"/>
        <v>0</v>
      </c>
      <c r="X425" s="757">
        <f t="shared" si="119"/>
        <v>65.833587320938733</v>
      </c>
      <c r="Y425" s="757">
        <f t="shared" si="119"/>
        <v>0</v>
      </c>
      <c r="Z425" s="757">
        <f t="shared" si="119"/>
        <v>0</v>
      </c>
      <c r="AA425" s="757">
        <f t="shared" si="119"/>
        <v>0</v>
      </c>
      <c r="AB425" s="757">
        <f t="shared" si="119"/>
        <v>0</v>
      </c>
      <c r="AC425" s="757">
        <f t="shared" si="119"/>
        <v>0</v>
      </c>
      <c r="AD425" s="757">
        <f t="shared" si="119"/>
        <v>0</v>
      </c>
      <c r="AE425" s="757">
        <f t="shared" si="119"/>
        <v>0</v>
      </c>
      <c r="AF425" s="777"/>
      <c r="AI425" s="777"/>
      <c r="AL425" s="777"/>
      <c r="AM425" s="777"/>
    </row>
    <row r="426" spans="1:43" s="390" customFormat="1" ht="22.25" customHeight="1">
      <c r="A426" s="454"/>
      <c r="B426" s="660" t="str">
        <f>$B$81</f>
        <v>C2 (10"x10") on F2</v>
      </c>
      <c r="C426" s="662"/>
      <c r="D426" s="662"/>
      <c r="E426" s="662">
        <f>$E$81</f>
        <v>3</v>
      </c>
      <c r="F426" s="498">
        <v>0.83</v>
      </c>
      <c r="G426" s="642">
        <v>0.83</v>
      </c>
      <c r="H426" s="642">
        <f>4+3</f>
        <v>7</v>
      </c>
      <c r="I426" s="501"/>
      <c r="J426" s="507"/>
      <c r="K426" s="455"/>
      <c r="L426" s="312"/>
      <c r="M426" s="726"/>
      <c r="N426" s="726"/>
      <c r="O426" s="726"/>
      <c r="P426" s="726"/>
      <c r="Q426" s="611"/>
      <c r="R426" s="611"/>
      <c r="S426" s="624"/>
      <c r="T426" s="625"/>
      <c r="U426" s="626"/>
      <c r="V426" s="624"/>
      <c r="W426" s="624"/>
      <c r="X426" s="624"/>
      <c r="Y426" s="624"/>
      <c r="Z426" s="624"/>
      <c r="AA426" s="624"/>
      <c r="AB426" s="624"/>
      <c r="AC426" s="624"/>
      <c r="AD426" s="624"/>
      <c r="AE426" s="624"/>
      <c r="AF426" s="404"/>
      <c r="AG426" s="471"/>
      <c r="AH426" s="874"/>
      <c r="AI426" s="471"/>
      <c r="AJ426" s="471"/>
      <c r="AM426" s="404"/>
      <c r="AP426" s="404"/>
      <c r="AQ426" s="404"/>
    </row>
    <row r="427" spans="1:43" s="776" customFormat="1" ht="22.25" customHeight="1">
      <c r="A427" s="769"/>
      <c r="B427" s="770" t="s">
        <v>727</v>
      </c>
      <c r="C427" s="665"/>
      <c r="D427" s="665"/>
      <c r="E427" s="665"/>
      <c r="F427" s="751"/>
      <c r="G427" s="773"/>
      <c r="H427" s="778"/>
      <c r="I427" s="774"/>
      <c r="J427" s="778"/>
      <c r="K427" s="480"/>
      <c r="L427" s="774"/>
      <c r="M427" s="760"/>
      <c r="N427" s="781"/>
      <c r="O427" s="782"/>
      <c r="P427" s="781"/>
      <c r="Q427" s="756"/>
      <c r="R427" s="756"/>
      <c r="S427" s="757"/>
      <c r="T427" s="758"/>
      <c r="U427" s="759"/>
      <c r="V427" s="757"/>
      <c r="W427" s="757">
        <f t="shared" si="119"/>
        <v>0</v>
      </c>
      <c r="X427" s="757">
        <f t="shared" si="119"/>
        <v>0</v>
      </c>
      <c r="Y427" s="757">
        <f t="shared" si="119"/>
        <v>0</v>
      </c>
      <c r="Z427" s="757">
        <f t="shared" si="119"/>
        <v>0</v>
      </c>
      <c r="AA427" s="757">
        <f t="shared" si="119"/>
        <v>0</v>
      </c>
      <c r="AB427" s="757">
        <f t="shared" si="119"/>
        <v>0</v>
      </c>
      <c r="AC427" s="757">
        <f t="shared" si="119"/>
        <v>0</v>
      </c>
      <c r="AD427" s="757">
        <f t="shared" si="119"/>
        <v>0</v>
      </c>
      <c r="AE427" s="757">
        <f t="shared" si="119"/>
        <v>0</v>
      </c>
      <c r="AF427" s="772" t="e">
        <f>((#REF!+#REF!/12)-(1.5/12)*2)*4+0.25*2</f>
        <v>#REF!</v>
      </c>
      <c r="AI427" s="777"/>
      <c r="AL427" s="777"/>
      <c r="AM427" s="777"/>
    </row>
    <row r="428" spans="1:43" s="776" customFormat="1" ht="22.25" customHeight="1">
      <c r="A428" s="769"/>
      <c r="B428" s="770" t="s">
        <v>483</v>
      </c>
      <c r="C428" s="665"/>
      <c r="D428" s="665">
        <v>6</v>
      </c>
      <c r="E428" s="665">
        <f>E426</f>
        <v>3</v>
      </c>
      <c r="F428" s="751">
        <f>U428</f>
        <v>4.5515992075586702</v>
      </c>
      <c r="G428" s="773"/>
      <c r="H428" s="778"/>
      <c r="I428" s="774"/>
      <c r="J428" s="492">
        <f>IF(I428=0,1,I428)*IF(H428=0,1,H428)*IF(G428=0,1,G428)*IF(F428=0,1,F428)*IF(E428=0,1,E428)*IF(D428=0,1,D428)*IF(C428=0,1,C428)</f>
        <v>81.928785736056057</v>
      </c>
      <c r="K428" s="480"/>
      <c r="L428" s="774"/>
      <c r="M428" s="760">
        <f>F426/3.281</f>
        <v>0.25297165498323682</v>
      </c>
      <c r="N428" s="781">
        <f>H426/3.281</f>
        <v>2.1334958854007922</v>
      </c>
      <c r="O428" s="768">
        <f>E428</f>
        <v>3</v>
      </c>
      <c r="P428" s="781">
        <v>0.05</v>
      </c>
      <c r="Q428" s="756" t="s">
        <v>459</v>
      </c>
      <c r="R428" s="756">
        <v>16</v>
      </c>
      <c r="S428" s="757"/>
      <c r="T428" s="758">
        <f>D428</f>
        <v>6</v>
      </c>
      <c r="U428" s="759">
        <f>N428-1*$P$403+1*32*R428/1000+(6.5)/3.281</f>
        <v>4.5515992075586702</v>
      </c>
      <c r="V428" s="757">
        <f>T428*U428*O428</f>
        <v>81.928785736056057</v>
      </c>
      <c r="W428" s="757">
        <f t="shared" si="119"/>
        <v>0</v>
      </c>
      <c r="X428" s="757">
        <f t="shared" si="119"/>
        <v>0</v>
      </c>
      <c r="Y428" s="757">
        <f t="shared" si="119"/>
        <v>0</v>
      </c>
      <c r="Z428" s="757">
        <f t="shared" si="119"/>
        <v>0</v>
      </c>
      <c r="AA428" s="757">
        <f t="shared" si="119"/>
        <v>81.928785736056057</v>
      </c>
      <c r="AB428" s="757">
        <f t="shared" si="119"/>
        <v>0</v>
      </c>
      <c r="AC428" s="757">
        <f t="shared" si="119"/>
        <v>0</v>
      </c>
      <c r="AD428" s="757">
        <f t="shared" si="119"/>
        <v>0</v>
      </c>
      <c r="AE428" s="757">
        <f t="shared" si="119"/>
        <v>0</v>
      </c>
      <c r="AF428" s="772" t="e">
        <f>(#REF!+#REF!/12)-0.25+0.5+0.25*2</f>
        <v>#REF!</v>
      </c>
      <c r="AI428" s="777"/>
      <c r="AL428" s="777"/>
      <c r="AM428" s="777"/>
    </row>
    <row r="429" spans="1:43" s="776" customFormat="1" ht="22.25" customHeight="1">
      <c r="A429" s="769"/>
      <c r="B429" s="770" t="s">
        <v>525</v>
      </c>
      <c r="C429" s="665"/>
      <c r="D429" s="665"/>
      <c r="E429" s="665"/>
      <c r="F429" s="751"/>
      <c r="G429" s="773"/>
      <c r="H429" s="778"/>
      <c r="I429" s="774"/>
      <c r="J429" s="778"/>
      <c r="K429" s="480"/>
      <c r="L429" s="774"/>
      <c r="M429" s="760"/>
      <c r="N429" s="781"/>
      <c r="O429" s="782"/>
      <c r="P429" s="781"/>
      <c r="Q429" s="756"/>
      <c r="R429" s="756"/>
      <c r="S429" s="757"/>
      <c r="T429" s="758"/>
      <c r="U429" s="759"/>
      <c r="V429" s="757"/>
      <c r="W429" s="757">
        <f t="shared" si="119"/>
        <v>0</v>
      </c>
      <c r="X429" s="757">
        <f t="shared" si="119"/>
        <v>0</v>
      </c>
      <c r="Y429" s="757">
        <f t="shared" si="119"/>
        <v>0</v>
      </c>
      <c r="Z429" s="757">
        <f t="shared" ref="W429:AE431" si="120">IF($R429=Z$5,$V429,0)</f>
        <v>0</v>
      </c>
      <c r="AA429" s="757">
        <f t="shared" si="120"/>
        <v>0</v>
      </c>
      <c r="AB429" s="757">
        <f t="shared" si="120"/>
        <v>0</v>
      </c>
      <c r="AC429" s="757">
        <f t="shared" si="120"/>
        <v>0</v>
      </c>
      <c r="AD429" s="757">
        <f t="shared" si="120"/>
        <v>0</v>
      </c>
      <c r="AE429" s="757">
        <f t="shared" si="120"/>
        <v>0</v>
      </c>
      <c r="AF429" s="772" t="e">
        <f>((#REF!+#REF!/12)-(1.5/12)*2)*4+0.25*2</f>
        <v>#REF!</v>
      </c>
      <c r="AI429" s="777"/>
      <c r="AL429" s="777"/>
      <c r="AM429" s="777"/>
    </row>
    <row r="430" spans="1:43" s="776" customFormat="1" ht="22.25" customHeight="1">
      <c r="A430" s="769"/>
      <c r="B430" s="770" t="s">
        <v>484</v>
      </c>
      <c r="C430" s="665"/>
      <c r="D430" s="665">
        <f>T430</f>
        <v>22</v>
      </c>
      <c r="E430" s="665">
        <f>E428</f>
        <v>3</v>
      </c>
      <c r="F430" s="751">
        <f>U430</f>
        <v>0.77188661993294727</v>
      </c>
      <c r="G430" s="779"/>
      <c r="H430" s="780"/>
      <c r="I430" s="774"/>
      <c r="J430" s="492">
        <f>IF(I430=0,1,I430)*IF(H430=0,1,H430)*IF(G430=0,1,G430)*IF(F430=0,1,F430)*IF(E430=0,1,E430)*IF(D430=0,1,D430)*IF(C430=0,1,C430)</f>
        <v>50.944516915574525</v>
      </c>
      <c r="K430" s="480"/>
      <c r="L430" s="774"/>
      <c r="M430" s="760">
        <f>G426/3.281</f>
        <v>0.25297165498323682</v>
      </c>
      <c r="N430" s="781"/>
      <c r="O430" s="782">
        <f>O428</f>
        <v>3</v>
      </c>
      <c r="P430" s="781"/>
      <c r="Q430" s="756" t="s">
        <v>463</v>
      </c>
      <c r="R430" s="756">
        <v>10</v>
      </c>
      <c r="S430" s="757">
        <f>4/(12*3.281)</f>
        <v>0.1015950421619425</v>
      </c>
      <c r="T430" s="758">
        <f>(ROUND((N428)/S430+1,0))</f>
        <v>22</v>
      </c>
      <c r="U430" s="759">
        <f>2*(M428+M430)-8*P428+2*8*R430/1000</f>
        <v>0.77188661993294727</v>
      </c>
      <c r="V430" s="757">
        <f>T430*U430*O430</f>
        <v>50.944516915574525</v>
      </c>
      <c r="W430" s="757">
        <f t="shared" si="120"/>
        <v>0</v>
      </c>
      <c r="X430" s="757">
        <f t="shared" si="120"/>
        <v>0</v>
      </c>
      <c r="Y430" s="757">
        <f t="shared" si="120"/>
        <v>50.944516915574525</v>
      </c>
      <c r="Z430" s="757">
        <f t="shared" si="120"/>
        <v>0</v>
      </c>
      <c r="AA430" s="757">
        <f t="shared" si="120"/>
        <v>0</v>
      </c>
      <c r="AB430" s="757">
        <f t="shared" si="120"/>
        <v>0</v>
      </c>
      <c r="AC430" s="757">
        <f t="shared" si="120"/>
        <v>0</v>
      </c>
      <c r="AD430" s="757">
        <f t="shared" si="120"/>
        <v>0</v>
      </c>
      <c r="AE430" s="757">
        <f t="shared" si="120"/>
        <v>0</v>
      </c>
      <c r="AF430" s="777"/>
      <c r="AI430" s="777"/>
      <c r="AL430" s="777"/>
      <c r="AM430" s="777"/>
    </row>
    <row r="431" spans="1:43" s="776" customFormat="1" ht="22.25" customHeight="1">
      <c r="A431" s="769"/>
      <c r="B431" s="770" t="s">
        <v>601</v>
      </c>
      <c r="C431" s="665"/>
      <c r="D431" s="665">
        <f>T431</f>
        <v>12</v>
      </c>
      <c r="E431" s="665">
        <f>E430</f>
        <v>3</v>
      </c>
      <c r="F431" s="751">
        <f>U431</f>
        <v>0.91435537945748246</v>
      </c>
      <c r="G431" s="779"/>
      <c r="H431" s="780"/>
      <c r="I431" s="774"/>
      <c r="J431" s="492">
        <f>IF(I431=0,1,I431)*IF(H431=0,1,H431)*IF(G431=0,1,G431)*IF(F431=0,1,F431)*IF(E431=0,1,E431)*IF(D431=0,1,D431)*IF(C431=0,1,C431)</f>
        <v>32.916793660469367</v>
      </c>
      <c r="K431" s="480"/>
      <c r="L431" s="774"/>
      <c r="M431" s="760"/>
      <c r="N431" s="781"/>
      <c r="O431" s="782">
        <f>O430</f>
        <v>3</v>
      </c>
      <c r="P431" s="781"/>
      <c r="Q431" s="756" t="s">
        <v>464</v>
      </c>
      <c r="R431" s="756">
        <v>6.5</v>
      </c>
      <c r="S431" s="757">
        <f>2/(3.281)</f>
        <v>0.6095702529716549</v>
      </c>
      <c r="T431" s="887">
        <f>3*ROUND(N428/S431,0)</f>
        <v>12</v>
      </c>
      <c r="U431" s="759">
        <f>3/3.281</f>
        <v>0.91435537945748246</v>
      </c>
      <c r="V431" s="757">
        <f>T431*U431*O431</f>
        <v>32.916793660469367</v>
      </c>
      <c r="W431" s="757">
        <f t="shared" si="120"/>
        <v>0</v>
      </c>
      <c r="X431" s="757">
        <f t="shared" si="120"/>
        <v>32.916793660469367</v>
      </c>
      <c r="Y431" s="757">
        <f t="shared" si="120"/>
        <v>0</v>
      </c>
      <c r="Z431" s="757">
        <f t="shared" si="120"/>
        <v>0</v>
      </c>
      <c r="AA431" s="757">
        <f t="shared" si="120"/>
        <v>0</v>
      </c>
      <c r="AB431" s="757">
        <f t="shared" si="120"/>
        <v>0</v>
      </c>
      <c r="AC431" s="757">
        <f t="shared" si="120"/>
        <v>0</v>
      </c>
      <c r="AD431" s="757">
        <f t="shared" si="120"/>
        <v>0</v>
      </c>
      <c r="AE431" s="757">
        <f t="shared" si="120"/>
        <v>0</v>
      </c>
      <c r="AF431" s="777"/>
      <c r="AI431" s="777"/>
      <c r="AL431" s="777"/>
      <c r="AM431" s="777"/>
    </row>
    <row r="432" spans="1:43" s="390" customFormat="1" ht="22.25" customHeight="1">
      <c r="A432" s="454"/>
      <c r="B432" s="660" t="str">
        <f>$B$82</f>
        <v>C2 (10"x10") on F3</v>
      </c>
      <c r="C432" s="662"/>
      <c r="D432" s="662"/>
      <c r="E432" s="662">
        <f>$E$82</f>
        <v>8</v>
      </c>
      <c r="F432" s="498">
        <v>0.83</v>
      </c>
      <c r="G432" s="642">
        <v>0.83</v>
      </c>
      <c r="H432" s="642">
        <f>4+3</f>
        <v>7</v>
      </c>
      <c r="I432" s="501"/>
      <c r="J432" s="507"/>
      <c r="K432" s="455"/>
      <c r="L432" s="312"/>
      <c r="M432" s="726"/>
      <c r="N432" s="726"/>
      <c r="O432" s="726"/>
      <c r="P432" s="726"/>
      <c r="Q432" s="611"/>
      <c r="R432" s="611"/>
      <c r="S432" s="624"/>
      <c r="T432" s="625"/>
      <c r="U432" s="626"/>
      <c r="V432" s="624"/>
      <c r="W432" s="624"/>
      <c r="X432" s="624"/>
      <c r="Y432" s="624"/>
      <c r="Z432" s="624"/>
      <c r="AA432" s="624"/>
      <c r="AB432" s="624"/>
      <c r="AC432" s="624"/>
      <c r="AD432" s="624"/>
      <c r="AE432" s="624"/>
      <c r="AF432" s="404"/>
      <c r="AG432" s="471"/>
      <c r="AH432" s="874"/>
      <c r="AI432" s="471"/>
      <c r="AJ432" s="471"/>
      <c r="AM432" s="404"/>
      <c r="AP432" s="404"/>
      <c r="AQ432" s="404"/>
    </row>
    <row r="433" spans="1:48" s="776" customFormat="1" ht="22.25" customHeight="1">
      <c r="A433" s="769"/>
      <c r="B433" s="770" t="s">
        <v>727</v>
      </c>
      <c r="C433" s="665"/>
      <c r="D433" s="665"/>
      <c r="E433" s="665"/>
      <c r="F433" s="751"/>
      <c r="G433" s="773"/>
      <c r="H433" s="778"/>
      <c r="I433" s="774"/>
      <c r="J433" s="778"/>
      <c r="K433" s="480"/>
      <c r="L433" s="774"/>
      <c r="M433" s="760"/>
      <c r="N433" s="781"/>
      <c r="O433" s="782"/>
      <c r="P433" s="781"/>
      <c r="Q433" s="756"/>
      <c r="R433" s="756"/>
      <c r="S433" s="757"/>
      <c r="T433" s="758"/>
      <c r="U433" s="759"/>
      <c r="V433" s="757"/>
      <c r="W433" s="757">
        <f t="shared" ref="W433:AE443" si="121">IF($R433=W$5,$V433,0)</f>
        <v>0</v>
      </c>
      <c r="X433" s="757">
        <f t="shared" si="121"/>
        <v>0</v>
      </c>
      <c r="Y433" s="757">
        <f t="shared" si="121"/>
        <v>0</v>
      </c>
      <c r="Z433" s="757">
        <f t="shared" si="121"/>
        <v>0</v>
      </c>
      <c r="AA433" s="757">
        <f t="shared" si="121"/>
        <v>0</v>
      </c>
      <c r="AB433" s="757">
        <f t="shared" si="121"/>
        <v>0</v>
      </c>
      <c r="AC433" s="757">
        <f t="shared" si="121"/>
        <v>0</v>
      </c>
      <c r="AD433" s="757">
        <f t="shared" si="121"/>
        <v>0</v>
      </c>
      <c r="AE433" s="757">
        <f t="shared" si="121"/>
        <v>0</v>
      </c>
      <c r="AF433" s="772" t="e">
        <f>((#REF!+#REF!/12)-(1.5/12)*2)*4+0.25*2</f>
        <v>#REF!</v>
      </c>
      <c r="AI433" s="777"/>
      <c r="AL433" s="777"/>
      <c r="AM433" s="777"/>
    </row>
    <row r="434" spans="1:48" s="776" customFormat="1" ht="22.25" customHeight="1">
      <c r="A434" s="769"/>
      <c r="B434" s="770" t="s">
        <v>483</v>
      </c>
      <c r="C434" s="665"/>
      <c r="D434" s="665">
        <v>6</v>
      </c>
      <c r="E434" s="665">
        <f>E432</f>
        <v>8</v>
      </c>
      <c r="F434" s="751">
        <f>U434</f>
        <v>4.5515992075586702</v>
      </c>
      <c r="G434" s="773"/>
      <c r="H434" s="778"/>
      <c r="I434" s="774"/>
      <c r="J434" s="492">
        <f>IF(I434=0,1,I434)*IF(H434=0,1,H434)*IF(G434=0,1,G434)*IF(F434=0,1,F434)*IF(E434=0,1,E434)*IF(D434=0,1,D434)*IF(C434=0,1,C434)</f>
        <v>218.47676196281617</v>
      </c>
      <c r="K434" s="480"/>
      <c r="L434" s="774"/>
      <c r="M434" s="760">
        <f>F432/3.281</f>
        <v>0.25297165498323682</v>
      </c>
      <c r="N434" s="781">
        <f>H432/3.281</f>
        <v>2.1334958854007922</v>
      </c>
      <c r="O434" s="768">
        <f>E434</f>
        <v>8</v>
      </c>
      <c r="P434" s="781">
        <v>0.05</v>
      </c>
      <c r="Q434" s="756" t="s">
        <v>459</v>
      </c>
      <c r="R434" s="756">
        <v>16</v>
      </c>
      <c r="S434" s="757"/>
      <c r="T434" s="758">
        <f>D434</f>
        <v>6</v>
      </c>
      <c r="U434" s="759">
        <f>N434-1*$P$403+1*32*R434/1000+(6.5)/3.281</f>
        <v>4.5515992075586702</v>
      </c>
      <c r="V434" s="757">
        <f>T434*U434*O434</f>
        <v>218.47676196281617</v>
      </c>
      <c r="W434" s="757">
        <f t="shared" si="121"/>
        <v>0</v>
      </c>
      <c r="X434" s="757">
        <f t="shared" si="121"/>
        <v>0</v>
      </c>
      <c r="Y434" s="757">
        <f t="shared" si="121"/>
        <v>0</v>
      </c>
      <c r="Z434" s="757">
        <f t="shared" si="121"/>
        <v>0</v>
      </c>
      <c r="AA434" s="757">
        <f t="shared" si="121"/>
        <v>218.47676196281617</v>
      </c>
      <c r="AB434" s="757">
        <f t="shared" si="121"/>
        <v>0</v>
      </c>
      <c r="AC434" s="757">
        <f t="shared" si="121"/>
        <v>0</v>
      </c>
      <c r="AD434" s="757">
        <f t="shared" si="121"/>
        <v>0</v>
      </c>
      <c r="AE434" s="757">
        <f t="shared" si="121"/>
        <v>0</v>
      </c>
      <c r="AF434" s="772" t="e">
        <f>(#REF!+#REF!/12)-0.25+0.5+0.25*2</f>
        <v>#REF!</v>
      </c>
      <c r="AI434" s="777"/>
      <c r="AL434" s="777"/>
      <c r="AM434" s="777"/>
    </row>
    <row r="435" spans="1:48" s="776" customFormat="1" ht="22.25" customHeight="1">
      <c r="A435" s="769"/>
      <c r="B435" s="770" t="s">
        <v>525</v>
      </c>
      <c r="C435" s="665"/>
      <c r="D435" s="665"/>
      <c r="E435" s="665"/>
      <c r="F435" s="751"/>
      <c r="G435" s="773"/>
      <c r="H435" s="778"/>
      <c r="I435" s="774"/>
      <c r="J435" s="778"/>
      <c r="K435" s="480"/>
      <c r="L435" s="774"/>
      <c r="M435" s="760"/>
      <c r="N435" s="781"/>
      <c r="O435" s="782"/>
      <c r="P435" s="781"/>
      <c r="Q435" s="756"/>
      <c r="R435" s="756"/>
      <c r="S435" s="757"/>
      <c r="T435" s="758"/>
      <c r="U435" s="759"/>
      <c r="V435" s="757"/>
      <c r="W435" s="757">
        <f t="shared" si="121"/>
        <v>0</v>
      </c>
      <c r="X435" s="757">
        <f t="shared" si="121"/>
        <v>0</v>
      </c>
      <c r="Y435" s="757">
        <f t="shared" si="121"/>
        <v>0</v>
      </c>
      <c r="Z435" s="757">
        <f t="shared" si="121"/>
        <v>0</v>
      </c>
      <c r="AA435" s="757">
        <f t="shared" si="121"/>
        <v>0</v>
      </c>
      <c r="AB435" s="757">
        <f t="shared" si="121"/>
        <v>0</v>
      </c>
      <c r="AC435" s="757">
        <f t="shared" si="121"/>
        <v>0</v>
      </c>
      <c r="AD435" s="757">
        <f t="shared" si="121"/>
        <v>0</v>
      </c>
      <c r="AE435" s="757">
        <f t="shared" si="121"/>
        <v>0</v>
      </c>
      <c r="AF435" s="772" t="e">
        <f>((#REF!+#REF!/12)-(1.5/12)*2)*4+0.25*2</f>
        <v>#REF!</v>
      </c>
      <c r="AI435" s="777"/>
      <c r="AL435" s="777"/>
      <c r="AM435" s="777"/>
    </row>
    <row r="436" spans="1:48" s="776" customFormat="1" ht="22.25" customHeight="1">
      <c r="A436" s="769"/>
      <c r="B436" s="770" t="s">
        <v>484</v>
      </c>
      <c r="C436" s="665"/>
      <c r="D436" s="665">
        <f>T436</f>
        <v>22</v>
      </c>
      <c r="E436" s="665">
        <f>E434</f>
        <v>8</v>
      </c>
      <c r="F436" s="751">
        <f>U436</f>
        <v>0.77188661993294727</v>
      </c>
      <c r="G436" s="779"/>
      <c r="H436" s="780"/>
      <c r="I436" s="774"/>
      <c r="J436" s="492">
        <f>IF(I436=0,1,I436)*IF(H436=0,1,H436)*IF(G436=0,1,G436)*IF(F436=0,1,F436)*IF(E436=0,1,E436)*IF(D436=0,1,D436)*IF(C436=0,1,C436)</f>
        <v>135.85204510819872</v>
      </c>
      <c r="K436" s="480"/>
      <c r="L436" s="774"/>
      <c r="M436" s="760">
        <f>G432/3.281</f>
        <v>0.25297165498323682</v>
      </c>
      <c r="N436" s="781"/>
      <c r="O436" s="782">
        <f>O434</f>
        <v>8</v>
      </c>
      <c r="P436" s="781"/>
      <c r="Q436" s="756" t="s">
        <v>463</v>
      </c>
      <c r="R436" s="756">
        <v>10</v>
      </c>
      <c r="S436" s="757">
        <f>4/(12*3.281)</f>
        <v>0.1015950421619425</v>
      </c>
      <c r="T436" s="758">
        <f>(ROUND((N434)/S436+1,0))</f>
        <v>22</v>
      </c>
      <c r="U436" s="759">
        <f>2*(M434+M436)-8*P434+2*8*R436/1000</f>
        <v>0.77188661993294727</v>
      </c>
      <c r="V436" s="757">
        <f>T436*U436*O436</f>
        <v>135.85204510819872</v>
      </c>
      <c r="W436" s="757">
        <f t="shared" si="121"/>
        <v>0</v>
      </c>
      <c r="X436" s="757">
        <f t="shared" si="121"/>
        <v>0</v>
      </c>
      <c r="Y436" s="757">
        <f t="shared" si="121"/>
        <v>135.85204510819872</v>
      </c>
      <c r="Z436" s="757">
        <f t="shared" si="121"/>
        <v>0</v>
      </c>
      <c r="AA436" s="757">
        <f t="shared" si="121"/>
        <v>0</v>
      </c>
      <c r="AB436" s="757">
        <f t="shared" si="121"/>
        <v>0</v>
      </c>
      <c r="AC436" s="757">
        <f t="shared" si="121"/>
        <v>0</v>
      </c>
      <c r="AD436" s="757">
        <f t="shared" si="121"/>
        <v>0</v>
      </c>
      <c r="AE436" s="757">
        <f t="shared" si="121"/>
        <v>0</v>
      </c>
      <c r="AF436" s="777"/>
      <c r="AI436" s="777"/>
      <c r="AL436" s="777"/>
      <c r="AM436" s="777"/>
    </row>
    <row r="437" spans="1:48" s="776" customFormat="1" ht="22.25" customHeight="1">
      <c r="A437" s="769"/>
      <c r="B437" s="770" t="s">
        <v>601</v>
      </c>
      <c r="C437" s="665"/>
      <c r="D437" s="665">
        <f>T437</f>
        <v>12</v>
      </c>
      <c r="E437" s="665">
        <f>E436</f>
        <v>8</v>
      </c>
      <c r="F437" s="751">
        <f>U437</f>
        <v>0.91435537945748246</v>
      </c>
      <c r="G437" s="779"/>
      <c r="H437" s="780"/>
      <c r="I437" s="774"/>
      <c r="J437" s="492">
        <f>IF(I437=0,1,I437)*IF(H437=0,1,H437)*IF(G437=0,1,G437)*IF(F437=0,1,F437)*IF(E437=0,1,E437)*IF(D437=0,1,D437)*IF(C437=0,1,C437)</f>
        <v>87.77811642791832</v>
      </c>
      <c r="K437" s="480"/>
      <c r="L437" s="774"/>
      <c r="M437" s="760"/>
      <c r="N437" s="781"/>
      <c r="O437" s="782">
        <f>O436</f>
        <v>8</v>
      </c>
      <c r="P437" s="781"/>
      <c r="Q437" s="756" t="s">
        <v>464</v>
      </c>
      <c r="R437" s="756">
        <v>6.5</v>
      </c>
      <c r="S437" s="757">
        <f>2/(3.281)</f>
        <v>0.6095702529716549</v>
      </c>
      <c r="T437" s="887">
        <f>3*ROUND(N434/S437,0)</f>
        <v>12</v>
      </c>
      <c r="U437" s="759">
        <f>3/3.281</f>
        <v>0.91435537945748246</v>
      </c>
      <c r="V437" s="757">
        <f>T437*U437*O437</f>
        <v>87.77811642791832</v>
      </c>
      <c r="W437" s="757">
        <f t="shared" si="121"/>
        <v>0</v>
      </c>
      <c r="X437" s="757">
        <f t="shared" si="121"/>
        <v>87.77811642791832</v>
      </c>
      <c r="Y437" s="757">
        <f t="shared" si="121"/>
        <v>0</v>
      </c>
      <c r="Z437" s="757">
        <f t="shared" si="121"/>
        <v>0</v>
      </c>
      <c r="AA437" s="757">
        <f t="shared" si="121"/>
        <v>0</v>
      </c>
      <c r="AB437" s="757">
        <f t="shared" si="121"/>
        <v>0</v>
      </c>
      <c r="AC437" s="757">
        <f t="shared" si="121"/>
        <v>0</v>
      </c>
      <c r="AD437" s="757">
        <f t="shared" si="121"/>
        <v>0</v>
      </c>
      <c r="AE437" s="757">
        <f t="shared" si="121"/>
        <v>0</v>
      </c>
      <c r="AF437" s="777"/>
      <c r="AI437" s="777"/>
      <c r="AL437" s="777"/>
      <c r="AM437" s="777"/>
    </row>
    <row r="438" spans="1:48" s="390" customFormat="1" ht="22.25" customHeight="1">
      <c r="A438" s="454"/>
      <c r="B438" s="660" t="str">
        <f>$B$83</f>
        <v>C2 (10"x10") on F4</v>
      </c>
      <c r="C438" s="662"/>
      <c r="D438" s="662"/>
      <c r="E438" s="662">
        <f>$E$83</f>
        <v>1</v>
      </c>
      <c r="F438" s="498">
        <v>0.83</v>
      </c>
      <c r="G438" s="642">
        <v>0.83</v>
      </c>
      <c r="H438" s="642">
        <f>4+3</f>
        <v>7</v>
      </c>
      <c r="I438" s="501"/>
      <c r="J438" s="507"/>
      <c r="K438" s="455"/>
      <c r="L438" s="312"/>
      <c r="M438" s="726"/>
      <c r="N438" s="726"/>
      <c r="O438" s="726"/>
      <c r="P438" s="726"/>
      <c r="Q438" s="611"/>
      <c r="R438" s="611"/>
      <c r="S438" s="624"/>
      <c r="T438" s="625"/>
      <c r="U438" s="626"/>
      <c r="V438" s="624"/>
      <c r="W438" s="624"/>
      <c r="X438" s="624"/>
      <c r="Y438" s="624"/>
      <c r="Z438" s="624"/>
      <c r="AA438" s="624"/>
      <c r="AB438" s="624"/>
      <c r="AC438" s="624"/>
      <c r="AD438" s="624"/>
      <c r="AE438" s="624"/>
      <c r="AF438" s="404"/>
      <c r="AG438" s="471"/>
      <c r="AH438" s="874"/>
      <c r="AI438" s="471"/>
      <c r="AJ438" s="471"/>
      <c r="AM438" s="404"/>
      <c r="AP438" s="404"/>
      <c r="AQ438" s="404"/>
    </row>
    <row r="439" spans="1:48" s="776" customFormat="1" ht="22.25" customHeight="1">
      <c r="A439" s="769"/>
      <c r="B439" s="770" t="s">
        <v>727</v>
      </c>
      <c r="C439" s="665"/>
      <c r="D439" s="665"/>
      <c r="E439" s="665"/>
      <c r="F439" s="751"/>
      <c r="G439" s="773"/>
      <c r="H439" s="778"/>
      <c r="I439" s="774"/>
      <c r="J439" s="778"/>
      <c r="K439" s="480"/>
      <c r="L439" s="774"/>
      <c r="M439" s="760"/>
      <c r="N439" s="781"/>
      <c r="O439" s="782"/>
      <c r="P439" s="781"/>
      <c r="Q439" s="756"/>
      <c r="R439" s="756"/>
      <c r="S439" s="757"/>
      <c r="T439" s="758"/>
      <c r="U439" s="759"/>
      <c r="V439" s="757"/>
      <c r="W439" s="757">
        <f t="shared" si="121"/>
        <v>0</v>
      </c>
      <c r="X439" s="757">
        <f t="shared" si="121"/>
        <v>0</v>
      </c>
      <c r="Y439" s="757">
        <f t="shared" si="121"/>
        <v>0</v>
      </c>
      <c r="Z439" s="757">
        <f t="shared" si="121"/>
        <v>0</v>
      </c>
      <c r="AA439" s="757">
        <f t="shared" si="121"/>
        <v>0</v>
      </c>
      <c r="AB439" s="757">
        <f t="shared" si="121"/>
        <v>0</v>
      </c>
      <c r="AC439" s="757">
        <f t="shared" si="121"/>
        <v>0</v>
      </c>
      <c r="AD439" s="757">
        <f t="shared" si="121"/>
        <v>0</v>
      </c>
      <c r="AE439" s="757">
        <f t="shared" si="121"/>
        <v>0</v>
      </c>
      <c r="AF439" s="772" t="e">
        <f>((#REF!+#REF!/12)-(1.5/12)*2)*4+0.25*2</f>
        <v>#REF!</v>
      </c>
      <c r="AI439" s="777"/>
      <c r="AL439" s="777"/>
      <c r="AM439" s="777"/>
    </row>
    <row r="440" spans="1:48" s="776" customFormat="1" ht="22.25" customHeight="1">
      <c r="A440" s="769"/>
      <c r="B440" s="770" t="s">
        <v>483</v>
      </c>
      <c r="C440" s="665"/>
      <c r="D440" s="665">
        <v>6</v>
      </c>
      <c r="E440" s="665">
        <f>E438</f>
        <v>1</v>
      </c>
      <c r="F440" s="751">
        <f>U440</f>
        <v>4.5515992075586702</v>
      </c>
      <c r="G440" s="773"/>
      <c r="H440" s="778"/>
      <c r="I440" s="774"/>
      <c r="J440" s="492">
        <f>IF(I440=0,1,I440)*IF(H440=0,1,H440)*IF(G440=0,1,G440)*IF(F440=0,1,F440)*IF(E440=0,1,E440)*IF(D440=0,1,D440)*IF(C440=0,1,C440)</f>
        <v>27.309595245352021</v>
      </c>
      <c r="K440" s="480"/>
      <c r="L440" s="774"/>
      <c r="M440" s="760">
        <f>F438/3.281</f>
        <v>0.25297165498323682</v>
      </c>
      <c r="N440" s="781">
        <f>H438/3.281</f>
        <v>2.1334958854007922</v>
      </c>
      <c r="O440" s="768">
        <f>E440</f>
        <v>1</v>
      </c>
      <c r="P440" s="781">
        <v>0.05</v>
      </c>
      <c r="Q440" s="756" t="s">
        <v>459</v>
      </c>
      <c r="R440" s="756">
        <v>16</v>
      </c>
      <c r="S440" s="757"/>
      <c r="T440" s="758">
        <f>D440</f>
        <v>6</v>
      </c>
      <c r="U440" s="759">
        <f>N440-1*$P$403+1*32*R440/1000+(6.5)/3.281</f>
        <v>4.5515992075586702</v>
      </c>
      <c r="V440" s="757">
        <f>T440*U440*O440</f>
        <v>27.309595245352021</v>
      </c>
      <c r="W440" s="757">
        <f t="shared" si="121"/>
        <v>0</v>
      </c>
      <c r="X440" s="757">
        <f t="shared" si="121"/>
        <v>0</v>
      </c>
      <c r="Y440" s="757">
        <f t="shared" si="121"/>
        <v>0</v>
      </c>
      <c r="Z440" s="757">
        <f t="shared" si="121"/>
        <v>0</v>
      </c>
      <c r="AA440" s="757">
        <f t="shared" si="121"/>
        <v>27.309595245352021</v>
      </c>
      <c r="AB440" s="757">
        <f t="shared" si="121"/>
        <v>0</v>
      </c>
      <c r="AC440" s="757">
        <f t="shared" si="121"/>
        <v>0</v>
      </c>
      <c r="AD440" s="757">
        <f t="shared" si="121"/>
        <v>0</v>
      </c>
      <c r="AE440" s="757">
        <f t="shared" si="121"/>
        <v>0</v>
      </c>
      <c r="AF440" s="772" t="e">
        <f>(#REF!+#REF!/12)-0.25+0.5+0.25*2</f>
        <v>#REF!</v>
      </c>
      <c r="AI440" s="777"/>
      <c r="AL440" s="777"/>
      <c r="AM440" s="777"/>
    </row>
    <row r="441" spans="1:48" s="776" customFormat="1" ht="22.25" customHeight="1">
      <c r="A441" s="769"/>
      <c r="B441" s="770" t="s">
        <v>525</v>
      </c>
      <c r="C441" s="665"/>
      <c r="D441" s="665"/>
      <c r="E441" s="665"/>
      <c r="F441" s="751"/>
      <c r="G441" s="773"/>
      <c r="H441" s="778"/>
      <c r="I441" s="774"/>
      <c r="J441" s="778"/>
      <c r="K441" s="480"/>
      <c r="L441" s="774"/>
      <c r="M441" s="760"/>
      <c r="N441" s="781"/>
      <c r="O441" s="782"/>
      <c r="P441" s="781"/>
      <c r="Q441" s="756"/>
      <c r="R441" s="756"/>
      <c r="S441" s="757"/>
      <c r="T441" s="758"/>
      <c r="U441" s="759"/>
      <c r="V441" s="757"/>
      <c r="W441" s="757">
        <f t="shared" si="121"/>
        <v>0</v>
      </c>
      <c r="X441" s="757">
        <f t="shared" si="121"/>
        <v>0</v>
      </c>
      <c r="Y441" s="757">
        <f t="shared" si="121"/>
        <v>0</v>
      </c>
      <c r="Z441" s="757">
        <f t="shared" si="121"/>
        <v>0</v>
      </c>
      <c r="AA441" s="757">
        <f t="shared" si="121"/>
        <v>0</v>
      </c>
      <c r="AB441" s="757">
        <f t="shared" si="121"/>
        <v>0</v>
      </c>
      <c r="AC441" s="757">
        <f t="shared" si="121"/>
        <v>0</v>
      </c>
      <c r="AD441" s="757">
        <f t="shared" si="121"/>
        <v>0</v>
      </c>
      <c r="AE441" s="757">
        <f t="shared" si="121"/>
        <v>0</v>
      </c>
      <c r="AF441" s="772" t="e">
        <f>((#REF!+#REF!/12)-(1.5/12)*2)*4+0.25*2</f>
        <v>#REF!</v>
      </c>
      <c r="AI441" s="777"/>
      <c r="AL441" s="777"/>
      <c r="AM441" s="777"/>
    </row>
    <row r="442" spans="1:48" s="776" customFormat="1" ht="22.25" customHeight="1">
      <c r="A442" s="769"/>
      <c r="B442" s="770" t="s">
        <v>484</v>
      </c>
      <c r="C442" s="665"/>
      <c r="D442" s="665">
        <f>T442</f>
        <v>22</v>
      </c>
      <c r="E442" s="665">
        <f>E440</f>
        <v>1</v>
      </c>
      <c r="F442" s="751">
        <f>U442</f>
        <v>0.77188661993294727</v>
      </c>
      <c r="G442" s="779"/>
      <c r="H442" s="780"/>
      <c r="I442" s="774"/>
      <c r="J442" s="492">
        <f>IF(I442=0,1,I442)*IF(H442=0,1,H442)*IF(G442=0,1,G442)*IF(F442=0,1,F442)*IF(E442=0,1,E442)*IF(D442=0,1,D442)*IF(C442=0,1,C442)</f>
        <v>16.98150563852484</v>
      </c>
      <c r="K442" s="480"/>
      <c r="L442" s="774"/>
      <c r="M442" s="760">
        <f>G438/3.281</f>
        <v>0.25297165498323682</v>
      </c>
      <c r="N442" s="781"/>
      <c r="O442" s="782">
        <f>O440</f>
        <v>1</v>
      </c>
      <c r="P442" s="781"/>
      <c r="Q442" s="756" t="s">
        <v>463</v>
      </c>
      <c r="R442" s="756">
        <v>10</v>
      </c>
      <c r="S442" s="757">
        <f>4/(12*3.281)</f>
        <v>0.1015950421619425</v>
      </c>
      <c r="T442" s="758">
        <f>(ROUND((N440)/S442+1,0))</f>
        <v>22</v>
      </c>
      <c r="U442" s="759">
        <f>2*(M440+M442)-8*P440+2*8*R442/1000</f>
        <v>0.77188661993294727</v>
      </c>
      <c r="V442" s="757">
        <f>T442*U442*O442</f>
        <v>16.98150563852484</v>
      </c>
      <c r="W442" s="757">
        <f t="shared" si="121"/>
        <v>0</v>
      </c>
      <c r="X442" s="757">
        <f t="shared" si="121"/>
        <v>0</v>
      </c>
      <c r="Y442" s="757">
        <f t="shared" si="121"/>
        <v>16.98150563852484</v>
      </c>
      <c r="Z442" s="757">
        <f t="shared" si="121"/>
        <v>0</v>
      </c>
      <c r="AA442" s="757">
        <f t="shared" si="121"/>
        <v>0</v>
      </c>
      <c r="AB442" s="757">
        <f t="shared" si="121"/>
        <v>0</v>
      </c>
      <c r="AC442" s="757">
        <f t="shared" si="121"/>
        <v>0</v>
      </c>
      <c r="AD442" s="757">
        <f t="shared" si="121"/>
        <v>0</v>
      </c>
      <c r="AE442" s="757">
        <f t="shared" si="121"/>
        <v>0</v>
      </c>
      <c r="AF442" s="777"/>
      <c r="AI442" s="777"/>
      <c r="AL442" s="777"/>
      <c r="AM442" s="777"/>
    </row>
    <row r="443" spans="1:48" s="776" customFormat="1" ht="22.25" customHeight="1">
      <c r="A443" s="769"/>
      <c r="B443" s="770" t="s">
        <v>601</v>
      </c>
      <c r="C443" s="665"/>
      <c r="D443" s="665">
        <f>T443</f>
        <v>12</v>
      </c>
      <c r="E443" s="665">
        <f>E442</f>
        <v>1</v>
      </c>
      <c r="F443" s="751">
        <f>U443</f>
        <v>0.91435537945748246</v>
      </c>
      <c r="G443" s="779"/>
      <c r="H443" s="780"/>
      <c r="I443" s="774"/>
      <c r="J443" s="492">
        <f>IF(I443=0,1,I443)*IF(H443=0,1,H443)*IF(G443=0,1,G443)*IF(F443=0,1,F443)*IF(E443=0,1,E443)*IF(D443=0,1,D443)*IF(C443=0,1,C443)</f>
        <v>10.97226455348979</v>
      </c>
      <c r="K443" s="480"/>
      <c r="L443" s="774"/>
      <c r="M443" s="760"/>
      <c r="N443" s="781"/>
      <c r="O443" s="782">
        <f>O442</f>
        <v>1</v>
      </c>
      <c r="P443" s="781"/>
      <c r="Q443" s="756" t="s">
        <v>464</v>
      </c>
      <c r="R443" s="756">
        <v>6.5</v>
      </c>
      <c r="S443" s="757">
        <f>2/(3.281)</f>
        <v>0.6095702529716549</v>
      </c>
      <c r="T443" s="887">
        <f>3*ROUND(N440/S443,0)</f>
        <v>12</v>
      </c>
      <c r="U443" s="759">
        <f>3/3.281</f>
        <v>0.91435537945748246</v>
      </c>
      <c r="V443" s="757">
        <f>T443*U443*O443</f>
        <v>10.97226455348979</v>
      </c>
      <c r="W443" s="757">
        <f t="shared" si="121"/>
        <v>0</v>
      </c>
      <c r="X443" s="757">
        <f t="shared" si="121"/>
        <v>10.97226455348979</v>
      </c>
      <c r="Y443" s="757">
        <f t="shared" si="121"/>
        <v>0</v>
      </c>
      <c r="Z443" s="757">
        <f t="shared" si="121"/>
        <v>0</v>
      </c>
      <c r="AA443" s="757">
        <f t="shared" si="121"/>
        <v>0</v>
      </c>
      <c r="AB443" s="757">
        <f t="shared" si="121"/>
        <v>0</v>
      </c>
      <c r="AC443" s="757">
        <f t="shared" si="121"/>
        <v>0</v>
      </c>
      <c r="AD443" s="757">
        <f t="shared" si="121"/>
        <v>0</v>
      </c>
      <c r="AE443" s="757">
        <f t="shared" si="121"/>
        <v>0</v>
      </c>
      <c r="AF443" s="777"/>
      <c r="AI443" s="777"/>
      <c r="AL443" s="777"/>
      <c r="AM443" s="777"/>
    </row>
    <row r="444" spans="1:48" s="885" customFormat="1" ht="23.4" customHeight="1">
      <c r="A444" s="788"/>
      <c r="B444" s="958"/>
      <c r="C444" s="940"/>
      <c r="D444" s="940"/>
      <c r="E444" s="940"/>
      <c r="F444" s="959"/>
      <c r="G444" s="960"/>
      <c r="H444" s="962"/>
      <c r="I444" s="802"/>
      <c r="J444" s="958" t="s">
        <v>483</v>
      </c>
      <c r="K444" s="963">
        <f>SUMIF($B$408:$B$444,J444,$J$408:$J$444)</f>
        <v>628.12069064309651</v>
      </c>
      <c r="L444" s="791" t="s">
        <v>46</v>
      </c>
      <c r="M444" s="964"/>
      <c r="N444" s="964"/>
      <c r="O444" s="965"/>
      <c r="P444" s="964"/>
      <c r="Q444" s="618"/>
      <c r="R444" s="618"/>
      <c r="S444" s="618"/>
      <c r="T444" s="618"/>
      <c r="U444" s="618"/>
      <c r="V444" s="624"/>
      <c r="W444" s="624">
        <f t="shared" ref="W444:AE447" si="122">IF($R444=W$5,$V444,0)</f>
        <v>0</v>
      </c>
      <c r="X444" s="624">
        <f t="shared" si="122"/>
        <v>0</v>
      </c>
      <c r="Y444" s="624">
        <f t="shared" si="122"/>
        <v>0</v>
      </c>
      <c r="Z444" s="624">
        <f t="shared" si="122"/>
        <v>0</v>
      </c>
      <c r="AA444" s="624">
        <f t="shared" si="122"/>
        <v>0</v>
      </c>
      <c r="AB444" s="624">
        <f t="shared" si="122"/>
        <v>0</v>
      </c>
      <c r="AC444" s="624">
        <f t="shared" si="122"/>
        <v>0</v>
      </c>
      <c r="AD444" s="624">
        <f t="shared" si="122"/>
        <v>0</v>
      </c>
      <c r="AE444" s="624">
        <f t="shared" si="122"/>
        <v>0</v>
      </c>
      <c r="AF444" s="944"/>
      <c r="AG444" s="966"/>
      <c r="AH444" s="966"/>
      <c r="AI444" s="966"/>
      <c r="AJ444" s="944"/>
      <c r="AK444" s="944"/>
      <c r="AN444" s="886"/>
      <c r="AQ444" s="886"/>
      <c r="AR444" s="886"/>
    </row>
    <row r="445" spans="1:48" s="390" customFormat="1" ht="23.4" customHeight="1">
      <c r="A445" s="788"/>
      <c r="B445" s="958"/>
      <c r="C445" s="940"/>
      <c r="D445" s="940"/>
      <c r="E445" s="940"/>
      <c r="F445" s="959"/>
      <c r="G445" s="960"/>
      <c r="H445" s="958"/>
      <c r="I445" s="791"/>
      <c r="J445" s="513"/>
      <c r="K445" s="963">
        <f>K444*$AA$889</f>
        <v>992.58578274464628</v>
      </c>
      <c r="L445" s="513" t="s">
        <v>172</v>
      </c>
      <c r="M445" s="722"/>
      <c r="N445" s="722"/>
      <c r="O445" s="957"/>
      <c r="P445" s="722"/>
      <c r="Q445" s="611"/>
      <c r="R445" s="611"/>
      <c r="S445" s="624"/>
      <c r="T445" s="625"/>
      <c r="U445" s="611"/>
      <c r="V445" s="624"/>
      <c r="W445" s="624">
        <f t="shared" si="122"/>
        <v>0</v>
      </c>
      <c r="X445" s="624">
        <f t="shared" si="122"/>
        <v>0</v>
      </c>
      <c r="Y445" s="624">
        <f t="shared" si="122"/>
        <v>0</v>
      </c>
      <c r="Z445" s="624">
        <f t="shared" si="122"/>
        <v>0</v>
      </c>
      <c r="AA445" s="624">
        <f t="shared" si="122"/>
        <v>0</v>
      </c>
      <c r="AB445" s="624">
        <f t="shared" si="122"/>
        <v>0</v>
      </c>
      <c r="AC445" s="624">
        <f t="shared" si="122"/>
        <v>0</v>
      </c>
      <c r="AD445" s="624">
        <f t="shared" si="122"/>
        <v>0</v>
      </c>
      <c r="AE445" s="624">
        <f t="shared" si="122"/>
        <v>0</v>
      </c>
      <c r="AF445" s="471" t="e">
        <f>1/#REF!</f>
        <v>#REF!</v>
      </c>
      <c r="AG445" s="471" t="e">
        <f>#REF!*2.8</f>
        <v>#REF!</v>
      </c>
      <c r="AH445" s="471"/>
      <c r="AI445" s="471"/>
      <c r="AJ445" s="471"/>
      <c r="AK445" s="471"/>
      <c r="AL445" s="471"/>
      <c r="AM445" s="471"/>
      <c r="AN445" s="471"/>
      <c r="AO445" s="471"/>
      <c r="AR445" s="404"/>
      <c r="AU445" s="404"/>
      <c r="AV445" s="404"/>
    </row>
    <row r="446" spans="1:48" s="885" customFormat="1" ht="23.4" customHeight="1">
      <c r="A446" s="788"/>
      <c r="B446" s="958"/>
      <c r="C446" s="940"/>
      <c r="D446" s="940"/>
      <c r="E446" s="940"/>
      <c r="F446" s="959"/>
      <c r="G446" s="960"/>
      <c r="H446" s="962"/>
      <c r="I446" s="802"/>
      <c r="J446" s="958" t="s">
        <v>484</v>
      </c>
      <c r="K446" s="963">
        <f>SUMIF($B$408:$B$444,J446,$J$408:$J$444)</f>
        <v>413.37255714721118</v>
      </c>
      <c r="L446" s="791" t="s">
        <v>46</v>
      </c>
      <c r="M446" s="964"/>
      <c r="N446" s="964"/>
      <c r="O446" s="965"/>
      <c r="P446" s="964"/>
      <c r="Q446" s="618"/>
      <c r="R446" s="618"/>
      <c r="S446" s="618"/>
      <c r="T446" s="618"/>
      <c r="U446" s="618"/>
      <c r="V446" s="624"/>
      <c r="W446" s="624">
        <f t="shared" si="122"/>
        <v>0</v>
      </c>
      <c r="X446" s="624">
        <f t="shared" si="122"/>
        <v>0</v>
      </c>
      <c r="Y446" s="624">
        <f t="shared" si="122"/>
        <v>0</v>
      </c>
      <c r="Z446" s="624">
        <f t="shared" si="122"/>
        <v>0</v>
      </c>
      <c r="AA446" s="624">
        <f t="shared" si="122"/>
        <v>0</v>
      </c>
      <c r="AB446" s="624">
        <f t="shared" si="122"/>
        <v>0</v>
      </c>
      <c r="AC446" s="624">
        <f t="shared" si="122"/>
        <v>0</v>
      </c>
      <c r="AD446" s="624">
        <f t="shared" si="122"/>
        <v>0</v>
      </c>
      <c r="AE446" s="624">
        <f t="shared" si="122"/>
        <v>0</v>
      </c>
      <c r="AF446" s="944"/>
      <c r="AG446" s="966"/>
      <c r="AH446" s="966"/>
      <c r="AI446" s="966"/>
      <c r="AJ446" s="944"/>
      <c r="AK446" s="944"/>
      <c r="AN446" s="886"/>
      <c r="AQ446" s="886"/>
      <c r="AR446" s="886"/>
    </row>
    <row r="447" spans="1:48" s="390" customFormat="1" ht="23.4" customHeight="1">
      <c r="A447" s="788"/>
      <c r="B447" s="958"/>
      <c r="C447" s="940"/>
      <c r="D447" s="940"/>
      <c r="E447" s="940"/>
      <c r="F447" s="959"/>
      <c r="G447" s="960"/>
      <c r="H447" s="958"/>
      <c r="I447" s="791"/>
      <c r="J447" s="513"/>
      <c r="K447" s="963">
        <f>K446*$Y$889</f>
        <v>255.16824515259947</v>
      </c>
      <c r="L447" s="513" t="s">
        <v>172</v>
      </c>
      <c r="M447" s="722"/>
      <c r="N447" s="722"/>
      <c r="O447" s="957"/>
      <c r="P447" s="722"/>
      <c r="Q447" s="611"/>
      <c r="R447" s="611"/>
      <c r="S447" s="624"/>
      <c r="T447" s="625"/>
      <c r="U447" s="611"/>
      <c r="V447" s="624"/>
      <c r="W447" s="624">
        <f t="shared" si="122"/>
        <v>0</v>
      </c>
      <c r="X447" s="624">
        <f t="shared" si="122"/>
        <v>0</v>
      </c>
      <c r="Y447" s="624">
        <f t="shared" si="122"/>
        <v>0</v>
      </c>
      <c r="Z447" s="624">
        <f t="shared" si="122"/>
        <v>0</v>
      </c>
      <c r="AA447" s="624">
        <f t="shared" si="122"/>
        <v>0</v>
      </c>
      <c r="AB447" s="624">
        <f t="shared" si="122"/>
        <v>0</v>
      </c>
      <c r="AC447" s="624">
        <f t="shared" si="122"/>
        <v>0</v>
      </c>
      <c r="AD447" s="624">
        <f t="shared" si="122"/>
        <v>0</v>
      </c>
      <c r="AE447" s="624">
        <f t="shared" si="122"/>
        <v>0</v>
      </c>
      <c r="AF447" s="471" t="e">
        <f>1/#REF!</f>
        <v>#REF!</v>
      </c>
      <c r="AG447" s="471" t="e">
        <f>#REF!*2.8</f>
        <v>#REF!</v>
      </c>
      <c r="AH447" s="471"/>
      <c r="AI447" s="471"/>
      <c r="AJ447" s="471"/>
      <c r="AK447" s="471"/>
      <c r="AL447" s="471"/>
      <c r="AM447" s="471"/>
      <c r="AN447" s="471"/>
      <c r="AO447" s="471"/>
      <c r="AR447" s="404"/>
      <c r="AU447" s="404"/>
      <c r="AV447" s="404"/>
    </row>
    <row r="448" spans="1:48" s="885" customFormat="1" ht="23.4" customHeight="1">
      <c r="A448" s="788"/>
      <c r="B448" s="958"/>
      <c r="C448" s="940"/>
      <c r="D448" s="940"/>
      <c r="E448" s="940"/>
      <c r="F448" s="959"/>
      <c r="G448" s="960"/>
      <c r="H448" s="962"/>
      <c r="I448" s="802"/>
      <c r="J448" s="958" t="s">
        <v>601</v>
      </c>
      <c r="K448" s="963">
        <f>SUMIF($B$408:$B$444,J448,$J$408:$J$444)</f>
        <v>252.36208473026517</v>
      </c>
      <c r="L448" s="791" t="s">
        <v>46</v>
      </c>
      <c r="M448" s="964"/>
      <c r="N448" s="964"/>
      <c r="O448" s="965"/>
      <c r="P448" s="964"/>
      <c r="Q448" s="618"/>
      <c r="R448" s="618"/>
      <c r="S448" s="618"/>
      <c r="T448" s="618"/>
      <c r="U448" s="618"/>
      <c r="V448" s="624"/>
      <c r="W448" s="624">
        <f t="shared" ref="W448:AE449" si="123">IF($R448=W$5,$V448,0)</f>
        <v>0</v>
      </c>
      <c r="X448" s="624">
        <f t="shared" si="123"/>
        <v>0</v>
      </c>
      <c r="Y448" s="624">
        <f t="shared" si="123"/>
        <v>0</v>
      </c>
      <c r="Z448" s="624">
        <f t="shared" si="123"/>
        <v>0</v>
      </c>
      <c r="AA448" s="624">
        <f t="shared" si="123"/>
        <v>0</v>
      </c>
      <c r="AB448" s="624">
        <f t="shared" si="123"/>
        <v>0</v>
      </c>
      <c r="AC448" s="624">
        <f t="shared" si="123"/>
        <v>0</v>
      </c>
      <c r="AD448" s="624">
        <f t="shared" si="123"/>
        <v>0</v>
      </c>
      <c r="AE448" s="624">
        <f t="shared" si="123"/>
        <v>0</v>
      </c>
      <c r="AF448" s="944"/>
      <c r="AG448" s="966"/>
      <c r="AH448" s="966"/>
      <c r="AI448" s="966"/>
      <c r="AJ448" s="944"/>
      <c r="AK448" s="944"/>
      <c r="AN448" s="886"/>
      <c r="AQ448" s="886"/>
      <c r="AR448" s="886"/>
    </row>
    <row r="449" spans="1:48" s="390" customFormat="1" ht="23.4" customHeight="1">
      <c r="A449" s="788"/>
      <c r="B449" s="958"/>
      <c r="C449" s="940"/>
      <c r="D449" s="940"/>
      <c r="E449" s="940"/>
      <c r="F449" s="959"/>
      <c r="G449" s="960"/>
      <c r="H449" s="958"/>
      <c r="I449" s="791"/>
      <c r="J449" s="513"/>
      <c r="K449" s="963">
        <f>K448*$X$889</f>
        <v>65.816654813911754</v>
      </c>
      <c r="L449" s="513" t="s">
        <v>172</v>
      </c>
      <c r="M449" s="722"/>
      <c r="N449" s="722"/>
      <c r="O449" s="957"/>
      <c r="P449" s="722"/>
      <c r="Q449" s="611"/>
      <c r="R449" s="611"/>
      <c r="S449" s="624"/>
      <c r="T449" s="625"/>
      <c r="U449" s="611"/>
      <c r="V449" s="624"/>
      <c r="W449" s="624">
        <f t="shared" si="123"/>
        <v>0</v>
      </c>
      <c r="X449" s="624">
        <f t="shared" si="123"/>
        <v>0</v>
      </c>
      <c r="Y449" s="624">
        <f t="shared" si="123"/>
        <v>0</v>
      </c>
      <c r="Z449" s="624">
        <f t="shared" si="123"/>
        <v>0</v>
      </c>
      <c r="AA449" s="624">
        <f t="shared" si="123"/>
        <v>0</v>
      </c>
      <c r="AB449" s="624">
        <f t="shared" si="123"/>
        <v>0</v>
      </c>
      <c r="AC449" s="624">
        <f t="shared" si="123"/>
        <v>0</v>
      </c>
      <c r="AD449" s="624">
        <f t="shared" si="123"/>
        <v>0</v>
      </c>
      <c r="AE449" s="624">
        <f t="shared" si="123"/>
        <v>0</v>
      </c>
      <c r="AF449" s="471" t="e">
        <f>1/#REF!</f>
        <v>#REF!</v>
      </c>
      <c r="AG449" s="471" t="e">
        <f>#REF!*2.8</f>
        <v>#REF!</v>
      </c>
      <c r="AH449" s="471"/>
      <c r="AI449" s="471"/>
      <c r="AJ449" s="471"/>
      <c r="AK449" s="471"/>
      <c r="AL449" s="471"/>
      <c r="AM449" s="471"/>
      <c r="AN449" s="471"/>
      <c r="AO449" s="471"/>
      <c r="AR449" s="404"/>
      <c r="AU449" s="404"/>
      <c r="AV449" s="404"/>
    </row>
    <row r="450" spans="1:48" s="390" customFormat="1" ht="22.25" customHeight="1">
      <c r="A450" s="454"/>
      <c r="B450" s="967"/>
      <c r="C450" s="662"/>
      <c r="D450" s="662"/>
      <c r="E450" s="662"/>
      <c r="F450" s="498"/>
      <c r="G450" s="643"/>
      <c r="H450" s="643"/>
      <c r="I450" s="501"/>
      <c r="J450" s="421"/>
      <c r="K450" s="507"/>
      <c r="L450" s="432"/>
      <c r="M450" s="722"/>
      <c r="N450" s="722"/>
      <c r="O450" s="957"/>
      <c r="P450" s="722"/>
      <c r="Q450" s="618"/>
      <c r="R450" s="618"/>
      <c r="S450" s="618"/>
      <c r="T450" s="618"/>
      <c r="U450" s="618"/>
      <c r="V450" s="624"/>
      <c r="W450" s="624">
        <f t="shared" ref="W450:AE452" si="124">IF($R450=W$5,$V450,0)</f>
        <v>0</v>
      </c>
      <c r="X450" s="624">
        <f t="shared" si="124"/>
        <v>0</v>
      </c>
      <c r="Y450" s="624">
        <f t="shared" si="124"/>
        <v>0</v>
      </c>
      <c r="Z450" s="624">
        <f t="shared" si="124"/>
        <v>0</v>
      </c>
      <c r="AA450" s="624">
        <f t="shared" si="124"/>
        <v>0</v>
      </c>
      <c r="AB450" s="624">
        <f t="shared" si="124"/>
        <v>0</v>
      </c>
      <c r="AC450" s="624">
        <f t="shared" si="124"/>
        <v>0</v>
      </c>
      <c r="AD450" s="624">
        <f t="shared" si="124"/>
        <v>0</v>
      </c>
      <c r="AE450" s="624">
        <f t="shared" si="124"/>
        <v>0</v>
      </c>
      <c r="AF450" s="471"/>
      <c r="AG450" s="473"/>
      <c r="AH450" s="471"/>
      <c r="AI450" s="471"/>
      <c r="AJ450" s="471"/>
      <c r="AM450" s="404"/>
      <c r="AP450" s="404"/>
      <c r="AQ450" s="404"/>
    </row>
    <row r="451" spans="1:48" s="390" customFormat="1" ht="22.25" customHeight="1">
      <c r="A451" s="454"/>
      <c r="B451" s="872" t="s">
        <v>561</v>
      </c>
      <c r="C451" s="662"/>
      <c r="D451" s="662"/>
      <c r="E451" s="662"/>
      <c r="F451" s="498"/>
      <c r="G451" s="642"/>
      <c r="H451" s="642"/>
      <c r="I451" s="501"/>
      <c r="J451" s="507"/>
      <c r="K451" s="455"/>
      <c r="L451" s="312"/>
      <c r="M451" s="726"/>
      <c r="N451" s="726"/>
      <c r="O451" s="726"/>
      <c r="P451" s="726"/>
      <c r="Q451" s="611"/>
      <c r="R451" s="611"/>
      <c r="S451" s="611"/>
      <c r="T451" s="611"/>
      <c r="U451" s="624"/>
      <c r="V451" s="624"/>
      <c r="W451" s="624">
        <f t="shared" si="124"/>
        <v>0</v>
      </c>
      <c r="X451" s="624">
        <f t="shared" si="124"/>
        <v>0</v>
      </c>
      <c r="Y451" s="624">
        <f t="shared" si="124"/>
        <v>0</v>
      </c>
      <c r="Z451" s="624">
        <f t="shared" si="124"/>
        <v>0</v>
      </c>
      <c r="AA451" s="624">
        <f t="shared" si="124"/>
        <v>0</v>
      </c>
      <c r="AB451" s="624">
        <f t="shared" si="124"/>
        <v>0</v>
      </c>
      <c r="AC451" s="624">
        <f t="shared" si="124"/>
        <v>0</v>
      </c>
      <c r="AD451" s="624">
        <f t="shared" si="124"/>
        <v>0</v>
      </c>
      <c r="AE451" s="624">
        <f t="shared" si="124"/>
        <v>0</v>
      </c>
      <c r="AF451" s="404"/>
      <c r="AG451" s="471"/>
      <c r="AH451" s="471"/>
      <c r="AI451" s="471"/>
      <c r="AJ451" s="471"/>
      <c r="AM451" s="404"/>
      <c r="AP451" s="404"/>
      <c r="AQ451" s="404"/>
    </row>
    <row r="452" spans="1:48" s="390" customFormat="1" ht="22.25" customHeight="1">
      <c r="A452" s="454"/>
      <c r="B452" s="660" t="s">
        <v>741</v>
      </c>
      <c r="C452" s="662"/>
      <c r="D452" s="662"/>
      <c r="E452" s="662">
        <v>23</v>
      </c>
      <c r="F452" s="498">
        <v>1</v>
      </c>
      <c r="G452" s="642">
        <v>1</v>
      </c>
      <c r="H452" s="642">
        <v>13</v>
      </c>
      <c r="I452" s="501"/>
      <c r="J452" s="507"/>
      <c r="K452" s="455"/>
      <c r="L452" s="312"/>
      <c r="M452" s="726"/>
      <c r="N452" s="726"/>
      <c r="O452" s="726"/>
      <c r="P452" s="726"/>
      <c r="Q452" s="611"/>
      <c r="R452" s="611"/>
      <c r="S452" s="624"/>
      <c r="T452" s="625"/>
      <c r="U452" s="626"/>
      <c r="V452" s="624"/>
      <c r="W452" s="624">
        <f t="shared" si="124"/>
        <v>0</v>
      </c>
      <c r="X452" s="624">
        <f t="shared" si="124"/>
        <v>0</v>
      </c>
      <c r="Y452" s="624">
        <f t="shared" si="124"/>
        <v>0</v>
      </c>
      <c r="Z452" s="624">
        <f t="shared" si="124"/>
        <v>0</v>
      </c>
      <c r="AA452" s="624">
        <f t="shared" si="124"/>
        <v>0</v>
      </c>
      <c r="AB452" s="624">
        <f t="shared" si="124"/>
        <v>0</v>
      </c>
      <c r="AC452" s="624">
        <f t="shared" si="124"/>
        <v>0</v>
      </c>
      <c r="AD452" s="624">
        <f t="shared" si="124"/>
        <v>0</v>
      </c>
      <c r="AE452" s="624">
        <f t="shared" si="124"/>
        <v>0</v>
      </c>
      <c r="AF452" s="404">
        <f>381+609</f>
        <v>990</v>
      </c>
      <c r="AG452" s="471">
        <f>9.9/3.281</f>
        <v>3.0173727522096923</v>
      </c>
      <c r="AH452" s="873">
        <f>1.25+9+3</f>
        <v>13.25</v>
      </c>
      <c r="AI452" s="471"/>
      <c r="AJ452" s="471"/>
      <c r="AM452" s="404"/>
      <c r="AP452" s="404"/>
      <c r="AQ452" s="404"/>
    </row>
    <row r="453" spans="1:48" s="776" customFormat="1" ht="22.25" customHeight="1">
      <c r="A453" s="769"/>
      <c r="B453" s="770" t="s">
        <v>727</v>
      </c>
      <c r="C453" s="665"/>
      <c r="D453" s="665"/>
      <c r="E453" s="665"/>
      <c r="F453" s="751"/>
      <c r="G453" s="773"/>
      <c r="H453" s="778"/>
      <c r="I453" s="774"/>
      <c r="J453" s="778"/>
      <c r="K453" s="480"/>
      <c r="L453" s="774"/>
      <c r="M453" s="760"/>
      <c r="N453" s="781"/>
      <c r="O453" s="782"/>
      <c r="P453" s="781"/>
      <c r="Q453" s="756"/>
      <c r="R453" s="756"/>
      <c r="S453" s="757"/>
      <c r="T453" s="758"/>
      <c r="U453" s="759"/>
      <c r="V453" s="757"/>
      <c r="W453" s="757">
        <f t="shared" ref="W453:AE468" si="125">IF($R453=W$5,$V453,0)</f>
        <v>0</v>
      </c>
      <c r="X453" s="757">
        <f t="shared" si="125"/>
        <v>0</v>
      </c>
      <c r="Y453" s="757">
        <f t="shared" si="125"/>
        <v>0</v>
      </c>
      <c r="Z453" s="757">
        <f t="shared" si="125"/>
        <v>0</v>
      </c>
      <c r="AA453" s="757">
        <f t="shared" si="125"/>
        <v>0</v>
      </c>
      <c r="AB453" s="757">
        <f t="shared" si="125"/>
        <v>0</v>
      </c>
      <c r="AC453" s="757">
        <f t="shared" si="125"/>
        <v>0</v>
      </c>
      <c r="AD453" s="757">
        <f t="shared" si="125"/>
        <v>0</v>
      </c>
      <c r="AE453" s="757">
        <f t="shared" si="125"/>
        <v>0</v>
      </c>
      <c r="AF453" s="772" t="e">
        <f>((#REF!+#REF!/12)-(1.5/12)*2)*4+0.25*2</f>
        <v>#REF!</v>
      </c>
      <c r="AI453" s="777"/>
      <c r="AL453" s="777"/>
      <c r="AM453" s="777"/>
    </row>
    <row r="454" spans="1:48" s="776" customFormat="1" ht="22.25" customHeight="1">
      <c r="A454" s="769"/>
      <c r="B454" s="770" t="s">
        <v>483</v>
      </c>
      <c r="C454" s="665"/>
      <c r="D454" s="665">
        <v>6</v>
      </c>
      <c r="E454" s="665">
        <f>E452</f>
        <v>23</v>
      </c>
      <c r="F454" s="751">
        <f>U454</f>
        <v>3.2002438281011885</v>
      </c>
      <c r="G454" s="773"/>
      <c r="H454" s="778"/>
      <c r="I454" s="774"/>
      <c r="J454" s="492">
        <f>IF(I454=0,1,I454)*IF(H454=0,1,H454)*IF(G454=0,1,G454)*IF(F454=0,1,F454)*IF(E454=0,1,E454)*IF(D454=0,1,D454)*IF(C454=0,1,C454)</f>
        <v>441.63364827796397</v>
      </c>
      <c r="K454" s="480"/>
      <c r="L454" s="774"/>
      <c r="M454" s="760">
        <f>F452/3.281</f>
        <v>0.30478512648582745</v>
      </c>
      <c r="N454" s="781">
        <f>H452/3.281</f>
        <v>3.9622066443157573</v>
      </c>
      <c r="O454" s="768">
        <f>E454</f>
        <v>23</v>
      </c>
      <c r="P454" s="781">
        <v>0.05</v>
      </c>
      <c r="Q454" s="756" t="s">
        <v>459</v>
      </c>
      <c r="R454" s="756">
        <v>16</v>
      </c>
      <c r="S454" s="757"/>
      <c r="T454" s="758">
        <f>D454</f>
        <v>6</v>
      </c>
      <c r="U454" s="759">
        <f>N454/2+4/3.281</f>
        <v>3.2002438281011885</v>
      </c>
      <c r="V454" s="757">
        <f>T454*U454*O454</f>
        <v>441.63364827796403</v>
      </c>
      <c r="W454" s="757">
        <f t="shared" si="125"/>
        <v>0</v>
      </c>
      <c r="X454" s="757">
        <f t="shared" si="125"/>
        <v>0</v>
      </c>
      <c r="Y454" s="757">
        <f t="shared" si="125"/>
        <v>0</v>
      </c>
      <c r="Z454" s="757">
        <f t="shared" si="125"/>
        <v>0</v>
      </c>
      <c r="AA454" s="757">
        <f t="shared" si="125"/>
        <v>441.63364827796403</v>
      </c>
      <c r="AB454" s="757">
        <f t="shared" si="125"/>
        <v>0</v>
      </c>
      <c r="AC454" s="757">
        <f t="shared" si="125"/>
        <v>0</v>
      </c>
      <c r="AD454" s="757">
        <f t="shared" si="125"/>
        <v>0</v>
      </c>
      <c r="AE454" s="757">
        <f t="shared" si="125"/>
        <v>0</v>
      </c>
      <c r="AF454" s="772" t="e">
        <f>(#REF!+#REF!/12)-0.25+0.5+0.25*2</f>
        <v>#REF!</v>
      </c>
      <c r="AI454" s="777"/>
      <c r="AL454" s="777"/>
      <c r="AM454" s="777"/>
    </row>
    <row r="455" spans="1:48" s="776" customFormat="1" ht="22.25" customHeight="1">
      <c r="A455" s="769"/>
      <c r="B455" s="770" t="s">
        <v>525</v>
      </c>
      <c r="C455" s="665"/>
      <c r="D455" s="665"/>
      <c r="E455" s="665"/>
      <c r="F455" s="751"/>
      <c r="G455" s="773"/>
      <c r="H455" s="778"/>
      <c r="I455" s="774"/>
      <c r="J455" s="778"/>
      <c r="K455" s="480"/>
      <c r="L455" s="774"/>
      <c r="M455" s="760"/>
      <c r="N455" s="781"/>
      <c r="O455" s="782"/>
      <c r="P455" s="781"/>
      <c r="Q455" s="756"/>
      <c r="R455" s="756"/>
      <c r="S455" s="757"/>
      <c r="T455" s="759"/>
      <c r="U455" s="759"/>
      <c r="V455" s="757"/>
      <c r="W455" s="757">
        <f t="shared" si="125"/>
        <v>0</v>
      </c>
      <c r="X455" s="757">
        <f t="shared" si="125"/>
        <v>0</v>
      </c>
      <c r="Y455" s="757">
        <f t="shared" si="125"/>
        <v>0</v>
      </c>
      <c r="Z455" s="757">
        <f t="shared" si="125"/>
        <v>0</v>
      </c>
      <c r="AA455" s="757">
        <f t="shared" si="125"/>
        <v>0</v>
      </c>
      <c r="AB455" s="757">
        <f t="shared" si="125"/>
        <v>0</v>
      </c>
      <c r="AC455" s="757">
        <f t="shared" si="125"/>
        <v>0</v>
      </c>
      <c r="AD455" s="757">
        <f t="shared" si="125"/>
        <v>0</v>
      </c>
      <c r="AE455" s="757">
        <f t="shared" si="125"/>
        <v>0</v>
      </c>
      <c r="AF455" s="772" t="e">
        <f>((#REF!+#REF!/12)-(1.5/12)*2)*4+0.25*2</f>
        <v>#REF!</v>
      </c>
      <c r="AI455" s="777"/>
      <c r="AL455" s="777"/>
      <c r="AM455" s="777"/>
    </row>
    <row r="456" spans="1:48" s="776" customFormat="1" ht="22.25" customHeight="1">
      <c r="A456" s="769"/>
      <c r="B456" s="770" t="s">
        <v>484</v>
      </c>
      <c r="C456" s="665"/>
      <c r="D456" s="665">
        <f>T456</f>
        <v>17</v>
      </c>
      <c r="E456" s="665">
        <f>E454</f>
        <v>23</v>
      </c>
      <c r="F456" s="751">
        <f>U456</f>
        <v>0.97914050594330981</v>
      </c>
      <c r="G456" s="779"/>
      <c r="H456" s="780"/>
      <c r="I456" s="774"/>
      <c r="J456" s="492">
        <f>IF(I456=0,1,I456)*IF(H456=0,1,H456)*IF(G456=0,1,G456)*IF(F456=0,1,F456)*IF(E456=0,1,E456)*IF(D456=0,1,D456)*IF(C456=0,1,C456)</f>
        <v>382.8439378238341</v>
      </c>
      <c r="K456" s="480"/>
      <c r="L456" s="774"/>
      <c r="M456" s="760">
        <f>G452/3.281</f>
        <v>0.30478512648582745</v>
      </c>
      <c r="N456" s="781"/>
      <c r="O456" s="782">
        <f>O454</f>
        <v>23</v>
      </c>
      <c r="P456" s="781"/>
      <c r="Q456" s="756" t="s">
        <v>463</v>
      </c>
      <c r="R456" s="756">
        <v>10</v>
      </c>
      <c r="S456" s="757">
        <f>4/(12*3.281)</f>
        <v>0.1015950421619425</v>
      </c>
      <c r="T456" s="758">
        <f>(ROUND((5.83/3.281)/S456,0))</f>
        <v>17</v>
      </c>
      <c r="U456" s="759">
        <f>2*(M454+M456)-8*P454+2*8*R456/1000</f>
        <v>0.97914050594330981</v>
      </c>
      <c r="V456" s="757">
        <f>T456*U456*O456</f>
        <v>382.84393782383415</v>
      </c>
      <c r="W456" s="757">
        <f t="shared" si="125"/>
        <v>0</v>
      </c>
      <c r="X456" s="757">
        <f t="shared" si="125"/>
        <v>0</v>
      </c>
      <c r="Y456" s="757">
        <f t="shared" si="125"/>
        <v>382.84393782383415</v>
      </c>
      <c r="Z456" s="757">
        <f t="shared" si="125"/>
        <v>0</v>
      </c>
      <c r="AA456" s="757">
        <f t="shared" si="125"/>
        <v>0</v>
      </c>
      <c r="AB456" s="757">
        <f t="shared" si="125"/>
        <v>0</v>
      </c>
      <c r="AC456" s="757">
        <f t="shared" si="125"/>
        <v>0</v>
      </c>
      <c r="AD456" s="757">
        <f t="shared" si="125"/>
        <v>0</v>
      </c>
      <c r="AE456" s="757">
        <f t="shared" si="125"/>
        <v>0</v>
      </c>
      <c r="AF456" s="777"/>
      <c r="AI456" s="777"/>
      <c r="AL456" s="777"/>
      <c r="AM456" s="777"/>
    </row>
    <row r="457" spans="1:48" s="776" customFormat="1" ht="22.25" customHeight="1">
      <c r="A457" s="769"/>
      <c r="B457" s="770" t="s">
        <v>484</v>
      </c>
      <c r="C457" s="665"/>
      <c r="D457" s="665">
        <f>T457</f>
        <v>14</v>
      </c>
      <c r="E457" s="665">
        <f>E456</f>
        <v>23</v>
      </c>
      <c r="F457" s="751">
        <f>U457</f>
        <v>0.97914050594330981</v>
      </c>
      <c r="G457" s="779"/>
      <c r="H457" s="780"/>
      <c r="I457" s="774"/>
      <c r="J457" s="492">
        <f>IF(I457=0,1,I457)*IF(H457=0,1,H457)*IF(G457=0,1,G457)*IF(F457=0,1,F457)*IF(E457=0,1,E457)*IF(D457=0,1,D457)*IF(C457=0,1,C457)</f>
        <v>315.28324291374577</v>
      </c>
      <c r="K457" s="480"/>
      <c r="L457" s="774"/>
      <c r="M457" s="760"/>
      <c r="N457" s="781"/>
      <c r="O457" s="782">
        <f>O456</f>
        <v>23</v>
      </c>
      <c r="P457" s="781"/>
      <c r="Q457" s="756" t="s">
        <v>463</v>
      </c>
      <c r="R457" s="756">
        <v>10</v>
      </c>
      <c r="S457" s="757">
        <f>6/(12*3.281)</f>
        <v>0.15239256324291375</v>
      </c>
      <c r="T457" s="758">
        <f>(ROUND((N454-5.83/3.281)/S457,0))</f>
        <v>14</v>
      </c>
      <c r="U457" s="759">
        <f>2*(M454+M456)-8*P454+2*8*R457/1000</f>
        <v>0.97914050594330981</v>
      </c>
      <c r="V457" s="757">
        <f>T457*U457*O457</f>
        <v>315.28324291374577</v>
      </c>
      <c r="W457" s="757">
        <f t="shared" si="125"/>
        <v>0</v>
      </c>
      <c r="X457" s="757">
        <f t="shared" si="125"/>
        <v>0</v>
      </c>
      <c r="Y457" s="757">
        <f t="shared" si="125"/>
        <v>315.28324291374577</v>
      </c>
      <c r="Z457" s="757">
        <f t="shared" si="125"/>
        <v>0</v>
      </c>
      <c r="AA457" s="757">
        <f t="shared" si="125"/>
        <v>0</v>
      </c>
      <c r="AB457" s="757">
        <f t="shared" si="125"/>
        <v>0</v>
      </c>
      <c r="AC457" s="757">
        <f t="shared" si="125"/>
        <v>0</v>
      </c>
      <c r="AD457" s="757">
        <f t="shared" si="125"/>
        <v>0</v>
      </c>
      <c r="AE457" s="757">
        <f t="shared" si="125"/>
        <v>0</v>
      </c>
      <c r="AF457" s="777"/>
      <c r="AI457" s="777"/>
      <c r="AL457" s="777"/>
      <c r="AM457" s="777"/>
    </row>
    <row r="458" spans="1:48" s="776" customFormat="1" ht="22.25" customHeight="1">
      <c r="A458" s="769"/>
      <c r="B458" s="770" t="s">
        <v>601</v>
      </c>
      <c r="C458" s="665"/>
      <c r="D458" s="665">
        <f>T458</f>
        <v>21</v>
      </c>
      <c r="E458" s="665">
        <f>E457</f>
        <v>23</v>
      </c>
      <c r="F458" s="751">
        <f>U458</f>
        <v>0.91435537945748246</v>
      </c>
      <c r="G458" s="779"/>
      <c r="H458" s="780"/>
      <c r="I458" s="774"/>
      <c r="J458" s="492">
        <f>IF(I458=0,1,I458)*IF(H458=0,1,H458)*IF(G458=0,1,G458)*IF(F458=0,1,F458)*IF(E458=0,1,E458)*IF(D458=0,1,D458)*IF(C458=0,1,C458)</f>
        <v>441.63364827796403</v>
      </c>
      <c r="K458" s="480"/>
      <c r="L458" s="774"/>
      <c r="M458" s="760"/>
      <c r="N458" s="781"/>
      <c r="O458" s="782">
        <f>O457</f>
        <v>23</v>
      </c>
      <c r="P458" s="781"/>
      <c r="Q458" s="756" t="s">
        <v>464</v>
      </c>
      <c r="R458" s="756">
        <v>6.5</v>
      </c>
      <c r="S458" s="757">
        <f>2/(3.281)</f>
        <v>0.6095702529716549</v>
      </c>
      <c r="T458" s="758">
        <f>3*ROUND(N454/S458,0)</f>
        <v>21</v>
      </c>
      <c r="U458" s="759">
        <f>3/3.281</f>
        <v>0.91435537945748246</v>
      </c>
      <c r="V458" s="757">
        <f>T458*U458*O458</f>
        <v>441.63364827796403</v>
      </c>
      <c r="W458" s="757">
        <f t="shared" si="125"/>
        <v>0</v>
      </c>
      <c r="X458" s="757">
        <f t="shared" si="125"/>
        <v>441.63364827796403</v>
      </c>
      <c r="Y458" s="757">
        <f t="shared" si="125"/>
        <v>0</v>
      </c>
      <c r="Z458" s="757">
        <f t="shared" si="125"/>
        <v>0</v>
      </c>
      <c r="AA458" s="757">
        <f t="shared" si="125"/>
        <v>0</v>
      </c>
      <c r="AB458" s="757">
        <f t="shared" si="125"/>
        <v>0</v>
      </c>
      <c r="AC458" s="757">
        <f t="shared" si="125"/>
        <v>0</v>
      </c>
      <c r="AD458" s="757">
        <f t="shared" si="125"/>
        <v>0</v>
      </c>
      <c r="AE458" s="757">
        <f t="shared" si="125"/>
        <v>0</v>
      </c>
      <c r="AF458" s="777"/>
      <c r="AI458" s="777"/>
      <c r="AL458" s="777"/>
      <c r="AM458" s="777"/>
    </row>
    <row r="459" spans="1:48" s="390" customFormat="1" ht="22.25" customHeight="1">
      <c r="A459" s="454"/>
      <c r="B459" s="660" t="str">
        <f>$B$87</f>
        <v>PC1 (10"x10")</v>
      </c>
      <c r="C459" s="662"/>
      <c r="D459" s="662"/>
      <c r="E459" s="662">
        <f>$E$87</f>
        <v>10</v>
      </c>
      <c r="F459" s="498">
        <v>0.83</v>
      </c>
      <c r="G459" s="642">
        <v>0.83</v>
      </c>
      <c r="H459" s="642">
        <v>5</v>
      </c>
      <c r="I459" s="501"/>
      <c r="J459" s="507"/>
      <c r="K459" s="455"/>
      <c r="L459" s="312"/>
      <c r="M459" s="726"/>
      <c r="N459" s="726"/>
      <c r="O459" s="726"/>
      <c r="P459" s="726"/>
      <c r="Q459" s="611"/>
      <c r="R459" s="611"/>
      <c r="S459" s="624"/>
      <c r="T459" s="625"/>
      <c r="U459" s="626"/>
      <c r="V459" s="624"/>
      <c r="W459" s="624"/>
      <c r="X459" s="624"/>
      <c r="Y459" s="624"/>
      <c r="Z459" s="624"/>
      <c r="AA459" s="624"/>
      <c r="AB459" s="624"/>
      <c r="AC459" s="624"/>
      <c r="AD459" s="624"/>
      <c r="AE459" s="624"/>
      <c r="AF459" s="404"/>
      <c r="AG459" s="471"/>
      <c r="AH459" s="874"/>
      <c r="AI459" s="471"/>
      <c r="AJ459" s="471"/>
      <c r="AM459" s="404"/>
      <c r="AP459" s="404"/>
      <c r="AQ459" s="404"/>
    </row>
    <row r="460" spans="1:48" s="776" customFormat="1" ht="22.25" customHeight="1">
      <c r="A460" s="769"/>
      <c r="B460" s="770" t="s">
        <v>783</v>
      </c>
      <c r="C460" s="665"/>
      <c r="D460" s="665"/>
      <c r="E460" s="665"/>
      <c r="F460" s="751"/>
      <c r="G460" s="773"/>
      <c r="H460" s="778"/>
      <c r="I460" s="774"/>
      <c r="J460" s="778"/>
      <c r="K460" s="480"/>
      <c r="L460" s="774"/>
      <c r="M460" s="760"/>
      <c r="N460" s="781"/>
      <c r="O460" s="782"/>
      <c r="P460" s="781"/>
      <c r="Q460" s="756"/>
      <c r="R460" s="756"/>
      <c r="S460" s="757"/>
      <c r="T460" s="758"/>
      <c r="U460" s="759"/>
      <c r="V460" s="757"/>
      <c r="W460" s="757">
        <f t="shared" si="125"/>
        <v>0</v>
      </c>
      <c r="X460" s="757">
        <f t="shared" si="125"/>
        <v>0</v>
      </c>
      <c r="Y460" s="757">
        <f t="shared" si="125"/>
        <v>0</v>
      </c>
      <c r="Z460" s="757">
        <f t="shared" si="125"/>
        <v>0</v>
      </c>
      <c r="AA460" s="757">
        <f t="shared" si="125"/>
        <v>0</v>
      </c>
      <c r="AB460" s="757">
        <f t="shared" si="125"/>
        <v>0</v>
      </c>
      <c r="AC460" s="757">
        <f t="shared" si="125"/>
        <v>0</v>
      </c>
      <c r="AD460" s="757">
        <f t="shared" si="125"/>
        <v>0</v>
      </c>
      <c r="AE460" s="757">
        <f t="shared" si="125"/>
        <v>0</v>
      </c>
      <c r="AF460" s="772" t="e">
        <f>((#REF!+#REF!/12)-(1.5/12)*2)*4+0.25*2</f>
        <v>#REF!</v>
      </c>
      <c r="AI460" s="777"/>
      <c r="AL460" s="777"/>
      <c r="AM460" s="777"/>
    </row>
    <row r="461" spans="1:48" s="776" customFormat="1" ht="22.25" customHeight="1">
      <c r="A461" s="769"/>
      <c r="B461" s="770" t="s">
        <v>483</v>
      </c>
      <c r="C461" s="665"/>
      <c r="D461" s="665">
        <v>4</v>
      </c>
      <c r="E461" s="665">
        <f>E459</f>
        <v>10</v>
      </c>
      <c r="F461" s="751">
        <f>U461</f>
        <v>2.1639256324291374</v>
      </c>
      <c r="G461" s="773"/>
      <c r="H461" s="778"/>
      <c r="I461" s="774"/>
      <c r="J461" s="492">
        <f>IF(I461=0,1,I461)*IF(H461=0,1,H461)*IF(G461=0,1,G461)*IF(F461=0,1,F461)*IF(E461=0,1,E461)*IF(D461=0,1,D461)*IF(C461=0,1,C461)</f>
        <v>86.557025297165495</v>
      </c>
      <c r="K461" s="480"/>
      <c r="L461" s="774"/>
      <c r="M461" s="760">
        <f>F459/3.281</f>
        <v>0.25297165498323682</v>
      </c>
      <c r="N461" s="781">
        <f>H459/3.281</f>
        <v>1.5239256324291375</v>
      </c>
      <c r="O461" s="768">
        <f>E461</f>
        <v>10</v>
      </c>
      <c r="P461" s="781">
        <v>0.05</v>
      </c>
      <c r="Q461" s="756" t="s">
        <v>459</v>
      </c>
      <c r="R461" s="756">
        <v>16</v>
      </c>
      <c r="S461" s="757"/>
      <c r="T461" s="758">
        <f>D461</f>
        <v>4</v>
      </c>
      <c r="U461" s="759">
        <f>N461+1*32*R461/1000+1*8*R461/1000</f>
        <v>2.1639256324291374</v>
      </c>
      <c r="V461" s="757">
        <f>T461*U461*O461</f>
        <v>86.557025297165495</v>
      </c>
      <c r="W461" s="757">
        <f t="shared" si="125"/>
        <v>0</v>
      </c>
      <c r="X461" s="757">
        <f t="shared" si="125"/>
        <v>0</v>
      </c>
      <c r="Y461" s="757">
        <f t="shared" si="125"/>
        <v>0</v>
      </c>
      <c r="Z461" s="757">
        <f t="shared" si="125"/>
        <v>0</v>
      </c>
      <c r="AA461" s="757">
        <f t="shared" si="125"/>
        <v>86.557025297165495</v>
      </c>
      <c r="AB461" s="757">
        <f t="shared" si="125"/>
        <v>0</v>
      </c>
      <c r="AC461" s="757">
        <f t="shared" si="125"/>
        <v>0</v>
      </c>
      <c r="AD461" s="757">
        <f t="shared" si="125"/>
        <v>0</v>
      </c>
      <c r="AE461" s="757">
        <f t="shared" si="125"/>
        <v>0</v>
      </c>
      <c r="AF461" s="772" t="e">
        <f>(#REF!+#REF!/12)-0.25+0.5+0.25*2</f>
        <v>#REF!</v>
      </c>
      <c r="AI461" s="777"/>
      <c r="AL461" s="777"/>
      <c r="AM461" s="777"/>
    </row>
    <row r="462" spans="1:48" s="776" customFormat="1" ht="22.25" customHeight="1">
      <c r="A462" s="769"/>
      <c r="B462" s="770" t="s">
        <v>525</v>
      </c>
      <c r="C462" s="665"/>
      <c r="D462" s="665"/>
      <c r="E462" s="665"/>
      <c r="F462" s="751"/>
      <c r="G462" s="773"/>
      <c r="H462" s="778"/>
      <c r="I462" s="774"/>
      <c r="J462" s="778"/>
      <c r="K462" s="480"/>
      <c r="L462" s="774"/>
      <c r="M462" s="760"/>
      <c r="N462" s="781"/>
      <c r="O462" s="782"/>
      <c r="P462" s="781"/>
      <c r="Q462" s="756"/>
      <c r="R462" s="756"/>
      <c r="S462" s="757"/>
      <c r="T462" s="759"/>
      <c r="U462" s="759"/>
      <c r="V462" s="757"/>
      <c r="W462" s="757">
        <f t="shared" si="125"/>
        <v>0</v>
      </c>
      <c r="X462" s="757">
        <f t="shared" si="125"/>
        <v>0</v>
      </c>
      <c r="Y462" s="757">
        <f t="shared" si="125"/>
        <v>0</v>
      </c>
      <c r="Z462" s="757">
        <f t="shared" si="125"/>
        <v>0</v>
      </c>
      <c r="AA462" s="757">
        <f t="shared" si="125"/>
        <v>0</v>
      </c>
      <c r="AB462" s="757">
        <f t="shared" si="125"/>
        <v>0</v>
      </c>
      <c r="AC462" s="757">
        <f t="shared" si="125"/>
        <v>0</v>
      </c>
      <c r="AD462" s="757">
        <f t="shared" si="125"/>
        <v>0</v>
      </c>
      <c r="AE462" s="757">
        <f t="shared" si="125"/>
        <v>0</v>
      </c>
      <c r="AF462" s="772" t="e">
        <f>((#REF!+#REF!/12)-(1.5/12)*2)*4+0.25*2</f>
        <v>#REF!</v>
      </c>
      <c r="AI462" s="777"/>
      <c r="AL462" s="777"/>
      <c r="AM462" s="777"/>
    </row>
    <row r="463" spans="1:48" s="776" customFormat="1" ht="22.25" customHeight="1">
      <c r="A463" s="769"/>
      <c r="B463" s="770" t="s">
        <v>484</v>
      </c>
      <c r="C463" s="665"/>
      <c r="D463" s="665">
        <f>T463</f>
        <v>9</v>
      </c>
      <c r="E463" s="665">
        <f>E461</f>
        <v>10</v>
      </c>
      <c r="F463" s="751">
        <f>U463</f>
        <v>0.77188661993294727</v>
      </c>
      <c r="G463" s="779"/>
      <c r="H463" s="780"/>
      <c r="I463" s="774"/>
      <c r="J463" s="492">
        <f>IF(I463=0,1,I463)*IF(H463=0,1,H463)*IF(G463=0,1,G463)*IF(F463=0,1,F463)*IF(E463=0,1,E463)*IF(D463=0,1,D463)*IF(C463=0,1,C463)</f>
        <v>69.469795793965247</v>
      </c>
      <c r="K463" s="480"/>
      <c r="L463" s="774"/>
      <c r="M463" s="760">
        <f>G459/3.281</f>
        <v>0.25297165498323682</v>
      </c>
      <c r="N463" s="781"/>
      <c r="O463" s="782">
        <f>O461</f>
        <v>10</v>
      </c>
      <c r="P463" s="781"/>
      <c r="Q463" s="756" t="s">
        <v>463</v>
      </c>
      <c r="R463" s="756">
        <v>10</v>
      </c>
      <c r="S463" s="757">
        <f>4/(12*3.281)</f>
        <v>0.1015950421619425</v>
      </c>
      <c r="T463" s="758">
        <f>(ROUND((3/3.281)/S463,0))</f>
        <v>9</v>
      </c>
      <c r="U463" s="759">
        <f>2*(M461+M463)-8*P461+2*8*R463/1000</f>
        <v>0.77188661993294727</v>
      </c>
      <c r="V463" s="757">
        <f>T463*U463*O463</f>
        <v>69.469795793965247</v>
      </c>
      <c r="W463" s="757">
        <f t="shared" si="125"/>
        <v>0</v>
      </c>
      <c r="X463" s="757">
        <f t="shared" si="125"/>
        <v>0</v>
      </c>
      <c r="Y463" s="757">
        <f t="shared" si="125"/>
        <v>69.469795793965247</v>
      </c>
      <c r="Z463" s="757">
        <f t="shared" si="125"/>
        <v>0</v>
      </c>
      <c r="AA463" s="757">
        <f t="shared" si="125"/>
        <v>0</v>
      </c>
      <c r="AB463" s="757">
        <f t="shared" si="125"/>
        <v>0</v>
      </c>
      <c r="AC463" s="757">
        <f t="shared" si="125"/>
        <v>0</v>
      </c>
      <c r="AD463" s="757">
        <f t="shared" si="125"/>
        <v>0</v>
      </c>
      <c r="AE463" s="757">
        <f t="shared" si="125"/>
        <v>0</v>
      </c>
      <c r="AF463" s="777"/>
      <c r="AI463" s="777"/>
      <c r="AL463" s="777"/>
      <c r="AM463" s="777"/>
    </row>
    <row r="464" spans="1:48" s="776" customFormat="1" ht="22.25" customHeight="1">
      <c r="A464" s="769"/>
      <c r="B464" s="770" t="s">
        <v>484</v>
      </c>
      <c r="C464" s="665"/>
      <c r="D464" s="665">
        <f>T464</f>
        <v>4</v>
      </c>
      <c r="E464" s="665">
        <f>E463</f>
        <v>10</v>
      </c>
      <c r="F464" s="751">
        <f>U464</f>
        <v>0.77188661993294727</v>
      </c>
      <c r="G464" s="779"/>
      <c r="H464" s="780"/>
      <c r="I464" s="774"/>
      <c r="J464" s="492">
        <f>IF(I464=0,1,I464)*IF(H464=0,1,H464)*IF(G464=0,1,G464)*IF(F464=0,1,F464)*IF(E464=0,1,E464)*IF(D464=0,1,D464)*IF(C464=0,1,C464)</f>
        <v>30.875464797317889</v>
      </c>
      <c r="K464" s="480"/>
      <c r="L464" s="774"/>
      <c r="M464" s="760"/>
      <c r="N464" s="781"/>
      <c r="O464" s="782">
        <f>O463</f>
        <v>10</v>
      </c>
      <c r="P464" s="781"/>
      <c r="Q464" s="756" t="s">
        <v>463</v>
      </c>
      <c r="R464" s="756">
        <v>10</v>
      </c>
      <c r="S464" s="757">
        <f>6/(12*3.281)</f>
        <v>0.15239256324291375</v>
      </c>
      <c r="T464" s="758">
        <f>(ROUND((N461-3/3.281)/S464,0))</f>
        <v>4</v>
      </c>
      <c r="U464" s="759">
        <f>2*(M461+M463)-8*P461+2*8*R464/1000</f>
        <v>0.77188661993294727</v>
      </c>
      <c r="V464" s="757">
        <f>T464*U464*O464</f>
        <v>30.875464797317889</v>
      </c>
      <c r="W464" s="757">
        <f t="shared" si="125"/>
        <v>0</v>
      </c>
      <c r="X464" s="757">
        <f t="shared" si="125"/>
        <v>0</v>
      </c>
      <c r="Y464" s="757">
        <f t="shared" si="125"/>
        <v>30.875464797317889</v>
      </c>
      <c r="Z464" s="757">
        <f t="shared" si="125"/>
        <v>0</v>
      </c>
      <c r="AA464" s="757">
        <f t="shared" si="125"/>
        <v>0</v>
      </c>
      <c r="AB464" s="757">
        <f t="shared" si="125"/>
        <v>0</v>
      </c>
      <c r="AC464" s="757">
        <f t="shared" si="125"/>
        <v>0</v>
      </c>
      <c r="AD464" s="757">
        <f t="shared" si="125"/>
        <v>0</v>
      </c>
      <c r="AE464" s="757">
        <f t="shared" si="125"/>
        <v>0</v>
      </c>
      <c r="AF464" s="777"/>
      <c r="AI464" s="777"/>
      <c r="AL464" s="777"/>
      <c r="AM464" s="777"/>
    </row>
    <row r="465" spans="1:48" s="390" customFormat="1" ht="22.25" customHeight="1">
      <c r="A465" s="454"/>
      <c r="B465" s="660" t="str">
        <f>$B$88</f>
        <v>PC2 (10"x10")</v>
      </c>
      <c r="C465" s="662"/>
      <c r="D465" s="662"/>
      <c r="E465" s="662">
        <f>$E$88</f>
        <v>4</v>
      </c>
      <c r="F465" s="498">
        <v>0.83</v>
      </c>
      <c r="G465" s="642">
        <v>0.83</v>
      </c>
      <c r="H465" s="642">
        <v>10</v>
      </c>
      <c r="I465" s="501"/>
      <c r="J465" s="507"/>
      <c r="K465" s="455"/>
      <c r="L465" s="312"/>
      <c r="M465" s="726"/>
      <c r="N465" s="726"/>
      <c r="O465" s="726"/>
      <c r="P465" s="726"/>
      <c r="Q465" s="611"/>
      <c r="R465" s="611"/>
      <c r="S465" s="624"/>
      <c r="T465" s="625"/>
      <c r="U465" s="626"/>
      <c r="V465" s="624"/>
      <c r="W465" s="624"/>
      <c r="X465" s="624"/>
      <c r="Y465" s="624"/>
      <c r="Z465" s="624"/>
      <c r="AA465" s="624"/>
      <c r="AB465" s="624"/>
      <c r="AC465" s="624"/>
      <c r="AD465" s="624"/>
      <c r="AE465" s="624"/>
      <c r="AF465" s="404"/>
      <c r="AG465" s="471"/>
      <c r="AH465" s="874"/>
      <c r="AI465" s="471"/>
      <c r="AJ465" s="471"/>
      <c r="AM465" s="404"/>
      <c r="AP465" s="404"/>
      <c r="AQ465" s="404"/>
    </row>
    <row r="466" spans="1:48" s="776" customFormat="1" ht="22.25" customHeight="1">
      <c r="A466" s="769"/>
      <c r="B466" s="770" t="s">
        <v>783</v>
      </c>
      <c r="C466" s="665"/>
      <c r="D466" s="665"/>
      <c r="E466" s="665"/>
      <c r="F466" s="751"/>
      <c r="G466" s="773"/>
      <c r="H466" s="778"/>
      <c r="I466" s="774"/>
      <c r="J466" s="778"/>
      <c r="K466" s="480"/>
      <c r="L466" s="774"/>
      <c r="M466" s="760"/>
      <c r="N466" s="781"/>
      <c r="O466" s="782"/>
      <c r="P466" s="781"/>
      <c r="Q466" s="756"/>
      <c r="R466" s="756"/>
      <c r="S466" s="757"/>
      <c r="T466" s="758"/>
      <c r="U466" s="759"/>
      <c r="V466" s="757"/>
      <c r="W466" s="757">
        <f t="shared" si="125"/>
        <v>0</v>
      </c>
      <c r="X466" s="757">
        <f t="shared" si="125"/>
        <v>0</v>
      </c>
      <c r="Y466" s="757">
        <f t="shared" si="125"/>
        <v>0</v>
      </c>
      <c r="Z466" s="757">
        <f t="shared" si="125"/>
        <v>0</v>
      </c>
      <c r="AA466" s="757">
        <f t="shared" si="125"/>
        <v>0</v>
      </c>
      <c r="AB466" s="757">
        <f t="shared" si="125"/>
        <v>0</v>
      </c>
      <c r="AC466" s="757">
        <f t="shared" si="125"/>
        <v>0</v>
      </c>
      <c r="AD466" s="757">
        <f t="shared" si="125"/>
        <v>0</v>
      </c>
      <c r="AE466" s="757">
        <f t="shared" si="125"/>
        <v>0</v>
      </c>
      <c r="AF466" s="772" t="e">
        <f>((#REF!+#REF!/12)-(1.5/12)*2)*4+0.25*2</f>
        <v>#REF!</v>
      </c>
      <c r="AI466" s="777"/>
      <c r="AL466" s="777"/>
      <c r="AM466" s="777"/>
    </row>
    <row r="467" spans="1:48" s="776" customFormat="1" ht="22.25" customHeight="1">
      <c r="A467" s="769"/>
      <c r="B467" s="770" t="s">
        <v>483</v>
      </c>
      <c r="C467" s="665"/>
      <c r="D467" s="665">
        <v>4</v>
      </c>
      <c r="E467" s="665">
        <f>E465</f>
        <v>4</v>
      </c>
      <c r="F467" s="751">
        <f>U467</f>
        <v>3.6878512648582751</v>
      </c>
      <c r="G467" s="773"/>
      <c r="H467" s="778"/>
      <c r="I467" s="774"/>
      <c r="J467" s="492">
        <f>IF(I467=0,1,I467)*IF(H467=0,1,H467)*IF(G467=0,1,G467)*IF(F467=0,1,F467)*IF(E467=0,1,E467)*IF(D467=0,1,D467)*IF(C467=0,1,C467)</f>
        <v>59.005620237732401</v>
      </c>
      <c r="K467" s="480"/>
      <c r="L467" s="774"/>
      <c r="M467" s="760">
        <f>F465/3.281</f>
        <v>0.25297165498323682</v>
      </c>
      <c r="N467" s="781">
        <f>H465/3.281</f>
        <v>3.047851264858275</v>
      </c>
      <c r="O467" s="768">
        <f>E467</f>
        <v>4</v>
      </c>
      <c r="P467" s="781">
        <v>0.05</v>
      </c>
      <c r="Q467" s="756" t="s">
        <v>459</v>
      </c>
      <c r="R467" s="756">
        <v>16</v>
      </c>
      <c r="S467" s="757"/>
      <c r="T467" s="758">
        <f>D467</f>
        <v>4</v>
      </c>
      <c r="U467" s="759">
        <f>N467+1*32*R467/1000+1*8*R467/1000</f>
        <v>3.6878512648582751</v>
      </c>
      <c r="V467" s="757">
        <f>T467*U467*O467</f>
        <v>59.005620237732401</v>
      </c>
      <c r="W467" s="757">
        <f t="shared" si="125"/>
        <v>0</v>
      </c>
      <c r="X467" s="757">
        <f t="shared" si="125"/>
        <v>0</v>
      </c>
      <c r="Y467" s="757">
        <f t="shared" si="125"/>
        <v>0</v>
      </c>
      <c r="Z467" s="757">
        <f t="shared" si="125"/>
        <v>0</v>
      </c>
      <c r="AA467" s="757">
        <f t="shared" si="125"/>
        <v>59.005620237732401</v>
      </c>
      <c r="AB467" s="757">
        <f t="shared" si="125"/>
        <v>0</v>
      </c>
      <c r="AC467" s="757">
        <f t="shared" si="125"/>
        <v>0</v>
      </c>
      <c r="AD467" s="757">
        <f t="shared" si="125"/>
        <v>0</v>
      </c>
      <c r="AE467" s="757">
        <f t="shared" si="125"/>
        <v>0</v>
      </c>
      <c r="AF467" s="772" t="e">
        <f>(#REF!+#REF!/12)-0.25+0.5+0.25*2</f>
        <v>#REF!</v>
      </c>
      <c r="AI467" s="777"/>
      <c r="AL467" s="777"/>
      <c r="AM467" s="777"/>
    </row>
    <row r="468" spans="1:48" s="776" customFormat="1" ht="22.25" customHeight="1">
      <c r="A468" s="769"/>
      <c r="B468" s="770" t="s">
        <v>525</v>
      </c>
      <c r="C468" s="665"/>
      <c r="D468" s="665"/>
      <c r="E468" s="665"/>
      <c r="F468" s="751"/>
      <c r="G468" s="773"/>
      <c r="H468" s="778"/>
      <c r="I468" s="774"/>
      <c r="J468" s="778"/>
      <c r="K468" s="480"/>
      <c r="L468" s="774"/>
      <c r="M468" s="760"/>
      <c r="N468" s="781"/>
      <c r="O468" s="782"/>
      <c r="P468" s="781"/>
      <c r="Q468" s="756"/>
      <c r="R468" s="756"/>
      <c r="S468" s="757"/>
      <c r="T468" s="759"/>
      <c r="U468" s="759"/>
      <c r="V468" s="757"/>
      <c r="W468" s="757">
        <f t="shared" si="125"/>
        <v>0</v>
      </c>
      <c r="X468" s="757">
        <f t="shared" si="125"/>
        <v>0</v>
      </c>
      <c r="Y468" s="757">
        <f t="shared" si="125"/>
        <v>0</v>
      </c>
      <c r="Z468" s="757">
        <f t="shared" si="125"/>
        <v>0</v>
      </c>
      <c r="AA468" s="757">
        <f t="shared" si="125"/>
        <v>0</v>
      </c>
      <c r="AB468" s="757">
        <f t="shared" si="125"/>
        <v>0</v>
      </c>
      <c r="AC468" s="757">
        <f t="shared" si="125"/>
        <v>0</v>
      </c>
      <c r="AD468" s="757">
        <f t="shared" si="125"/>
        <v>0</v>
      </c>
      <c r="AE468" s="757">
        <f t="shared" si="125"/>
        <v>0</v>
      </c>
      <c r="AF468" s="772" t="e">
        <f>((#REF!+#REF!/12)-(1.5/12)*2)*4+0.25*2</f>
        <v>#REF!</v>
      </c>
      <c r="AI468" s="777"/>
      <c r="AL468" s="777"/>
      <c r="AM468" s="777"/>
    </row>
    <row r="469" spans="1:48" s="776" customFormat="1" ht="22.25" customHeight="1">
      <c r="A469" s="769"/>
      <c r="B469" s="770" t="s">
        <v>484</v>
      </c>
      <c r="C469" s="665"/>
      <c r="D469" s="665">
        <f>T469</f>
        <v>9</v>
      </c>
      <c r="E469" s="665">
        <f>E467</f>
        <v>4</v>
      </c>
      <c r="F469" s="751">
        <f>U469</f>
        <v>0.77188661993294727</v>
      </c>
      <c r="G469" s="779"/>
      <c r="H469" s="780"/>
      <c r="I469" s="774"/>
      <c r="J469" s="492">
        <f>IF(I469=0,1,I469)*IF(H469=0,1,H469)*IF(G469=0,1,G469)*IF(F469=0,1,F469)*IF(E469=0,1,E469)*IF(D469=0,1,D469)*IF(C469=0,1,C469)</f>
        <v>27.787918317586101</v>
      </c>
      <c r="K469" s="480"/>
      <c r="L469" s="774"/>
      <c r="M469" s="760">
        <f>G465/3.281</f>
        <v>0.25297165498323682</v>
      </c>
      <c r="N469" s="781"/>
      <c r="O469" s="782">
        <f>O467</f>
        <v>4</v>
      </c>
      <c r="P469" s="781"/>
      <c r="Q469" s="756" t="s">
        <v>463</v>
      </c>
      <c r="R469" s="756">
        <v>10</v>
      </c>
      <c r="S469" s="757">
        <f>4/(12*3.281)</f>
        <v>0.1015950421619425</v>
      </c>
      <c r="T469" s="758">
        <f>(ROUND((3/3.281)/S469,0))</f>
        <v>9</v>
      </c>
      <c r="U469" s="759">
        <f>2*(M467+M469)-8*P467+2*8*R469/1000</f>
        <v>0.77188661993294727</v>
      </c>
      <c r="V469" s="757">
        <f>T469*U469*O469</f>
        <v>27.787918317586101</v>
      </c>
      <c r="W469" s="757">
        <f t="shared" ref="W469:AE470" si="126">IF($R469=W$5,$V469,0)</f>
        <v>0</v>
      </c>
      <c r="X469" s="757">
        <f t="shared" si="126"/>
        <v>0</v>
      </c>
      <c r="Y469" s="757">
        <f t="shared" si="126"/>
        <v>27.787918317586101</v>
      </c>
      <c r="Z469" s="757">
        <f t="shared" si="126"/>
        <v>0</v>
      </c>
      <c r="AA469" s="757">
        <f t="shared" si="126"/>
        <v>0</v>
      </c>
      <c r="AB469" s="757">
        <f t="shared" si="126"/>
        <v>0</v>
      </c>
      <c r="AC469" s="757">
        <f t="shared" si="126"/>
        <v>0</v>
      </c>
      <c r="AD469" s="757">
        <f t="shared" si="126"/>
        <v>0</v>
      </c>
      <c r="AE469" s="757">
        <f t="shared" si="126"/>
        <v>0</v>
      </c>
      <c r="AF469" s="777"/>
      <c r="AI469" s="777"/>
      <c r="AL469" s="777"/>
      <c r="AM469" s="777"/>
    </row>
    <row r="470" spans="1:48" s="776" customFormat="1" ht="22.25" customHeight="1">
      <c r="A470" s="769"/>
      <c r="B470" s="770" t="s">
        <v>484</v>
      </c>
      <c r="C470" s="665"/>
      <c r="D470" s="665">
        <f>T470</f>
        <v>14</v>
      </c>
      <c r="E470" s="665">
        <f>E469</f>
        <v>4</v>
      </c>
      <c r="F470" s="751">
        <f>U470</f>
        <v>0.77188661993294727</v>
      </c>
      <c r="G470" s="779"/>
      <c r="H470" s="780"/>
      <c r="I470" s="774"/>
      <c r="J470" s="492">
        <f>IF(I470=0,1,I470)*IF(H470=0,1,H470)*IF(G470=0,1,G470)*IF(F470=0,1,F470)*IF(E470=0,1,E470)*IF(D470=0,1,D470)*IF(C470=0,1,C470)</f>
        <v>43.225650716245049</v>
      </c>
      <c r="K470" s="480"/>
      <c r="L470" s="774"/>
      <c r="M470" s="760"/>
      <c r="N470" s="781"/>
      <c r="O470" s="782">
        <f>O469</f>
        <v>4</v>
      </c>
      <c r="P470" s="781"/>
      <c r="Q470" s="756" t="s">
        <v>463</v>
      </c>
      <c r="R470" s="756">
        <v>10</v>
      </c>
      <c r="S470" s="757">
        <f>6/(12*3.281)</f>
        <v>0.15239256324291375</v>
      </c>
      <c r="T470" s="758">
        <f>(ROUND((N467-3/3.281)/S470,0))</f>
        <v>14</v>
      </c>
      <c r="U470" s="759">
        <f>2*(M467+M469)-8*P467+2*8*R470/1000</f>
        <v>0.77188661993294727</v>
      </c>
      <c r="V470" s="757">
        <f>T470*U470*O470</f>
        <v>43.225650716245049</v>
      </c>
      <c r="W470" s="757">
        <f t="shared" si="126"/>
        <v>0</v>
      </c>
      <c r="X470" s="757">
        <f t="shared" si="126"/>
        <v>0</v>
      </c>
      <c r="Y470" s="757">
        <f t="shared" si="126"/>
        <v>43.225650716245049</v>
      </c>
      <c r="Z470" s="757">
        <f t="shared" si="126"/>
        <v>0</v>
      </c>
      <c r="AA470" s="757">
        <f t="shared" si="126"/>
        <v>0</v>
      </c>
      <c r="AB470" s="757">
        <f t="shared" si="126"/>
        <v>0</v>
      </c>
      <c r="AC470" s="757">
        <f t="shared" si="126"/>
        <v>0</v>
      </c>
      <c r="AD470" s="757">
        <f t="shared" si="126"/>
        <v>0</v>
      </c>
      <c r="AE470" s="757">
        <f t="shared" si="126"/>
        <v>0</v>
      </c>
      <c r="AF470" s="777"/>
      <c r="AI470" s="777"/>
      <c r="AL470" s="777"/>
      <c r="AM470" s="777"/>
    </row>
    <row r="471" spans="1:48" s="885" customFormat="1" ht="22.75" customHeight="1">
      <c r="A471" s="788"/>
      <c r="B471" s="958"/>
      <c r="C471" s="940"/>
      <c r="D471" s="940"/>
      <c r="E471" s="940"/>
      <c r="F471" s="959"/>
      <c r="G471" s="960"/>
      <c r="H471" s="962"/>
      <c r="I471" s="802"/>
      <c r="J471" s="958" t="s">
        <v>483</v>
      </c>
      <c r="K471" s="963">
        <f>SUMIF($B$452:$B$471,J471,$J$452:$J$471)</f>
        <v>587.19629381286188</v>
      </c>
      <c r="L471" s="791" t="s">
        <v>46</v>
      </c>
      <c r="M471" s="964"/>
      <c r="N471" s="964"/>
      <c r="O471" s="965"/>
      <c r="P471" s="964"/>
      <c r="Q471" s="618"/>
      <c r="R471" s="618"/>
      <c r="S471" s="618"/>
      <c r="T471" s="618"/>
      <c r="U471" s="618"/>
      <c r="V471" s="624"/>
      <c r="W471" s="624">
        <f t="shared" ref="W471:AE487" si="127">IF($R471=W$5,$V471,0)</f>
        <v>0</v>
      </c>
      <c r="X471" s="624">
        <f t="shared" si="127"/>
        <v>0</v>
      </c>
      <c r="Y471" s="624">
        <f t="shared" si="127"/>
        <v>0</v>
      </c>
      <c r="Z471" s="624">
        <f t="shared" si="127"/>
        <v>0</v>
      </c>
      <c r="AA471" s="624">
        <f t="shared" si="127"/>
        <v>0</v>
      </c>
      <c r="AB471" s="624">
        <f t="shared" si="127"/>
        <v>0</v>
      </c>
      <c r="AC471" s="624">
        <f t="shared" si="127"/>
        <v>0</v>
      </c>
      <c r="AD471" s="624">
        <f t="shared" si="127"/>
        <v>0</v>
      </c>
      <c r="AE471" s="624">
        <f t="shared" si="127"/>
        <v>0</v>
      </c>
      <c r="AF471" s="944"/>
      <c r="AG471" s="966"/>
      <c r="AH471" s="966"/>
      <c r="AI471" s="966"/>
      <c r="AJ471" s="944"/>
      <c r="AK471" s="944"/>
      <c r="AN471" s="886"/>
      <c r="AQ471" s="886"/>
      <c r="AR471" s="886"/>
    </row>
    <row r="472" spans="1:48" s="390" customFormat="1" ht="22.75" customHeight="1">
      <c r="A472" s="788"/>
      <c r="B472" s="958"/>
      <c r="C472" s="940"/>
      <c r="D472" s="940"/>
      <c r="E472" s="940"/>
      <c r="F472" s="959"/>
      <c r="G472" s="960"/>
      <c r="H472" s="958"/>
      <c r="I472" s="791"/>
      <c r="J472" s="513"/>
      <c r="K472" s="963">
        <f>K471*$AA$889</f>
        <v>927.91513096353481</v>
      </c>
      <c r="L472" s="513" t="s">
        <v>172</v>
      </c>
      <c r="M472" s="722"/>
      <c r="N472" s="722"/>
      <c r="O472" s="957"/>
      <c r="P472" s="722"/>
      <c r="Q472" s="611"/>
      <c r="R472" s="611"/>
      <c r="S472" s="624"/>
      <c r="T472" s="625"/>
      <c r="U472" s="611"/>
      <c r="V472" s="624"/>
      <c r="W472" s="624">
        <f t="shared" si="127"/>
        <v>0</v>
      </c>
      <c r="X472" s="624">
        <f t="shared" si="127"/>
        <v>0</v>
      </c>
      <c r="Y472" s="624">
        <f t="shared" si="127"/>
        <v>0</v>
      </c>
      <c r="Z472" s="624">
        <f t="shared" si="127"/>
        <v>0</v>
      </c>
      <c r="AA472" s="624">
        <f t="shared" si="127"/>
        <v>0</v>
      </c>
      <c r="AB472" s="624">
        <f t="shared" si="127"/>
        <v>0</v>
      </c>
      <c r="AC472" s="624">
        <f t="shared" si="127"/>
        <v>0</v>
      </c>
      <c r="AD472" s="624">
        <f t="shared" si="127"/>
        <v>0</v>
      </c>
      <c r="AE472" s="624">
        <f t="shared" si="127"/>
        <v>0</v>
      </c>
      <c r="AF472" s="471" t="e">
        <f>1/#REF!</f>
        <v>#REF!</v>
      </c>
      <c r="AG472" s="471" t="e">
        <f>#REF!*2.8</f>
        <v>#REF!</v>
      </c>
      <c r="AH472" s="471"/>
      <c r="AI472" s="471"/>
      <c r="AJ472" s="471"/>
      <c r="AK472" s="471"/>
      <c r="AL472" s="471"/>
      <c r="AM472" s="471"/>
      <c r="AN472" s="471"/>
      <c r="AO472" s="471"/>
      <c r="AR472" s="404"/>
      <c r="AU472" s="404"/>
      <c r="AV472" s="404"/>
    </row>
    <row r="473" spans="1:48" s="885" customFormat="1" ht="22.75" customHeight="1">
      <c r="A473" s="788"/>
      <c r="B473" s="958"/>
      <c r="C473" s="940"/>
      <c r="D473" s="940"/>
      <c r="E473" s="940"/>
      <c r="F473" s="959"/>
      <c r="G473" s="960"/>
      <c r="H473" s="962"/>
      <c r="I473" s="802"/>
      <c r="J473" s="958" t="s">
        <v>484</v>
      </c>
      <c r="K473" s="963">
        <f>SUMIF($B$452:$B$471,J473,$J$452:$J$471)</f>
        <v>869.48601036269417</v>
      </c>
      <c r="L473" s="791" t="s">
        <v>46</v>
      </c>
      <c r="M473" s="964"/>
      <c r="N473" s="964"/>
      <c r="O473" s="965"/>
      <c r="P473" s="964"/>
      <c r="Q473" s="618"/>
      <c r="R473" s="618"/>
      <c r="S473" s="618"/>
      <c r="T473" s="618"/>
      <c r="U473" s="618"/>
      <c r="V473" s="624"/>
      <c r="W473" s="624">
        <f t="shared" si="127"/>
        <v>0</v>
      </c>
      <c r="X473" s="624">
        <f t="shared" si="127"/>
        <v>0</v>
      </c>
      <c r="Y473" s="624">
        <f t="shared" si="127"/>
        <v>0</v>
      </c>
      <c r="Z473" s="624">
        <f t="shared" si="127"/>
        <v>0</v>
      </c>
      <c r="AA473" s="624">
        <f t="shared" si="127"/>
        <v>0</v>
      </c>
      <c r="AB473" s="624">
        <f t="shared" si="127"/>
        <v>0</v>
      </c>
      <c r="AC473" s="624">
        <f t="shared" si="127"/>
        <v>0</v>
      </c>
      <c r="AD473" s="624">
        <f t="shared" si="127"/>
        <v>0</v>
      </c>
      <c r="AE473" s="624">
        <f t="shared" si="127"/>
        <v>0</v>
      </c>
      <c r="AF473" s="944"/>
      <c r="AG473" s="966"/>
      <c r="AH473" s="966"/>
      <c r="AI473" s="966"/>
      <c r="AJ473" s="944"/>
      <c r="AK473" s="944"/>
      <c r="AN473" s="886"/>
      <c r="AQ473" s="886"/>
      <c r="AR473" s="886"/>
    </row>
    <row r="474" spans="1:48" s="390" customFormat="1" ht="22.75" customHeight="1">
      <c r="A474" s="788"/>
      <c r="B474" s="958"/>
      <c r="C474" s="940"/>
      <c r="D474" s="940"/>
      <c r="E474" s="940"/>
      <c r="F474" s="959"/>
      <c r="G474" s="960"/>
      <c r="H474" s="958"/>
      <c r="I474" s="791"/>
      <c r="J474" s="513"/>
      <c r="K474" s="963">
        <f>K473*$Y$889</f>
        <v>536.71975948314457</v>
      </c>
      <c r="L474" s="513" t="s">
        <v>172</v>
      </c>
      <c r="M474" s="722"/>
      <c r="N474" s="722"/>
      <c r="O474" s="957"/>
      <c r="P474" s="722"/>
      <c r="Q474" s="611"/>
      <c r="R474" s="611"/>
      <c r="S474" s="624"/>
      <c r="T474" s="625"/>
      <c r="U474" s="611"/>
      <c r="V474" s="624"/>
      <c r="W474" s="624">
        <f t="shared" si="127"/>
        <v>0</v>
      </c>
      <c r="X474" s="624">
        <f t="shared" si="127"/>
        <v>0</v>
      </c>
      <c r="Y474" s="624">
        <f t="shared" si="127"/>
        <v>0</v>
      </c>
      <c r="Z474" s="624">
        <f t="shared" si="127"/>
        <v>0</v>
      </c>
      <c r="AA474" s="624">
        <f t="shared" si="127"/>
        <v>0</v>
      </c>
      <c r="AB474" s="624">
        <f t="shared" si="127"/>
        <v>0</v>
      </c>
      <c r="AC474" s="624">
        <f t="shared" si="127"/>
        <v>0</v>
      </c>
      <c r="AD474" s="624">
        <f t="shared" si="127"/>
        <v>0</v>
      </c>
      <c r="AE474" s="624">
        <f t="shared" si="127"/>
        <v>0</v>
      </c>
      <c r="AF474" s="471" t="e">
        <f>1/#REF!</f>
        <v>#REF!</v>
      </c>
      <c r="AG474" s="471" t="e">
        <f>#REF!*2.8</f>
        <v>#REF!</v>
      </c>
      <c r="AH474" s="471"/>
      <c r="AI474" s="471"/>
      <c r="AJ474" s="471"/>
      <c r="AK474" s="471"/>
      <c r="AL474" s="471"/>
      <c r="AM474" s="471"/>
      <c r="AN474" s="471"/>
      <c r="AO474" s="471"/>
      <c r="AR474" s="404"/>
      <c r="AU474" s="404"/>
      <c r="AV474" s="404"/>
    </row>
    <row r="475" spans="1:48" s="885" customFormat="1" ht="22.75" customHeight="1">
      <c r="A475" s="788"/>
      <c r="B475" s="958"/>
      <c r="C475" s="940"/>
      <c r="D475" s="940"/>
      <c r="E475" s="940"/>
      <c r="F475" s="959"/>
      <c r="G475" s="960"/>
      <c r="H475" s="962"/>
      <c r="I475" s="802"/>
      <c r="J475" s="958" t="s">
        <v>601</v>
      </c>
      <c r="K475" s="963">
        <f>SUMIF($B$452:$B$471,J475,$J$452:$J$471)</f>
        <v>441.63364827796403</v>
      </c>
      <c r="L475" s="791" t="s">
        <v>46</v>
      </c>
      <c r="M475" s="964"/>
      <c r="N475" s="964"/>
      <c r="O475" s="965"/>
      <c r="P475" s="964"/>
      <c r="Q475" s="618"/>
      <c r="R475" s="618"/>
      <c r="S475" s="618"/>
      <c r="T475" s="618"/>
      <c r="U475" s="618"/>
      <c r="V475" s="624"/>
      <c r="W475" s="624">
        <f t="shared" si="127"/>
        <v>0</v>
      </c>
      <c r="X475" s="624">
        <f t="shared" si="127"/>
        <v>0</v>
      </c>
      <c r="Y475" s="624">
        <f t="shared" si="127"/>
        <v>0</v>
      </c>
      <c r="Z475" s="624">
        <f t="shared" si="127"/>
        <v>0</v>
      </c>
      <c r="AA475" s="624">
        <f t="shared" si="127"/>
        <v>0</v>
      </c>
      <c r="AB475" s="624">
        <f t="shared" si="127"/>
        <v>0</v>
      </c>
      <c r="AC475" s="624">
        <f t="shared" si="127"/>
        <v>0</v>
      </c>
      <c r="AD475" s="624">
        <f t="shared" si="127"/>
        <v>0</v>
      </c>
      <c r="AE475" s="624">
        <f t="shared" si="127"/>
        <v>0</v>
      </c>
      <c r="AF475" s="944"/>
      <c r="AG475" s="966"/>
      <c r="AH475" s="966"/>
      <c r="AI475" s="966"/>
      <c r="AJ475" s="944"/>
      <c r="AK475" s="944"/>
      <c r="AN475" s="886"/>
      <c r="AQ475" s="886"/>
      <c r="AR475" s="886"/>
    </row>
    <row r="476" spans="1:48" s="390" customFormat="1" ht="22.75" customHeight="1">
      <c r="A476" s="788"/>
      <c r="B476" s="958"/>
      <c r="C476" s="940"/>
      <c r="D476" s="940"/>
      <c r="E476" s="940"/>
      <c r="F476" s="959"/>
      <c r="G476" s="960"/>
      <c r="H476" s="958"/>
      <c r="I476" s="791"/>
      <c r="J476" s="513"/>
      <c r="K476" s="963">
        <f>K475*$X$889</f>
        <v>115.17914592434555</v>
      </c>
      <c r="L476" s="513" t="s">
        <v>172</v>
      </c>
      <c r="M476" s="722"/>
      <c r="N476" s="722"/>
      <c r="O476" s="957"/>
      <c r="P476" s="722"/>
      <c r="Q476" s="611"/>
      <c r="R476" s="611"/>
      <c r="S476" s="624"/>
      <c r="T476" s="625"/>
      <c r="U476" s="611"/>
      <c r="V476" s="624"/>
      <c r="W476" s="624">
        <f t="shared" si="127"/>
        <v>0</v>
      </c>
      <c r="X476" s="624">
        <f t="shared" si="127"/>
        <v>0</v>
      </c>
      <c r="Y476" s="624">
        <f t="shared" si="127"/>
        <v>0</v>
      </c>
      <c r="Z476" s="624">
        <f t="shared" si="127"/>
        <v>0</v>
      </c>
      <c r="AA476" s="624">
        <f t="shared" si="127"/>
        <v>0</v>
      </c>
      <c r="AB476" s="624">
        <f t="shared" si="127"/>
        <v>0</v>
      </c>
      <c r="AC476" s="624">
        <f t="shared" si="127"/>
        <v>0</v>
      </c>
      <c r="AD476" s="624">
        <f t="shared" si="127"/>
        <v>0</v>
      </c>
      <c r="AE476" s="624">
        <f t="shared" si="127"/>
        <v>0</v>
      </c>
      <c r="AF476" s="471" t="e">
        <f>1/#REF!</f>
        <v>#REF!</v>
      </c>
      <c r="AG476" s="471" t="e">
        <f>#REF!*2.8</f>
        <v>#REF!</v>
      </c>
      <c r="AH476" s="471"/>
      <c r="AI476" s="471"/>
      <c r="AJ476" s="471"/>
      <c r="AK476" s="471"/>
      <c r="AL476" s="471"/>
      <c r="AM476" s="471"/>
      <c r="AN476" s="471"/>
      <c r="AO476" s="471"/>
      <c r="AR476" s="404"/>
      <c r="AU476" s="404"/>
      <c r="AV476" s="404"/>
    </row>
    <row r="477" spans="1:48" s="390" customFormat="1" ht="22.75" customHeight="1">
      <c r="A477" s="454"/>
      <c r="B477" s="967"/>
      <c r="C477" s="662"/>
      <c r="D477" s="662"/>
      <c r="E477" s="662"/>
      <c r="F477" s="498"/>
      <c r="G477" s="643"/>
      <c r="H477" s="643"/>
      <c r="I477" s="501"/>
      <c r="J477" s="421"/>
      <c r="K477" s="507"/>
      <c r="L477" s="432"/>
      <c r="M477" s="722"/>
      <c r="N477" s="722"/>
      <c r="O477" s="957"/>
      <c r="P477" s="722"/>
      <c r="Q477" s="618"/>
      <c r="R477" s="618"/>
      <c r="S477" s="618"/>
      <c r="T477" s="618"/>
      <c r="U477" s="618"/>
      <c r="V477" s="624"/>
      <c r="W477" s="624">
        <f t="shared" si="127"/>
        <v>0</v>
      </c>
      <c r="X477" s="624">
        <f t="shared" si="127"/>
        <v>0</v>
      </c>
      <c r="Y477" s="624">
        <f t="shared" si="127"/>
        <v>0</v>
      </c>
      <c r="Z477" s="624">
        <f t="shared" si="127"/>
        <v>0</v>
      </c>
      <c r="AA477" s="624">
        <f t="shared" si="127"/>
        <v>0</v>
      </c>
      <c r="AB477" s="624">
        <f t="shared" si="127"/>
        <v>0</v>
      </c>
      <c r="AC477" s="624">
        <f t="shared" si="127"/>
        <v>0</v>
      </c>
      <c r="AD477" s="624">
        <f t="shared" si="127"/>
        <v>0</v>
      </c>
      <c r="AE477" s="624">
        <f t="shared" si="127"/>
        <v>0</v>
      </c>
      <c r="AF477" s="471"/>
      <c r="AG477" s="473"/>
      <c r="AH477" s="471"/>
      <c r="AI477" s="471"/>
      <c r="AJ477" s="471"/>
      <c r="AM477" s="404"/>
      <c r="AP477" s="404"/>
      <c r="AQ477" s="404"/>
    </row>
    <row r="478" spans="1:48" s="476" customFormat="1" ht="21.9" customHeight="1">
      <c r="A478" s="478"/>
      <c r="B478" s="931" t="s">
        <v>405</v>
      </c>
      <c r="C478" s="665"/>
      <c r="D478" s="665"/>
      <c r="E478" s="665"/>
      <c r="F478" s="751"/>
      <c r="G478" s="752"/>
      <c r="H478" s="651"/>
      <c r="I478" s="485"/>
      <c r="J478" s="479"/>
      <c r="K478" s="479"/>
      <c r="L478" s="483"/>
      <c r="M478" s="764"/>
      <c r="N478" s="764"/>
      <c r="O478" s="764"/>
      <c r="P478" s="764"/>
      <c r="Q478" s="919"/>
      <c r="R478" s="919"/>
      <c r="S478" s="757"/>
      <c r="T478" s="920"/>
      <c r="U478" s="921"/>
      <c r="V478" s="757"/>
      <c r="W478" s="757">
        <f t="shared" si="127"/>
        <v>0</v>
      </c>
      <c r="X478" s="757">
        <f t="shared" si="127"/>
        <v>0</v>
      </c>
      <c r="Y478" s="757">
        <f t="shared" si="127"/>
        <v>0</v>
      </c>
      <c r="Z478" s="757">
        <f t="shared" si="127"/>
        <v>0</v>
      </c>
      <c r="AA478" s="757">
        <f t="shared" si="127"/>
        <v>0</v>
      </c>
      <c r="AB478" s="757">
        <f t="shared" si="127"/>
        <v>0</v>
      </c>
      <c r="AC478" s="757">
        <f t="shared" si="127"/>
        <v>0</v>
      </c>
      <c r="AD478" s="757">
        <f t="shared" si="127"/>
        <v>0</v>
      </c>
      <c r="AE478" s="757">
        <f t="shared" si="127"/>
        <v>0</v>
      </c>
      <c r="AF478" s="477"/>
      <c r="AG478" s="475"/>
      <c r="AH478" s="475"/>
      <c r="AI478" s="475"/>
      <c r="AJ478" s="475"/>
      <c r="AM478" s="477"/>
      <c r="AP478" s="477"/>
      <c r="AQ478" s="477"/>
    </row>
    <row r="479" spans="1:48" s="476" customFormat="1" ht="21.9" customHeight="1">
      <c r="A479" s="478"/>
      <c r="B479" s="659" t="s">
        <v>742</v>
      </c>
      <c r="C479" s="665"/>
      <c r="D479" s="665"/>
      <c r="E479" s="665"/>
      <c r="F479" s="751"/>
      <c r="G479" s="752"/>
      <c r="H479" s="914"/>
      <c r="I479" s="753"/>
      <c r="J479" s="479"/>
      <c r="K479" s="479"/>
      <c r="L479" s="483"/>
      <c r="M479" s="764"/>
      <c r="N479" s="764"/>
      <c r="O479" s="764"/>
      <c r="P479" s="764"/>
      <c r="Q479" s="756"/>
      <c r="R479" s="756"/>
      <c r="S479" s="757"/>
      <c r="T479" s="758"/>
      <c r="U479" s="759"/>
      <c r="V479" s="757"/>
      <c r="W479" s="757">
        <f t="shared" si="127"/>
        <v>0</v>
      </c>
      <c r="X479" s="757">
        <f t="shared" si="127"/>
        <v>0</v>
      </c>
      <c r="Y479" s="757">
        <f t="shared" si="127"/>
        <v>0</v>
      </c>
      <c r="Z479" s="757">
        <f t="shared" si="127"/>
        <v>0</v>
      </c>
      <c r="AA479" s="757">
        <f t="shared" si="127"/>
        <v>0</v>
      </c>
      <c r="AB479" s="757">
        <f t="shared" si="127"/>
        <v>0</v>
      </c>
      <c r="AC479" s="757">
        <f t="shared" si="127"/>
        <v>0</v>
      </c>
      <c r="AD479" s="757">
        <f t="shared" si="127"/>
        <v>0</v>
      </c>
      <c r="AE479" s="757">
        <f t="shared" si="127"/>
        <v>0</v>
      </c>
      <c r="AF479" s="477"/>
      <c r="AG479" s="475"/>
      <c r="AH479" s="475"/>
      <c r="AI479" s="475"/>
      <c r="AJ479" s="475"/>
      <c r="AM479" s="477"/>
      <c r="AP479" s="477"/>
      <c r="AQ479" s="477"/>
    </row>
    <row r="480" spans="1:48" s="476" customFormat="1" ht="22.25" customHeight="1">
      <c r="A480" s="478"/>
      <c r="B480" s="657" t="s">
        <v>693</v>
      </c>
      <c r="C480" s="662"/>
      <c r="D480" s="662"/>
      <c r="E480" s="662">
        <v>3</v>
      </c>
      <c r="F480" s="498">
        <f>6+2*0.83</f>
        <v>7.66</v>
      </c>
      <c r="G480" s="642">
        <v>0.83</v>
      </c>
      <c r="H480" s="642">
        <v>0.83</v>
      </c>
      <c r="I480" s="753"/>
      <c r="J480" s="492"/>
      <c r="K480" s="479"/>
      <c r="L480" s="483"/>
      <c r="M480" s="754"/>
      <c r="N480" s="754"/>
      <c r="O480" s="754"/>
      <c r="P480" s="754"/>
      <c r="Q480" s="756"/>
      <c r="R480" s="756"/>
      <c r="S480" s="757"/>
      <c r="T480" s="758"/>
      <c r="U480" s="759"/>
      <c r="V480" s="757"/>
      <c r="W480" s="757">
        <f t="shared" si="127"/>
        <v>0</v>
      </c>
      <c r="X480" s="757">
        <f t="shared" si="127"/>
        <v>0</v>
      </c>
      <c r="Y480" s="757">
        <f t="shared" si="127"/>
        <v>0</v>
      </c>
      <c r="Z480" s="757">
        <f t="shared" si="127"/>
        <v>0</v>
      </c>
      <c r="AA480" s="757">
        <f t="shared" si="127"/>
        <v>0</v>
      </c>
      <c r="AB480" s="757">
        <f t="shared" si="127"/>
        <v>0</v>
      </c>
      <c r="AC480" s="757">
        <f t="shared" si="127"/>
        <v>0</v>
      </c>
      <c r="AD480" s="757">
        <f t="shared" si="127"/>
        <v>0</v>
      </c>
      <c r="AE480" s="757">
        <f t="shared" si="127"/>
        <v>0</v>
      </c>
      <c r="AF480" s="475"/>
      <c r="AG480" s="762"/>
      <c r="AH480" s="475"/>
      <c r="AI480" s="475"/>
      <c r="AJ480" s="475"/>
      <c r="AM480" s="477"/>
      <c r="AP480" s="477"/>
      <c r="AQ480" s="477"/>
    </row>
    <row r="481" spans="1:43" s="776" customFormat="1" ht="22.25" customHeight="1">
      <c r="A481" s="769"/>
      <c r="B481" s="770" t="s">
        <v>784</v>
      </c>
      <c r="C481" s="665"/>
      <c r="D481" s="665"/>
      <c r="E481" s="665"/>
      <c r="F481" s="751"/>
      <c r="G481" s="773"/>
      <c r="H481" s="778"/>
      <c r="I481" s="774"/>
      <c r="J481" s="778"/>
      <c r="K481" s="480"/>
      <c r="L481" s="774"/>
      <c r="M481" s="760"/>
      <c r="N481" s="781"/>
      <c r="O481" s="782"/>
      <c r="P481" s="781"/>
      <c r="Q481" s="756"/>
      <c r="R481" s="756"/>
      <c r="S481" s="757"/>
      <c r="T481" s="758"/>
      <c r="U481" s="759"/>
      <c r="V481" s="757"/>
      <c r="W481" s="757">
        <f t="shared" si="127"/>
        <v>0</v>
      </c>
      <c r="X481" s="757">
        <f t="shared" si="127"/>
        <v>0</v>
      </c>
      <c r="Y481" s="757">
        <f t="shared" si="127"/>
        <v>0</v>
      </c>
      <c r="Z481" s="757">
        <f t="shared" si="127"/>
        <v>0</v>
      </c>
      <c r="AA481" s="757">
        <f t="shared" si="127"/>
        <v>0</v>
      </c>
      <c r="AB481" s="757">
        <f t="shared" si="127"/>
        <v>0</v>
      </c>
      <c r="AC481" s="757">
        <f t="shared" si="127"/>
        <v>0</v>
      </c>
      <c r="AD481" s="757">
        <f t="shared" si="127"/>
        <v>0</v>
      </c>
      <c r="AE481" s="757">
        <f t="shared" si="127"/>
        <v>0</v>
      </c>
      <c r="AF481" s="772" t="e">
        <f>((#REF!+#REF!/12)-(1.5/12)*2)*4+0.25*2</f>
        <v>#REF!</v>
      </c>
      <c r="AI481" s="777"/>
      <c r="AL481" s="777"/>
      <c r="AM481" s="777"/>
    </row>
    <row r="482" spans="1:43" s="776" customFormat="1" ht="22.25" customHeight="1">
      <c r="A482" s="769"/>
      <c r="B482" s="770" t="s">
        <v>483</v>
      </c>
      <c r="C482" s="665"/>
      <c r="D482" s="665">
        <v>2</v>
      </c>
      <c r="E482" s="665">
        <f>E480</f>
        <v>3</v>
      </c>
      <c r="F482" s="751">
        <f>U482</f>
        <v>2.7644010972264552</v>
      </c>
      <c r="G482" s="773"/>
      <c r="H482" s="778"/>
      <c r="I482" s="774"/>
      <c r="J482" s="492">
        <f>IF(I482=0,1,I482)*IF(H482=0,1,H482)*IF(G482=0,1,G482)*IF(F482=0,1,F482)*IF(E482=0,1,E482)*IF(D482=0,1,D482)*IF(C482=0,1,C482)</f>
        <v>16.58640658335873</v>
      </c>
      <c r="K482" s="480"/>
      <c r="L482" s="774"/>
      <c r="M482" s="760">
        <f>G480/3.281</f>
        <v>0.25297165498323682</v>
      </c>
      <c r="N482" s="781">
        <f>F480/3.281</f>
        <v>2.3346540688814383</v>
      </c>
      <c r="O482" s="768">
        <f>E482</f>
        <v>3</v>
      </c>
      <c r="P482" s="781">
        <f>(1.5/12)/3.281</f>
        <v>3.8098140810728431E-2</v>
      </c>
      <c r="Q482" s="756" t="s">
        <v>541</v>
      </c>
      <c r="R482" s="756">
        <v>16</v>
      </c>
      <c r="S482" s="757"/>
      <c r="T482" s="758">
        <f>D482</f>
        <v>2</v>
      </c>
      <c r="U482" s="759">
        <f>N482-2*P482+2*M483</f>
        <v>2.7644010972264552</v>
      </c>
      <c r="V482" s="757">
        <f>T482*U482*O482</f>
        <v>16.58640658335873</v>
      </c>
      <c r="W482" s="757">
        <f t="shared" si="127"/>
        <v>0</v>
      </c>
      <c r="X482" s="757">
        <f t="shared" si="127"/>
        <v>0</v>
      </c>
      <c r="Y482" s="757">
        <f t="shared" si="127"/>
        <v>0</v>
      </c>
      <c r="Z482" s="757">
        <f t="shared" si="127"/>
        <v>0</v>
      </c>
      <c r="AA482" s="757">
        <f t="shared" si="127"/>
        <v>16.58640658335873</v>
      </c>
      <c r="AB482" s="757">
        <f t="shared" si="127"/>
        <v>0</v>
      </c>
      <c r="AC482" s="757">
        <f t="shared" si="127"/>
        <v>0</v>
      </c>
      <c r="AD482" s="757">
        <f t="shared" si="127"/>
        <v>0</v>
      </c>
      <c r="AE482" s="757">
        <f t="shared" si="127"/>
        <v>0</v>
      </c>
      <c r="AF482" s="772" t="e">
        <f>(#REF!+#REF!/12)-0.25+0.5+0.25*2</f>
        <v>#REF!</v>
      </c>
      <c r="AI482" s="777"/>
      <c r="AL482" s="777"/>
      <c r="AM482" s="777"/>
    </row>
    <row r="483" spans="1:43" s="776" customFormat="1" ht="22.25" customHeight="1">
      <c r="A483" s="769"/>
      <c r="B483" s="770" t="s">
        <v>483</v>
      </c>
      <c r="C483" s="665"/>
      <c r="D483" s="665">
        <v>2</v>
      </c>
      <c r="E483" s="665">
        <f>E482</f>
        <v>3</v>
      </c>
      <c r="F483" s="751">
        <f>U483</f>
        <v>2.4794294422432186</v>
      </c>
      <c r="G483" s="773"/>
      <c r="H483" s="778"/>
      <c r="I483" s="774"/>
      <c r="J483" s="492">
        <f>IF(I483=0,1,I483)*IF(H483=0,1,H483)*IF(G483=0,1,G483)*IF(F483=0,1,F483)*IF(E483=0,1,E483)*IF(D483=0,1,D483)*IF(C483=0,1,C483)</f>
        <v>14.876576653459312</v>
      </c>
      <c r="K483" s="480"/>
      <c r="L483" s="774"/>
      <c r="M483" s="760">
        <f>H480/3.281</f>
        <v>0.25297165498323682</v>
      </c>
      <c r="N483" s="781"/>
      <c r="O483" s="768">
        <f>E483</f>
        <v>3</v>
      </c>
      <c r="P483" s="781">
        <f>(1.5/12)/3.281</f>
        <v>3.8098140810728431E-2</v>
      </c>
      <c r="Q483" s="756" t="s">
        <v>457</v>
      </c>
      <c r="R483" s="756">
        <v>16</v>
      </c>
      <c r="S483" s="757"/>
      <c r="T483" s="758">
        <f>D483</f>
        <v>2</v>
      </c>
      <c r="U483" s="759">
        <f>N482-2*P483-2*R483/1000+2*((M483/2))</f>
        <v>2.4794294422432186</v>
      </c>
      <c r="V483" s="757">
        <f>T483*U483*O483</f>
        <v>14.876576653459312</v>
      </c>
      <c r="W483" s="757">
        <f t="shared" si="127"/>
        <v>0</v>
      </c>
      <c r="X483" s="757">
        <f t="shared" si="127"/>
        <v>0</v>
      </c>
      <c r="Y483" s="757">
        <f t="shared" si="127"/>
        <v>0</v>
      </c>
      <c r="Z483" s="757">
        <f t="shared" si="127"/>
        <v>0</v>
      </c>
      <c r="AA483" s="757">
        <f t="shared" si="127"/>
        <v>14.876576653459312</v>
      </c>
      <c r="AB483" s="757">
        <f t="shared" si="127"/>
        <v>0</v>
      </c>
      <c r="AC483" s="757">
        <f t="shared" si="127"/>
        <v>0</v>
      </c>
      <c r="AD483" s="757">
        <f t="shared" si="127"/>
        <v>0</v>
      </c>
      <c r="AE483" s="757">
        <f t="shared" si="127"/>
        <v>0</v>
      </c>
      <c r="AF483" s="772" t="e">
        <f>(#REF!+#REF!/12)-0.25+0.5+0.25*2</f>
        <v>#REF!</v>
      </c>
      <c r="AI483" s="777"/>
      <c r="AL483" s="777"/>
      <c r="AM483" s="777"/>
    </row>
    <row r="484" spans="1:43" s="776" customFormat="1" ht="22.25" customHeight="1">
      <c r="A484" s="769"/>
      <c r="B484" s="770" t="s">
        <v>483</v>
      </c>
      <c r="C484" s="665"/>
      <c r="D484" s="665">
        <v>1</v>
      </c>
      <c r="E484" s="665">
        <f>E483</f>
        <v>3</v>
      </c>
      <c r="F484" s="751">
        <f>U484</f>
        <v>2.5743793558874324</v>
      </c>
      <c r="G484" s="773"/>
      <c r="H484" s="778"/>
      <c r="I484" s="774"/>
      <c r="J484" s="492">
        <f>IF(I484=0,1,I484)*IF(H484=0,1,H484)*IF(G484=0,1,G484)*IF(F484=0,1,F484)*IF(E484=0,1,E484)*IF(D484=0,1,D484)*IF(C484=0,1,C484)</f>
        <v>7.7231380676622976</v>
      </c>
      <c r="K484" s="480"/>
      <c r="L484" s="774"/>
      <c r="M484" s="760"/>
      <c r="N484" s="781"/>
      <c r="O484" s="768">
        <f>E484</f>
        <v>3</v>
      </c>
      <c r="P484" s="781">
        <f>(1.5/12)/3.281</f>
        <v>3.8098140810728431E-2</v>
      </c>
      <c r="Q484" s="756" t="s">
        <v>786</v>
      </c>
      <c r="R484" s="756">
        <v>16</v>
      </c>
      <c r="S484" s="757"/>
      <c r="T484" s="758">
        <f>D484</f>
        <v>1</v>
      </c>
      <c r="U484" s="759">
        <f>(N482/3+M483+2*8*R484/1000)*2</f>
        <v>2.5743793558874324</v>
      </c>
      <c r="V484" s="757">
        <f>T484*U484*O484</f>
        <v>7.7231380676622976</v>
      </c>
      <c r="W484" s="757">
        <f t="shared" ref="W484:AE484" si="128">IF($R484=W$5,$V484,0)</f>
        <v>0</v>
      </c>
      <c r="X484" s="757">
        <f t="shared" si="128"/>
        <v>0</v>
      </c>
      <c r="Y484" s="757">
        <f t="shared" si="128"/>
        <v>0</v>
      </c>
      <c r="Z484" s="757">
        <f t="shared" si="128"/>
        <v>0</v>
      </c>
      <c r="AA484" s="757">
        <f t="shared" si="128"/>
        <v>7.7231380676622976</v>
      </c>
      <c r="AB484" s="757">
        <f t="shared" si="128"/>
        <v>0</v>
      </c>
      <c r="AC484" s="757">
        <f t="shared" si="128"/>
        <v>0</v>
      </c>
      <c r="AD484" s="757">
        <f t="shared" si="128"/>
        <v>0</v>
      </c>
      <c r="AE484" s="757">
        <f t="shared" si="128"/>
        <v>0</v>
      </c>
      <c r="AF484" s="772" t="e">
        <f>(#REF!+#REF!/12)-0.25+0.5+0.25*2</f>
        <v>#REF!</v>
      </c>
      <c r="AI484" s="777"/>
      <c r="AL484" s="777"/>
      <c r="AM484" s="777"/>
    </row>
    <row r="485" spans="1:43" s="776" customFormat="1" ht="22.25" customHeight="1">
      <c r="A485" s="769"/>
      <c r="B485" s="770" t="s">
        <v>542</v>
      </c>
      <c r="C485" s="665"/>
      <c r="D485" s="665"/>
      <c r="E485" s="665"/>
      <c r="F485" s="751"/>
      <c r="G485" s="773"/>
      <c r="H485" s="778"/>
      <c r="I485" s="774"/>
      <c r="J485" s="778"/>
      <c r="K485" s="480"/>
      <c r="L485" s="774"/>
      <c r="M485" s="760"/>
      <c r="N485" s="781"/>
      <c r="O485" s="782"/>
      <c r="P485" s="781"/>
      <c r="Q485" s="756"/>
      <c r="R485" s="756"/>
      <c r="S485" s="757"/>
      <c r="T485" s="758"/>
      <c r="U485" s="759"/>
      <c r="V485" s="757"/>
      <c r="W485" s="757">
        <f t="shared" si="127"/>
        <v>0</v>
      </c>
      <c r="X485" s="757">
        <f t="shared" si="127"/>
        <v>0</v>
      </c>
      <c r="Y485" s="757">
        <f t="shared" si="127"/>
        <v>0</v>
      </c>
      <c r="Z485" s="757">
        <f t="shared" si="127"/>
        <v>0</v>
      </c>
      <c r="AA485" s="757">
        <f t="shared" si="127"/>
        <v>0</v>
      </c>
      <c r="AB485" s="757">
        <f t="shared" si="127"/>
        <v>0</v>
      </c>
      <c r="AC485" s="757">
        <f t="shared" si="127"/>
        <v>0</v>
      </c>
      <c r="AD485" s="757">
        <f t="shared" si="127"/>
        <v>0</v>
      </c>
      <c r="AE485" s="757">
        <f t="shared" si="127"/>
        <v>0</v>
      </c>
      <c r="AF485" s="772" t="e">
        <f>((#REF!+#REF!/12)-(1.5/12)*2)*4+0.25*2</f>
        <v>#REF!</v>
      </c>
      <c r="AI485" s="777"/>
      <c r="AL485" s="777"/>
      <c r="AM485" s="777"/>
    </row>
    <row r="486" spans="1:43" s="776" customFormat="1" ht="22.25" customHeight="1">
      <c r="A486" s="769"/>
      <c r="B486" s="770" t="s">
        <v>484</v>
      </c>
      <c r="C486" s="665"/>
      <c r="D486" s="665">
        <f>T486</f>
        <v>11</v>
      </c>
      <c r="E486" s="665">
        <f>E482</f>
        <v>3</v>
      </c>
      <c r="F486" s="751">
        <f>U486</f>
        <v>0.86710149344711984</v>
      </c>
      <c r="G486" s="779"/>
      <c r="H486" s="780"/>
      <c r="I486" s="774"/>
      <c r="J486" s="492">
        <f>IF(I486=0,1,I486)*IF(H486=0,1,H486)*IF(G486=0,1,G486)*IF(F486=0,1,F486)*IF(E486=0,1,E486)*IF(D486=0,1,D486)*IF(C486=0,1,C486)</f>
        <v>28.614349283754954</v>
      </c>
      <c r="K486" s="480"/>
      <c r="L486" s="774"/>
      <c r="N486" s="781"/>
      <c r="O486" s="782">
        <f>O482</f>
        <v>3</v>
      </c>
      <c r="P486" s="781"/>
      <c r="Q486" s="756" t="s">
        <v>463</v>
      </c>
      <c r="R486" s="756">
        <v>10</v>
      </c>
      <c r="S486" s="757">
        <f>4/(12*3.281)</f>
        <v>0.1015950421619425</v>
      </c>
      <c r="T486" s="758">
        <f>2*(ROUND(2*M483/S486,0))+1</f>
        <v>11</v>
      </c>
      <c r="U486" s="759">
        <f>2*(M482+M483)-8*P482+2*8*R486/1000</f>
        <v>0.86710149344711984</v>
      </c>
      <c r="V486" s="757">
        <f>T486*U486*O486</f>
        <v>28.614349283754954</v>
      </c>
      <c r="W486" s="757">
        <f t="shared" si="127"/>
        <v>0</v>
      </c>
      <c r="X486" s="757">
        <f t="shared" si="127"/>
        <v>0</v>
      </c>
      <c r="Y486" s="757">
        <f t="shared" si="127"/>
        <v>28.614349283754954</v>
      </c>
      <c r="Z486" s="757">
        <f t="shared" si="127"/>
        <v>0</v>
      </c>
      <c r="AA486" s="757">
        <f t="shared" si="127"/>
        <v>0</v>
      </c>
      <c r="AB486" s="757">
        <f t="shared" si="127"/>
        <v>0</v>
      </c>
      <c r="AC486" s="757">
        <f t="shared" si="127"/>
        <v>0</v>
      </c>
      <c r="AD486" s="757">
        <f t="shared" si="127"/>
        <v>0</v>
      </c>
      <c r="AE486" s="757">
        <f t="shared" si="127"/>
        <v>0</v>
      </c>
      <c r="AF486" s="777"/>
      <c r="AI486" s="777"/>
      <c r="AL486" s="777"/>
      <c r="AM486" s="777"/>
    </row>
    <row r="487" spans="1:43" s="776" customFormat="1" ht="22.25" customHeight="1">
      <c r="A487" s="769"/>
      <c r="B487" s="770" t="s">
        <v>484</v>
      </c>
      <c r="C487" s="665"/>
      <c r="D487" s="665">
        <f>T487</f>
        <v>10</v>
      </c>
      <c r="E487" s="665">
        <f>E486</f>
        <v>3</v>
      </c>
      <c r="F487" s="751">
        <f>U487</f>
        <v>0.86710149344711984</v>
      </c>
      <c r="G487" s="779"/>
      <c r="H487" s="780"/>
      <c r="I487" s="774"/>
      <c r="J487" s="492">
        <f>IF(I487=0,1,I487)*IF(H487=0,1,H487)*IF(G487=0,1,G487)*IF(F487=0,1,F487)*IF(E487=0,1,E487)*IF(D487=0,1,D487)*IF(C487=0,1,C487)</f>
        <v>26.013044803413592</v>
      </c>
      <c r="K487" s="480"/>
      <c r="L487" s="774"/>
      <c r="M487" s="760"/>
      <c r="N487" s="781"/>
      <c r="O487" s="782">
        <f>O486</f>
        <v>3</v>
      </c>
      <c r="P487" s="781"/>
      <c r="Q487" s="756" t="s">
        <v>463</v>
      </c>
      <c r="R487" s="756">
        <v>10</v>
      </c>
      <c r="S487" s="757">
        <f>6/(12*3.281)</f>
        <v>0.15239256324291375</v>
      </c>
      <c r="T487" s="758">
        <f>(ROUND((N482-4*M483)/S487,0))+1</f>
        <v>10</v>
      </c>
      <c r="U487" s="759">
        <f>2*(M482+M483)-8*P482+2*8*R487/1000</f>
        <v>0.86710149344711984</v>
      </c>
      <c r="V487" s="757">
        <f>T487*U487*O487</f>
        <v>26.013044803413596</v>
      </c>
      <c r="W487" s="757">
        <f t="shared" si="127"/>
        <v>0</v>
      </c>
      <c r="X487" s="757">
        <f t="shared" si="127"/>
        <v>0</v>
      </c>
      <c r="Y487" s="757">
        <f t="shared" si="127"/>
        <v>26.013044803413596</v>
      </c>
      <c r="Z487" s="757">
        <f t="shared" si="127"/>
        <v>0</v>
      </c>
      <c r="AA487" s="757">
        <f t="shared" si="127"/>
        <v>0</v>
      </c>
      <c r="AB487" s="757">
        <f t="shared" si="127"/>
        <v>0</v>
      </c>
      <c r="AC487" s="757">
        <f t="shared" si="127"/>
        <v>0</v>
      </c>
      <c r="AD487" s="757">
        <f t="shared" si="127"/>
        <v>0</v>
      </c>
      <c r="AE487" s="757">
        <f t="shared" si="127"/>
        <v>0</v>
      </c>
      <c r="AF487" s="777"/>
      <c r="AI487" s="777"/>
      <c r="AL487" s="777"/>
      <c r="AM487" s="777"/>
    </row>
    <row r="488" spans="1:43" s="390" customFormat="1" ht="22.25" customHeight="1">
      <c r="A488" s="454"/>
      <c r="B488" s="657" t="s">
        <v>743</v>
      </c>
      <c r="C488" s="662"/>
      <c r="D488" s="662"/>
      <c r="E488" s="662">
        <v>2</v>
      </c>
      <c r="F488" s="498">
        <f>5+2*0.83</f>
        <v>6.66</v>
      </c>
      <c r="G488" s="642">
        <f>G480</f>
        <v>0.83</v>
      </c>
      <c r="H488" s="642">
        <f>H480</f>
        <v>0.83</v>
      </c>
      <c r="I488" s="499"/>
      <c r="J488" s="507"/>
      <c r="K488" s="455"/>
      <c r="L488" s="312"/>
      <c r="M488" s="722"/>
      <c r="N488" s="722"/>
      <c r="O488" s="722"/>
      <c r="P488" s="722"/>
      <c r="Q488" s="611"/>
      <c r="R488" s="611"/>
      <c r="S488" s="624"/>
      <c r="T488" s="625"/>
      <c r="U488" s="626"/>
      <c r="V488" s="624"/>
      <c r="W488" s="624">
        <f t="shared" ref="W488:AE488" si="129">IF($R488=W$5,$V488,0)</f>
        <v>0</v>
      </c>
      <c r="X488" s="624">
        <f t="shared" si="129"/>
        <v>0</v>
      </c>
      <c r="Y488" s="624">
        <f t="shared" si="129"/>
        <v>0</v>
      </c>
      <c r="Z488" s="624">
        <f t="shared" si="129"/>
        <v>0</v>
      </c>
      <c r="AA488" s="624">
        <f t="shared" si="129"/>
        <v>0</v>
      </c>
      <c r="AB488" s="624">
        <f t="shared" si="129"/>
        <v>0</v>
      </c>
      <c r="AC488" s="624">
        <f t="shared" si="129"/>
        <v>0</v>
      </c>
      <c r="AD488" s="624">
        <f t="shared" si="129"/>
        <v>0</v>
      </c>
      <c r="AE488" s="624">
        <f t="shared" si="129"/>
        <v>0</v>
      </c>
      <c r="AF488" s="471"/>
      <c r="AG488" s="473"/>
      <c r="AH488" s="471"/>
      <c r="AI488" s="471"/>
      <c r="AJ488" s="471"/>
      <c r="AM488" s="404"/>
      <c r="AP488" s="404"/>
      <c r="AQ488" s="404"/>
    </row>
    <row r="489" spans="1:43" s="776" customFormat="1" ht="22.25" customHeight="1">
      <c r="A489" s="769"/>
      <c r="B489" s="770" t="s">
        <v>784</v>
      </c>
      <c r="C489" s="665"/>
      <c r="D489" s="665"/>
      <c r="E489" s="665"/>
      <c r="F489" s="751"/>
      <c r="G489" s="773"/>
      <c r="H489" s="778"/>
      <c r="I489" s="774"/>
      <c r="J489" s="778"/>
      <c r="K489" s="480"/>
      <c r="L489" s="774"/>
      <c r="M489" s="760"/>
      <c r="N489" s="781"/>
      <c r="O489" s="782"/>
      <c r="P489" s="781"/>
      <c r="Q489" s="756"/>
      <c r="R489" s="756"/>
      <c r="S489" s="757"/>
      <c r="T489" s="758"/>
      <c r="U489" s="759"/>
      <c r="V489" s="757"/>
      <c r="W489" s="757">
        <f t="shared" ref="W489:AE505" si="130">IF($R489=W$5,$V489,0)</f>
        <v>0</v>
      </c>
      <c r="X489" s="757">
        <f t="shared" si="130"/>
        <v>0</v>
      </c>
      <c r="Y489" s="757">
        <f t="shared" si="130"/>
        <v>0</v>
      </c>
      <c r="Z489" s="757">
        <f t="shared" si="130"/>
        <v>0</v>
      </c>
      <c r="AA489" s="757">
        <f t="shared" si="130"/>
        <v>0</v>
      </c>
      <c r="AB489" s="757">
        <f t="shared" si="130"/>
        <v>0</v>
      </c>
      <c r="AC489" s="757">
        <f t="shared" si="130"/>
        <v>0</v>
      </c>
      <c r="AD489" s="757">
        <f t="shared" si="130"/>
        <v>0</v>
      </c>
      <c r="AE489" s="757">
        <f t="shared" si="130"/>
        <v>0</v>
      </c>
      <c r="AF489" s="772" t="e">
        <f>((#REF!+#REF!/12)-(1.5/12)*2)*4+0.25*2</f>
        <v>#REF!</v>
      </c>
      <c r="AI489" s="777"/>
      <c r="AL489" s="777"/>
      <c r="AM489" s="777"/>
    </row>
    <row r="490" spans="1:43" s="776" customFormat="1" ht="22.25" customHeight="1">
      <c r="A490" s="769"/>
      <c r="B490" s="770" t="s">
        <v>483</v>
      </c>
      <c r="C490" s="665"/>
      <c r="D490" s="665">
        <v>2</v>
      </c>
      <c r="E490" s="665">
        <f>E488</f>
        <v>2</v>
      </c>
      <c r="F490" s="751">
        <f>U490</f>
        <v>2.4596159707406278</v>
      </c>
      <c r="G490" s="773"/>
      <c r="H490" s="778"/>
      <c r="I490" s="774"/>
      <c r="J490" s="492">
        <f>IF(I490=0,1,I490)*IF(H490=0,1,H490)*IF(G490=0,1,G490)*IF(F490=0,1,F490)*IF(E490=0,1,E490)*IF(D490=0,1,D490)*IF(C490=0,1,C490)</f>
        <v>9.8384638829625111</v>
      </c>
      <c r="K490" s="480"/>
      <c r="L490" s="774"/>
      <c r="M490" s="760">
        <f>G488/3.281</f>
        <v>0.25297165498323682</v>
      </c>
      <c r="N490" s="781">
        <f>F488/3.281</f>
        <v>2.0298689423956109</v>
      </c>
      <c r="O490" s="768">
        <f>E490</f>
        <v>2</v>
      </c>
      <c r="P490" s="781">
        <f>(1.5/12)/3.281</f>
        <v>3.8098140810728431E-2</v>
      </c>
      <c r="Q490" s="756" t="s">
        <v>541</v>
      </c>
      <c r="R490" s="756">
        <v>16</v>
      </c>
      <c r="S490" s="757"/>
      <c r="T490" s="758">
        <f>D490</f>
        <v>2</v>
      </c>
      <c r="U490" s="759">
        <f>N490-2*P490+2*M491</f>
        <v>2.4596159707406278</v>
      </c>
      <c r="V490" s="757">
        <f>T490*U490*O490</f>
        <v>9.8384638829625111</v>
      </c>
      <c r="W490" s="757">
        <f t="shared" si="130"/>
        <v>0</v>
      </c>
      <c r="X490" s="757">
        <f t="shared" si="130"/>
        <v>0</v>
      </c>
      <c r="Y490" s="757">
        <f t="shared" si="130"/>
        <v>0</v>
      </c>
      <c r="Z490" s="757">
        <f t="shared" si="130"/>
        <v>0</v>
      </c>
      <c r="AA490" s="757">
        <f t="shared" si="130"/>
        <v>9.8384638829625111</v>
      </c>
      <c r="AB490" s="757">
        <f t="shared" si="130"/>
        <v>0</v>
      </c>
      <c r="AC490" s="757">
        <f t="shared" si="130"/>
        <v>0</v>
      </c>
      <c r="AD490" s="757">
        <f t="shared" si="130"/>
        <v>0</v>
      </c>
      <c r="AE490" s="757">
        <f t="shared" si="130"/>
        <v>0</v>
      </c>
      <c r="AF490" s="772" t="e">
        <f>(#REF!+#REF!/12)-0.25+0.5+0.25*2</f>
        <v>#REF!</v>
      </c>
      <c r="AI490" s="777"/>
      <c r="AL490" s="777"/>
      <c r="AM490" s="777"/>
    </row>
    <row r="491" spans="1:43" s="776" customFormat="1" ht="22.25" customHeight="1">
      <c r="A491" s="769"/>
      <c r="B491" s="770" t="s">
        <v>483</v>
      </c>
      <c r="C491" s="665"/>
      <c r="D491" s="665">
        <v>2</v>
      </c>
      <c r="E491" s="665">
        <f>E490</f>
        <v>2</v>
      </c>
      <c r="F491" s="751">
        <f>U491</f>
        <v>2.1746443157573907</v>
      </c>
      <c r="G491" s="773"/>
      <c r="H491" s="778"/>
      <c r="I491" s="774"/>
      <c r="J491" s="492">
        <f>IF(I491=0,1,I491)*IF(H491=0,1,H491)*IF(G491=0,1,G491)*IF(F491=0,1,F491)*IF(E491=0,1,E491)*IF(D491=0,1,D491)*IF(C491=0,1,C491)</f>
        <v>8.6985772630295628</v>
      </c>
      <c r="K491" s="480"/>
      <c r="L491" s="774"/>
      <c r="M491" s="760">
        <f>H488/3.281</f>
        <v>0.25297165498323682</v>
      </c>
      <c r="N491" s="781"/>
      <c r="O491" s="768">
        <f>E491</f>
        <v>2</v>
      </c>
      <c r="P491" s="781">
        <f>(1.5/12)/3.281</f>
        <v>3.8098140810728431E-2</v>
      </c>
      <c r="Q491" s="756" t="s">
        <v>457</v>
      </c>
      <c r="R491" s="756">
        <v>16</v>
      </c>
      <c r="S491" s="757"/>
      <c r="T491" s="758">
        <f>D491</f>
        <v>2</v>
      </c>
      <c r="U491" s="759">
        <f>N490-2*P491-2*R491/1000+2*((M491/2))</f>
        <v>2.1746443157573907</v>
      </c>
      <c r="V491" s="757">
        <f>T491*U491*O491</f>
        <v>8.6985772630295628</v>
      </c>
      <c r="W491" s="757">
        <f t="shared" si="130"/>
        <v>0</v>
      </c>
      <c r="X491" s="757">
        <f t="shared" si="130"/>
        <v>0</v>
      </c>
      <c r="Y491" s="757">
        <f t="shared" si="130"/>
        <v>0</v>
      </c>
      <c r="Z491" s="757">
        <f t="shared" si="130"/>
        <v>0</v>
      </c>
      <c r="AA491" s="757">
        <f t="shared" si="130"/>
        <v>8.6985772630295628</v>
      </c>
      <c r="AB491" s="757">
        <f t="shared" si="130"/>
        <v>0</v>
      </c>
      <c r="AC491" s="757">
        <f t="shared" si="130"/>
        <v>0</v>
      </c>
      <c r="AD491" s="757">
        <f t="shared" si="130"/>
        <v>0</v>
      </c>
      <c r="AE491" s="757">
        <f t="shared" si="130"/>
        <v>0</v>
      </c>
      <c r="AF491" s="772" t="e">
        <f>(#REF!+#REF!/12)-0.25+0.5+0.25*2</f>
        <v>#REF!</v>
      </c>
      <c r="AI491" s="777"/>
      <c r="AL491" s="777"/>
      <c r="AM491" s="777"/>
    </row>
    <row r="492" spans="1:43" s="776" customFormat="1" ht="22.25" customHeight="1">
      <c r="A492" s="769"/>
      <c r="B492" s="770" t="s">
        <v>483</v>
      </c>
      <c r="C492" s="665"/>
      <c r="D492" s="665">
        <v>1</v>
      </c>
      <c r="E492" s="665">
        <f>E491</f>
        <v>2</v>
      </c>
      <c r="F492" s="751">
        <f>U492</f>
        <v>2.3711892715635479</v>
      </c>
      <c r="G492" s="773"/>
      <c r="H492" s="778"/>
      <c r="I492" s="774"/>
      <c r="J492" s="492">
        <f>IF(I492=0,1,I492)*IF(H492=0,1,H492)*IF(G492=0,1,G492)*IF(F492=0,1,F492)*IF(E492=0,1,E492)*IF(D492=0,1,D492)*IF(C492=0,1,C492)</f>
        <v>4.7423785431270957</v>
      </c>
      <c r="K492" s="480"/>
      <c r="L492" s="774"/>
      <c r="M492" s="760"/>
      <c r="N492" s="781"/>
      <c r="O492" s="768">
        <f>E492</f>
        <v>2</v>
      </c>
      <c r="P492" s="781">
        <f>(1.5/12)/3.281</f>
        <v>3.8098140810728431E-2</v>
      </c>
      <c r="Q492" s="756" t="s">
        <v>786</v>
      </c>
      <c r="R492" s="756">
        <v>16</v>
      </c>
      <c r="S492" s="757"/>
      <c r="T492" s="758">
        <f>D492</f>
        <v>1</v>
      </c>
      <c r="U492" s="759">
        <f>(N490/3+M491+2*8*R492/1000)*2</f>
        <v>2.3711892715635479</v>
      </c>
      <c r="V492" s="757">
        <f>T492*U492*O492</f>
        <v>4.7423785431270957</v>
      </c>
      <c r="W492" s="757">
        <f t="shared" si="130"/>
        <v>0</v>
      </c>
      <c r="X492" s="757">
        <f t="shared" si="130"/>
        <v>0</v>
      </c>
      <c r="Y492" s="757">
        <f t="shared" si="130"/>
        <v>0</v>
      </c>
      <c r="Z492" s="757">
        <f t="shared" si="130"/>
        <v>0</v>
      </c>
      <c r="AA492" s="757">
        <f t="shared" si="130"/>
        <v>4.7423785431270957</v>
      </c>
      <c r="AB492" s="757">
        <f t="shared" si="130"/>
        <v>0</v>
      </c>
      <c r="AC492" s="757">
        <f t="shared" si="130"/>
        <v>0</v>
      </c>
      <c r="AD492" s="757">
        <f t="shared" si="130"/>
        <v>0</v>
      </c>
      <c r="AE492" s="757">
        <f t="shared" si="130"/>
        <v>0</v>
      </c>
      <c r="AF492" s="772" t="e">
        <f>(#REF!+#REF!/12)-0.25+0.5+0.25*2</f>
        <v>#REF!</v>
      </c>
      <c r="AI492" s="777"/>
      <c r="AL492" s="777"/>
      <c r="AM492" s="777"/>
    </row>
    <row r="493" spans="1:43" s="776" customFormat="1" ht="22.25" customHeight="1">
      <c r="A493" s="769"/>
      <c r="B493" s="770" t="s">
        <v>542</v>
      </c>
      <c r="C493" s="665"/>
      <c r="D493" s="665"/>
      <c r="E493" s="665"/>
      <c r="F493" s="751"/>
      <c r="G493" s="773"/>
      <c r="H493" s="778"/>
      <c r="I493" s="774"/>
      <c r="J493" s="778"/>
      <c r="K493" s="480"/>
      <c r="L493" s="774"/>
      <c r="M493" s="760"/>
      <c r="N493" s="781"/>
      <c r="O493" s="782"/>
      <c r="P493" s="781"/>
      <c r="Q493" s="756"/>
      <c r="R493" s="756"/>
      <c r="S493" s="757"/>
      <c r="T493" s="758"/>
      <c r="U493" s="759"/>
      <c r="V493" s="757"/>
      <c r="W493" s="757">
        <f t="shared" si="130"/>
        <v>0</v>
      </c>
      <c r="X493" s="757">
        <f t="shared" si="130"/>
        <v>0</v>
      </c>
      <c r="Y493" s="757">
        <f t="shared" si="130"/>
        <v>0</v>
      </c>
      <c r="Z493" s="757">
        <f t="shared" si="130"/>
        <v>0</v>
      </c>
      <c r="AA493" s="757">
        <f t="shared" si="130"/>
        <v>0</v>
      </c>
      <c r="AB493" s="757">
        <f t="shared" si="130"/>
        <v>0</v>
      </c>
      <c r="AC493" s="757">
        <f t="shared" si="130"/>
        <v>0</v>
      </c>
      <c r="AD493" s="757">
        <f t="shared" si="130"/>
        <v>0</v>
      </c>
      <c r="AE493" s="757">
        <f t="shared" si="130"/>
        <v>0</v>
      </c>
      <c r="AF493" s="772" t="e">
        <f>((#REF!+#REF!/12)-(1.5/12)*2)*4+0.25*2</f>
        <v>#REF!</v>
      </c>
      <c r="AI493" s="777"/>
      <c r="AL493" s="777"/>
      <c r="AM493" s="777"/>
    </row>
    <row r="494" spans="1:43" s="776" customFormat="1" ht="22.25" customHeight="1">
      <c r="A494" s="769"/>
      <c r="B494" s="770" t="s">
        <v>484</v>
      </c>
      <c r="C494" s="665"/>
      <c r="D494" s="665">
        <f>T494</f>
        <v>11</v>
      </c>
      <c r="E494" s="665">
        <f>E490</f>
        <v>2</v>
      </c>
      <c r="F494" s="751">
        <f>U494</f>
        <v>0.86710149344711984</v>
      </c>
      <c r="G494" s="779"/>
      <c r="H494" s="780"/>
      <c r="I494" s="774"/>
      <c r="J494" s="492">
        <f>IF(I494=0,1,I494)*IF(H494=0,1,H494)*IF(G494=0,1,G494)*IF(F494=0,1,F494)*IF(E494=0,1,E494)*IF(D494=0,1,D494)*IF(C494=0,1,C494)</f>
        <v>19.076232855836636</v>
      </c>
      <c r="K494" s="480"/>
      <c r="L494" s="774"/>
      <c r="N494" s="781"/>
      <c r="O494" s="782">
        <f>O490</f>
        <v>2</v>
      </c>
      <c r="P494" s="781"/>
      <c r="Q494" s="756" t="s">
        <v>463</v>
      </c>
      <c r="R494" s="756">
        <v>10</v>
      </c>
      <c r="S494" s="757">
        <f>4/(12*3.281)</f>
        <v>0.1015950421619425</v>
      </c>
      <c r="T494" s="758">
        <f>2*(ROUND(2*M491/S494,0))+1</f>
        <v>11</v>
      </c>
      <c r="U494" s="759">
        <f>2*(M490+M491)-8*P490+2*8*R494/1000</f>
        <v>0.86710149344711984</v>
      </c>
      <c r="V494" s="757">
        <f>T494*U494*O494</f>
        <v>19.076232855836636</v>
      </c>
      <c r="W494" s="757">
        <f t="shared" si="130"/>
        <v>0</v>
      </c>
      <c r="X494" s="757">
        <f t="shared" si="130"/>
        <v>0</v>
      </c>
      <c r="Y494" s="757">
        <f t="shared" si="130"/>
        <v>19.076232855836636</v>
      </c>
      <c r="Z494" s="757">
        <f t="shared" si="130"/>
        <v>0</v>
      </c>
      <c r="AA494" s="757">
        <f t="shared" si="130"/>
        <v>0</v>
      </c>
      <c r="AB494" s="757">
        <f t="shared" si="130"/>
        <v>0</v>
      </c>
      <c r="AC494" s="757">
        <f t="shared" si="130"/>
        <v>0</v>
      </c>
      <c r="AD494" s="757">
        <f t="shared" si="130"/>
        <v>0</v>
      </c>
      <c r="AE494" s="757">
        <f t="shared" si="130"/>
        <v>0</v>
      </c>
      <c r="AF494" s="777"/>
      <c r="AI494" s="777"/>
      <c r="AL494" s="777"/>
      <c r="AM494" s="777"/>
    </row>
    <row r="495" spans="1:43" s="776" customFormat="1" ht="22.25" customHeight="1">
      <c r="A495" s="769"/>
      <c r="B495" s="770" t="s">
        <v>484</v>
      </c>
      <c r="C495" s="665"/>
      <c r="D495" s="665">
        <f>T495</f>
        <v>8</v>
      </c>
      <c r="E495" s="665">
        <f>E494</f>
        <v>2</v>
      </c>
      <c r="F495" s="751">
        <f>U495</f>
        <v>0.86710149344711984</v>
      </c>
      <c r="G495" s="779"/>
      <c r="H495" s="780"/>
      <c r="I495" s="774"/>
      <c r="J495" s="492">
        <f>IF(I495=0,1,I495)*IF(H495=0,1,H495)*IF(G495=0,1,G495)*IF(F495=0,1,F495)*IF(E495=0,1,E495)*IF(D495=0,1,D495)*IF(C495=0,1,C495)</f>
        <v>13.873623895153917</v>
      </c>
      <c r="K495" s="480"/>
      <c r="L495" s="774"/>
      <c r="M495" s="760"/>
      <c r="N495" s="781"/>
      <c r="O495" s="782">
        <f>O494</f>
        <v>2</v>
      </c>
      <c r="P495" s="781"/>
      <c r="Q495" s="756" t="s">
        <v>463</v>
      </c>
      <c r="R495" s="756">
        <v>10</v>
      </c>
      <c r="S495" s="757">
        <f>6/(12*3.281)</f>
        <v>0.15239256324291375</v>
      </c>
      <c r="T495" s="758">
        <f>(ROUND((N490-4*M491)/S495,0))+1</f>
        <v>8</v>
      </c>
      <c r="U495" s="759">
        <f>2*(M490+M491)-8*P490+2*8*R495/1000</f>
        <v>0.86710149344711984</v>
      </c>
      <c r="V495" s="757">
        <f>T495*U495*O495</f>
        <v>13.873623895153917</v>
      </c>
      <c r="W495" s="757">
        <f t="shared" si="130"/>
        <v>0</v>
      </c>
      <c r="X495" s="757">
        <f t="shared" si="130"/>
        <v>0</v>
      </c>
      <c r="Y495" s="757">
        <f t="shared" si="130"/>
        <v>13.873623895153917</v>
      </c>
      <c r="Z495" s="757">
        <f t="shared" si="130"/>
        <v>0</v>
      </c>
      <c r="AA495" s="757">
        <f t="shared" si="130"/>
        <v>0</v>
      </c>
      <c r="AB495" s="757">
        <f t="shared" si="130"/>
        <v>0</v>
      </c>
      <c r="AC495" s="757">
        <f t="shared" si="130"/>
        <v>0</v>
      </c>
      <c r="AD495" s="757">
        <f t="shared" si="130"/>
        <v>0</v>
      </c>
      <c r="AE495" s="757">
        <f t="shared" si="130"/>
        <v>0</v>
      </c>
      <c r="AF495" s="777"/>
      <c r="AI495" s="777"/>
      <c r="AL495" s="777"/>
      <c r="AM495" s="777"/>
    </row>
    <row r="496" spans="1:43" s="390" customFormat="1" ht="22.25" customHeight="1">
      <c r="A496" s="454"/>
      <c r="B496" s="657" t="s">
        <v>734</v>
      </c>
      <c r="C496" s="662"/>
      <c r="D496" s="662"/>
      <c r="E496" s="662">
        <v>1</v>
      </c>
      <c r="F496" s="498">
        <f>9.5</f>
        <v>9.5</v>
      </c>
      <c r="G496" s="642">
        <f>G488</f>
        <v>0.83</v>
      </c>
      <c r="H496" s="642">
        <f>H488</f>
        <v>0.83</v>
      </c>
      <c r="I496" s="499"/>
      <c r="J496" s="507"/>
      <c r="K496" s="455"/>
      <c r="L496" s="312"/>
      <c r="M496" s="722"/>
      <c r="N496" s="722"/>
      <c r="O496" s="722"/>
      <c r="P496" s="722"/>
      <c r="Q496" s="611"/>
      <c r="R496" s="611"/>
      <c r="S496" s="624"/>
      <c r="T496" s="625"/>
      <c r="U496" s="626"/>
      <c r="V496" s="624"/>
      <c r="W496" s="624">
        <f t="shared" ref="W496:AE496" si="131">IF($R496=W$5,$V496,0)</f>
        <v>0</v>
      </c>
      <c r="X496" s="624">
        <f t="shared" si="131"/>
        <v>0</v>
      </c>
      <c r="Y496" s="624">
        <f t="shared" si="131"/>
        <v>0</v>
      </c>
      <c r="Z496" s="624">
        <f t="shared" si="131"/>
        <v>0</v>
      </c>
      <c r="AA496" s="624">
        <f t="shared" si="131"/>
        <v>0</v>
      </c>
      <c r="AB496" s="624">
        <f t="shared" si="131"/>
        <v>0</v>
      </c>
      <c r="AC496" s="624">
        <f t="shared" si="131"/>
        <v>0</v>
      </c>
      <c r="AD496" s="624">
        <f t="shared" si="131"/>
        <v>0</v>
      </c>
      <c r="AE496" s="624">
        <f t="shared" si="131"/>
        <v>0</v>
      </c>
      <c r="AF496" s="471"/>
      <c r="AG496" s="473"/>
      <c r="AH496" s="471"/>
      <c r="AI496" s="471"/>
      <c r="AJ496" s="471"/>
      <c r="AM496" s="404"/>
      <c r="AP496" s="404"/>
      <c r="AQ496" s="404"/>
    </row>
    <row r="497" spans="1:43" s="776" customFormat="1" ht="22.25" customHeight="1">
      <c r="A497" s="769"/>
      <c r="B497" s="770" t="s">
        <v>784</v>
      </c>
      <c r="C497" s="665"/>
      <c r="D497" s="665"/>
      <c r="E497" s="665"/>
      <c r="F497" s="751"/>
      <c r="G497" s="773"/>
      <c r="H497" s="778"/>
      <c r="I497" s="774"/>
      <c r="J497" s="778"/>
      <c r="K497" s="480"/>
      <c r="L497" s="774"/>
      <c r="M497" s="760"/>
      <c r="N497" s="781"/>
      <c r="O497" s="782"/>
      <c r="P497" s="781"/>
      <c r="Q497" s="756"/>
      <c r="R497" s="756"/>
      <c r="S497" s="757"/>
      <c r="T497" s="758"/>
      <c r="U497" s="759"/>
      <c r="V497" s="757"/>
      <c r="W497" s="757">
        <f t="shared" si="130"/>
        <v>0</v>
      </c>
      <c r="X497" s="757">
        <f t="shared" si="130"/>
        <v>0</v>
      </c>
      <c r="Y497" s="757">
        <f t="shared" si="130"/>
        <v>0</v>
      </c>
      <c r="Z497" s="757">
        <f t="shared" si="130"/>
        <v>0</v>
      </c>
      <c r="AA497" s="757">
        <f t="shared" si="130"/>
        <v>0</v>
      </c>
      <c r="AB497" s="757">
        <f t="shared" si="130"/>
        <v>0</v>
      </c>
      <c r="AC497" s="757">
        <f t="shared" si="130"/>
        <v>0</v>
      </c>
      <c r="AD497" s="757">
        <f t="shared" si="130"/>
        <v>0</v>
      </c>
      <c r="AE497" s="757">
        <f t="shared" si="130"/>
        <v>0</v>
      </c>
      <c r="AF497" s="772" t="e">
        <f>((#REF!+#REF!/12)-(1.5/12)*2)*4+0.25*2</f>
        <v>#REF!</v>
      </c>
      <c r="AI497" s="777"/>
      <c r="AL497" s="777"/>
      <c r="AM497" s="777"/>
    </row>
    <row r="498" spans="1:43" s="776" customFormat="1" ht="22.25" customHeight="1">
      <c r="A498" s="769"/>
      <c r="B498" s="770" t="s">
        <v>483</v>
      </c>
      <c r="C498" s="665"/>
      <c r="D498" s="665">
        <v>2</v>
      </c>
      <c r="E498" s="665">
        <f>E496</f>
        <v>1</v>
      </c>
      <c r="F498" s="751">
        <f>U498</f>
        <v>3.3252057299603779</v>
      </c>
      <c r="G498" s="773"/>
      <c r="H498" s="778"/>
      <c r="I498" s="774"/>
      <c r="J498" s="492">
        <f>IF(I498=0,1,I498)*IF(H498=0,1,H498)*IF(G498=0,1,G498)*IF(F498=0,1,F498)*IF(E498=0,1,E498)*IF(D498=0,1,D498)*IF(C498=0,1,C498)</f>
        <v>6.6504114599207558</v>
      </c>
      <c r="K498" s="480"/>
      <c r="L498" s="774"/>
      <c r="M498" s="760">
        <f>G496/3.281</f>
        <v>0.25297165498323682</v>
      </c>
      <c r="N498" s="781">
        <f>F496/3.281</f>
        <v>2.895458701615361</v>
      </c>
      <c r="O498" s="768">
        <f>E498</f>
        <v>1</v>
      </c>
      <c r="P498" s="781">
        <f>(1.5/12)/3.281</f>
        <v>3.8098140810728431E-2</v>
      </c>
      <c r="Q498" s="756" t="s">
        <v>541</v>
      </c>
      <c r="R498" s="756">
        <v>16</v>
      </c>
      <c r="S498" s="757"/>
      <c r="T498" s="758">
        <f>D498</f>
        <v>2</v>
      </c>
      <c r="U498" s="759">
        <f>N498-2*P498+2*M499</f>
        <v>3.3252057299603779</v>
      </c>
      <c r="V498" s="757">
        <f>T498*U498*O498</f>
        <v>6.6504114599207558</v>
      </c>
      <c r="W498" s="757">
        <f t="shared" si="130"/>
        <v>0</v>
      </c>
      <c r="X498" s="757">
        <f t="shared" si="130"/>
        <v>0</v>
      </c>
      <c r="Y498" s="757">
        <f t="shared" si="130"/>
        <v>0</v>
      </c>
      <c r="Z498" s="757">
        <f t="shared" si="130"/>
        <v>0</v>
      </c>
      <c r="AA498" s="757">
        <f t="shared" si="130"/>
        <v>6.6504114599207558</v>
      </c>
      <c r="AB498" s="757">
        <f t="shared" si="130"/>
        <v>0</v>
      </c>
      <c r="AC498" s="757">
        <f t="shared" si="130"/>
        <v>0</v>
      </c>
      <c r="AD498" s="757">
        <f t="shared" si="130"/>
        <v>0</v>
      </c>
      <c r="AE498" s="757">
        <f t="shared" si="130"/>
        <v>0</v>
      </c>
      <c r="AF498" s="772" t="e">
        <f>(#REF!+#REF!/12)-0.25+0.5+0.25*2</f>
        <v>#REF!</v>
      </c>
      <c r="AI498" s="777"/>
      <c r="AL498" s="777"/>
      <c r="AM498" s="777"/>
    </row>
    <row r="499" spans="1:43" s="776" customFormat="1" ht="22.25" customHeight="1">
      <c r="A499" s="769"/>
      <c r="B499" s="770" t="s">
        <v>483</v>
      </c>
      <c r="C499" s="665"/>
      <c r="D499" s="665">
        <v>2</v>
      </c>
      <c r="E499" s="665">
        <f>E498</f>
        <v>1</v>
      </c>
      <c r="F499" s="751">
        <f>U499</f>
        <v>3.0402340749771408</v>
      </c>
      <c r="G499" s="773"/>
      <c r="H499" s="778"/>
      <c r="I499" s="774"/>
      <c r="J499" s="492">
        <f>IF(I499=0,1,I499)*IF(H499=0,1,H499)*IF(G499=0,1,G499)*IF(F499=0,1,F499)*IF(E499=0,1,E499)*IF(D499=0,1,D499)*IF(C499=0,1,C499)</f>
        <v>6.0804681499542816</v>
      </c>
      <c r="K499" s="480"/>
      <c r="L499" s="774"/>
      <c r="M499" s="760">
        <f>H496/3.281</f>
        <v>0.25297165498323682</v>
      </c>
      <c r="N499" s="781"/>
      <c r="O499" s="768">
        <f>E499</f>
        <v>1</v>
      </c>
      <c r="P499" s="781">
        <f>(1.5/12)/3.281</f>
        <v>3.8098140810728431E-2</v>
      </c>
      <c r="Q499" s="756" t="s">
        <v>457</v>
      </c>
      <c r="R499" s="756">
        <v>16</v>
      </c>
      <c r="S499" s="757"/>
      <c r="T499" s="758">
        <f>D499</f>
        <v>2</v>
      </c>
      <c r="U499" s="759">
        <f>N498-2*P499-2*R499/1000+2*((M499/2))</f>
        <v>3.0402340749771408</v>
      </c>
      <c r="V499" s="757">
        <f>T499*U499*O499</f>
        <v>6.0804681499542816</v>
      </c>
      <c r="W499" s="757">
        <f t="shared" si="130"/>
        <v>0</v>
      </c>
      <c r="X499" s="757">
        <f t="shared" si="130"/>
        <v>0</v>
      </c>
      <c r="Y499" s="757">
        <f t="shared" si="130"/>
        <v>0</v>
      </c>
      <c r="Z499" s="757">
        <f t="shared" si="130"/>
        <v>0</v>
      </c>
      <c r="AA499" s="757">
        <f t="shared" si="130"/>
        <v>6.0804681499542816</v>
      </c>
      <c r="AB499" s="757">
        <f t="shared" si="130"/>
        <v>0</v>
      </c>
      <c r="AC499" s="757">
        <f t="shared" si="130"/>
        <v>0</v>
      </c>
      <c r="AD499" s="757">
        <f t="shared" si="130"/>
        <v>0</v>
      </c>
      <c r="AE499" s="757">
        <f t="shared" si="130"/>
        <v>0</v>
      </c>
      <c r="AF499" s="772" t="e">
        <f>(#REF!+#REF!/12)-0.25+0.5+0.25*2</f>
        <v>#REF!</v>
      </c>
      <c r="AI499" s="777"/>
      <c r="AL499" s="777"/>
      <c r="AM499" s="777"/>
    </row>
    <row r="500" spans="1:43" s="776" customFormat="1" ht="22.25" customHeight="1">
      <c r="A500" s="769"/>
      <c r="B500" s="770" t="s">
        <v>483</v>
      </c>
      <c r="C500" s="665"/>
      <c r="D500" s="665">
        <v>1</v>
      </c>
      <c r="E500" s="665">
        <f>E499</f>
        <v>1</v>
      </c>
      <c r="F500" s="751">
        <f>U500</f>
        <v>2.9482491110433808</v>
      </c>
      <c r="G500" s="773"/>
      <c r="H500" s="778"/>
      <c r="I500" s="774"/>
      <c r="J500" s="492">
        <f>IF(I500=0,1,I500)*IF(H500=0,1,H500)*IF(G500=0,1,G500)*IF(F500=0,1,F500)*IF(E500=0,1,E500)*IF(D500=0,1,D500)*IF(C500=0,1,C500)</f>
        <v>2.9482491110433808</v>
      </c>
      <c r="K500" s="480"/>
      <c r="L500" s="774"/>
      <c r="M500" s="760"/>
      <c r="N500" s="781"/>
      <c r="O500" s="768">
        <f>E500</f>
        <v>1</v>
      </c>
      <c r="P500" s="781">
        <f>(1.5/12)/3.281</f>
        <v>3.8098140810728431E-2</v>
      </c>
      <c r="Q500" s="756" t="s">
        <v>786</v>
      </c>
      <c r="R500" s="756">
        <v>16</v>
      </c>
      <c r="S500" s="757"/>
      <c r="T500" s="758">
        <f>D500</f>
        <v>1</v>
      </c>
      <c r="U500" s="759">
        <f>(N498/3+M499+2*8*R500/1000)*2</f>
        <v>2.9482491110433808</v>
      </c>
      <c r="V500" s="757">
        <f>T500*U500*O500</f>
        <v>2.9482491110433808</v>
      </c>
      <c r="W500" s="757">
        <f t="shared" si="130"/>
        <v>0</v>
      </c>
      <c r="X500" s="757">
        <f t="shared" si="130"/>
        <v>0</v>
      </c>
      <c r="Y500" s="757">
        <f t="shared" si="130"/>
        <v>0</v>
      </c>
      <c r="Z500" s="757">
        <f t="shared" si="130"/>
        <v>0</v>
      </c>
      <c r="AA500" s="757">
        <f t="shared" si="130"/>
        <v>2.9482491110433808</v>
      </c>
      <c r="AB500" s="757">
        <f t="shared" si="130"/>
        <v>0</v>
      </c>
      <c r="AC500" s="757">
        <f t="shared" si="130"/>
        <v>0</v>
      </c>
      <c r="AD500" s="757">
        <f t="shared" si="130"/>
        <v>0</v>
      </c>
      <c r="AE500" s="757">
        <f t="shared" si="130"/>
        <v>0</v>
      </c>
      <c r="AF500" s="772" t="e">
        <f>(#REF!+#REF!/12)-0.25+0.5+0.25*2</f>
        <v>#REF!</v>
      </c>
      <c r="AI500" s="777"/>
      <c r="AL500" s="777"/>
      <c r="AM500" s="777"/>
    </row>
    <row r="501" spans="1:43" s="776" customFormat="1" ht="22.25" customHeight="1">
      <c r="A501" s="769"/>
      <c r="B501" s="770" t="s">
        <v>542</v>
      </c>
      <c r="C501" s="665"/>
      <c r="D501" s="665"/>
      <c r="E501" s="665"/>
      <c r="F501" s="751"/>
      <c r="G501" s="773"/>
      <c r="H501" s="778"/>
      <c r="I501" s="774"/>
      <c r="J501" s="778"/>
      <c r="K501" s="480"/>
      <c r="L501" s="774"/>
      <c r="M501" s="760"/>
      <c r="N501" s="781"/>
      <c r="O501" s="782"/>
      <c r="P501" s="781"/>
      <c r="Q501" s="756"/>
      <c r="R501" s="756"/>
      <c r="S501" s="757"/>
      <c r="T501" s="758"/>
      <c r="U501" s="759"/>
      <c r="V501" s="757"/>
      <c r="W501" s="757">
        <f t="shared" si="130"/>
        <v>0</v>
      </c>
      <c r="X501" s="757">
        <f t="shared" si="130"/>
        <v>0</v>
      </c>
      <c r="Y501" s="757">
        <f t="shared" si="130"/>
        <v>0</v>
      </c>
      <c r="Z501" s="757">
        <f t="shared" si="130"/>
        <v>0</v>
      </c>
      <c r="AA501" s="757">
        <f t="shared" si="130"/>
        <v>0</v>
      </c>
      <c r="AB501" s="757">
        <f t="shared" si="130"/>
        <v>0</v>
      </c>
      <c r="AC501" s="757">
        <f t="shared" si="130"/>
        <v>0</v>
      </c>
      <c r="AD501" s="757">
        <f t="shared" si="130"/>
        <v>0</v>
      </c>
      <c r="AE501" s="757">
        <f t="shared" si="130"/>
        <v>0</v>
      </c>
      <c r="AF501" s="772" t="e">
        <f>((#REF!+#REF!/12)-(1.5/12)*2)*4+0.25*2</f>
        <v>#REF!</v>
      </c>
      <c r="AI501" s="777"/>
      <c r="AL501" s="777"/>
      <c r="AM501" s="777"/>
    </row>
    <row r="502" spans="1:43" s="776" customFormat="1" ht="22.25" customHeight="1">
      <c r="A502" s="769"/>
      <c r="B502" s="770" t="s">
        <v>484</v>
      </c>
      <c r="C502" s="665"/>
      <c r="D502" s="665">
        <f>T502</f>
        <v>11</v>
      </c>
      <c r="E502" s="665">
        <f>E498</f>
        <v>1</v>
      </c>
      <c r="F502" s="751">
        <f>U502</f>
        <v>0.86710149344711984</v>
      </c>
      <c r="G502" s="779"/>
      <c r="H502" s="780"/>
      <c r="I502" s="774"/>
      <c r="J502" s="492">
        <f>IF(I502=0,1,I502)*IF(H502=0,1,H502)*IF(G502=0,1,G502)*IF(F502=0,1,F502)*IF(E502=0,1,E502)*IF(D502=0,1,D502)*IF(C502=0,1,C502)</f>
        <v>9.5381164279183182</v>
      </c>
      <c r="K502" s="480"/>
      <c r="L502" s="774"/>
      <c r="N502" s="781"/>
      <c r="O502" s="782">
        <f>O498</f>
        <v>1</v>
      </c>
      <c r="P502" s="781"/>
      <c r="Q502" s="756" t="s">
        <v>463</v>
      </c>
      <c r="R502" s="756">
        <v>10</v>
      </c>
      <c r="S502" s="757">
        <f>4/(12*3.281)</f>
        <v>0.1015950421619425</v>
      </c>
      <c r="T502" s="758">
        <f>2*(ROUND(2*M499/S502,0))+1</f>
        <v>11</v>
      </c>
      <c r="U502" s="759">
        <f>2*(M498+M499)-8*P498+2*8*R502/1000</f>
        <v>0.86710149344711984</v>
      </c>
      <c r="V502" s="757">
        <f>T502*U502*O502</f>
        <v>9.5381164279183182</v>
      </c>
      <c r="W502" s="757">
        <f t="shared" si="130"/>
        <v>0</v>
      </c>
      <c r="X502" s="757">
        <f t="shared" si="130"/>
        <v>0</v>
      </c>
      <c r="Y502" s="757">
        <f t="shared" si="130"/>
        <v>9.5381164279183182</v>
      </c>
      <c r="Z502" s="757">
        <f t="shared" si="130"/>
        <v>0</v>
      </c>
      <c r="AA502" s="757">
        <f t="shared" si="130"/>
        <v>0</v>
      </c>
      <c r="AB502" s="757">
        <f t="shared" si="130"/>
        <v>0</v>
      </c>
      <c r="AC502" s="757">
        <f t="shared" si="130"/>
        <v>0</v>
      </c>
      <c r="AD502" s="757">
        <f t="shared" si="130"/>
        <v>0</v>
      </c>
      <c r="AE502" s="757">
        <f t="shared" si="130"/>
        <v>0</v>
      </c>
      <c r="AF502" s="777"/>
      <c r="AI502" s="777"/>
      <c r="AL502" s="777"/>
      <c r="AM502" s="777"/>
    </row>
    <row r="503" spans="1:43" s="776" customFormat="1" ht="22.25" customHeight="1">
      <c r="A503" s="769"/>
      <c r="B503" s="770" t="s">
        <v>484</v>
      </c>
      <c r="C503" s="665"/>
      <c r="D503" s="665">
        <f>T503</f>
        <v>13</v>
      </c>
      <c r="E503" s="665">
        <f>E502</f>
        <v>1</v>
      </c>
      <c r="F503" s="751">
        <f>U503</f>
        <v>0.86710149344711984</v>
      </c>
      <c r="G503" s="779"/>
      <c r="H503" s="780"/>
      <c r="I503" s="774"/>
      <c r="J503" s="492">
        <f>IF(I503=0,1,I503)*IF(H503=0,1,H503)*IF(G503=0,1,G503)*IF(F503=0,1,F503)*IF(E503=0,1,E503)*IF(D503=0,1,D503)*IF(C503=0,1,C503)</f>
        <v>11.272319414812557</v>
      </c>
      <c r="K503" s="480"/>
      <c r="L503" s="774"/>
      <c r="M503" s="760"/>
      <c r="N503" s="781"/>
      <c r="O503" s="782">
        <f>O502</f>
        <v>1</v>
      </c>
      <c r="P503" s="781"/>
      <c r="Q503" s="756" t="s">
        <v>463</v>
      </c>
      <c r="R503" s="756">
        <v>10</v>
      </c>
      <c r="S503" s="757">
        <f>6/(12*3.281)</f>
        <v>0.15239256324291375</v>
      </c>
      <c r="T503" s="758">
        <f>(ROUND((N498-4*M499)/S503,0))+1</f>
        <v>13</v>
      </c>
      <c r="U503" s="759">
        <f>2*(M498+M499)-8*P498+2*8*R503/1000</f>
        <v>0.86710149344711984</v>
      </c>
      <c r="V503" s="757">
        <f>T503*U503*O503</f>
        <v>11.272319414812557</v>
      </c>
      <c r="W503" s="757">
        <f t="shared" si="130"/>
        <v>0</v>
      </c>
      <c r="X503" s="757">
        <f t="shared" si="130"/>
        <v>0</v>
      </c>
      <c r="Y503" s="757">
        <f t="shared" si="130"/>
        <v>11.272319414812557</v>
      </c>
      <c r="Z503" s="757">
        <f t="shared" si="130"/>
        <v>0</v>
      </c>
      <c r="AA503" s="757">
        <f t="shared" si="130"/>
        <v>0</v>
      </c>
      <c r="AB503" s="757">
        <f t="shared" si="130"/>
        <v>0</v>
      </c>
      <c r="AC503" s="757">
        <f t="shared" si="130"/>
        <v>0</v>
      </c>
      <c r="AD503" s="757">
        <f t="shared" si="130"/>
        <v>0</v>
      </c>
      <c r="AE503" s="757">
        <f t="shared" si="130"/>
        <v>0</v>
      </c>
      <c r="AF503" s="777"/>
      <c r="AI503" s="777"/>
      <c r="AL503" s="777"/>
      <c r="AM503" s="777"/>
    </row>
    <row r="504" spans="1:43" s="390" customFormat="1" ht="22.25" customHeight="1">
      <c r="A504" s="454"/>
      <c r="B504" s="657" t="s">
        <v>555</v>
      </c>
      <c r="C504" s="662"/>
      <c r="D504" s="662"/>
      <c r="E504" s="662">
        <v>2</v>
      </c>
      <c r="F504" s="498">
        <f>7.83+0.5*0.83+0.5*1</f>
        <v>8.7449999999999992</v>
      </c>
      <c r="G504" s="642">
        <f>G496</f>
        <v>0.83</v>
      </c>
      <c r="H504" s="642">
        <f>H496</f>
        <v>0.83</v>
      </c>
      <c r="I504" s="499"/>
      <c r="J504" s="507"/>
      <c r="K504" s="455"/>
      <c r="L504" s="312"/>
      <c r="M504" s="722"/>
      <c r="N504" s="722"/>
      <c r="O504" s="722"/>
      <c r="P504" s="722"/>
      <c r="Q504" s="611"/>
      <c r="R504" s="611"/>
      <c r="S504" s="624"/>
      <c r="T504" s="625"/>
      <c r="U504" s="626"/>
      <c r="V504" s="624"/>
      <c r="W504" s="624"/>
      <c r="X504" s="624"/>
      <c r="Y504" s="624"/>
      <c r="Z504" s="624"/>
      <c r="AA504" s="624"/>
      <c r="AB504" s="624"/>
      <c r="AC504" s="624"/>
      <c r="AD504" s="624"/>
      <c r="AE504" s="624"/>
      <c r="AF504" s="471"/>
      <c r="AG504" s="473"/>
      <c r="AH504" s="471"/>
      <c r="AI504" s="471"/>
      <c r="AJ504" s="471"/>
      <c r="AM504" s="404"/>
      <c r="AP504" s="404"/>
      <c r="AQ504" s="404"/>
    </row>
    <row r="505" spans="1:43" s="776" customFormat="1" ht="22.25" customHeight="1">
      <c r="A505" s="769"/>
      <c r="B505" s="770" t="s">
        <v>784</v>
      </c>
      <c r="C505" s="665"/>
      <c r="D505" s="665"/>
      <c r="E505" s="665"/>
      <c r="F505" s="751"/>
      <c r="G505" s="773"/>
      <c r="H505" s="778"/>
      <c r="I505" s="774"/>
      <c r="J505" s="778"/>
      <c r="K505" s="480"/>
      <c r="L505" s="774"/>
      <c r="M505" s="760"/>
      <c r="N505" s="781"/>
      <c r="O505" s="782"/>
      <c r="P505" s="781"/>
      <c r="Q505" s="756"/>
      <c r="R505" s="756"/>
      <c r="S505" s="757"/>
      <c r="T505" s="758"/>
      <c r="U505" s="759"/>
      <c r="V505" s="757"/>
      <c r="W505" s="757">
        <f t="shared" si="130"/>
        <v>0</v>
      </c>
      <c r="X505" s="757">
        <f t="shared" si="130"/>
        <v>0</v>
      </c>
      <c r="Y505" s="757">
        <f t="shared" si="130"/>
        <v>0</v>
      </c>
      <c r="Z505" s="757">
        <f t="shared" si="130"/>
        <v>0</v>
      </c>
      <c r="AA505" s="757">
        <f t="shared" si="130"/>
        <v>0</v>
      </c>
      <c r="AB505" s="757">
        <f t="shared" si="130"/>
        <v>0</v>
      </c>
      <c r="AC505" s="757">
        <f t="shared" si="130"/>
        <v>0</v>
      </c>
      <c r="AD505" s="757">
        <f t="shared" si="130"/>
        <v>0</v>
      </c>
      <c r="AE505" s="757">
        <f t="shared" si="130"/>
        <v>0</v>
      </c>
      <c r="AF505" s="772" t="e">
        <f>((#REF!+#REF!/12)-(1.5/12)*2)*4+0.25*2</f>
        <v>#REF!</v>
      </c>
      <c r="AI505" s="777"/>
      <c r="AL505" s="777"/>
      <c r="AM505" s="777"/>
    </row>
    <row r="506" spans="1:43" s="776" customFormat="1" ht="22.25" customHeight="1">
      <c r="A506" s="769"/>
      <c r="B506" s="770" t="s">
        <v>483</v>
      </c>
      <c r="C506" s="665"/>
      <c r="D506" s="665">
        <v>2</v>
      </c>
      <c r="E506" s="665">
        <f>E504</f>
        <v>2</v>
      </c>
      <c r="F506" s="751">
        <f>U506</f>
        <v>3.0950929594635781</v>
      </c>
      <c r="G506" s="773"/>
      <c r="H506" s="778"/>
      <c r="I506" s="774"/>
      <c r="J506" s="492">
        <f>IF(I506=0,1,I506)*IF(H506=0,1,H506)*IF(G506=0,1,G506)*IF(F506=0,1,F506)*IF(E506=0,1,E506)*IF(D506=0,1,D506)*IF(C506=0,1,C506)</f>
        <v>12.380371837854312</v>
      </c>
      <c r="K506" s="480"/>
      <c r="L506" s="774"/>
      <c r="M506" s="760">
        <f>G504/3.281</f>
        <v>0.25297165498323682</v>
      </c>
      <c r="N506" s="781">
        <f>F504/3.281</f>
        <v>2.6653459311185612</v>
      </c>
      <c r="O506" s="768">
        <f>E506</f>
        <v>2</v>
      </c>
      <c r="P506" s="781">
        <f>(1.5/12)/3.281</f>
        <v>3.8098140810728431E-2</v>
      </c>
      <c r="Q506" s="756" t="s">
        <v>541</v>
      </c>
      <c r="R506" s="756">
        <v>16</v>
      </c>
      <c r="S506" s="757"/>
      <c r="T506" s="758">
        <f>D506</f>
        <v>2</v>
      </c>
      <c r="U506" s="759">
        <f>N506-2*P506+2*M507</f>
        <v>3.0950929594635781</v>
      </c>
      <c r="V506" s="757">
        <f>T506*U506*O506</f>
        <v>12.380371837854312</v>
      </c>
      <c r="W506" s="757">
        <f t="shared" ref="W506:AE511" si="132">IF($R506=W$5,$V506,0)</f>
        <v>0</v>
      </c>
      <c r="X506" s="757">
        <f t="shared" si="132"/>
        <v>0</v>
      </c>
      <c r="Y506" s="757">
        <f t="shared" si="132"/>
        <v>0</v>
      </c>
      <c r="Z506" s="757">
        <f t="shared" si="132"/>
        <v>0</v>
      </c>
      <c r="AA506" s="757">
        <f t="shared" si="132"/>
        <v>12.380371837854312</v>
      </c>
      <c r="AB506" s="757">
        <f t="shared" si="132"/>
        <v>0</v>
      </c>
      <c r="AC506" s="757">
        <f t="shared" si="132"/>
        <v>0</v>
      </c>
      <c r="AD506" s="757">
        <f t="shared" si="132"/>
        <v>0</v>
      </c>
      <c r="AE506" s="757">
        <f t="shared" si="132"/>
        <v>0</v>
      </c>
      <c r="AF506" s="772" t="e">
        <f>(#REF!+#REF!/12)-0.25+0.5+0.25*2</f>
        <v>#REF!</v>
      </c>
      <c r="AI506" s="777"/>
      <c r="AL506" s="777"/>
      <c r="AM506" s="777"/>
    </row>
    <row r="507" spans="1:43" s="776" customFormat="1" ht="22.25" customHeight="1">
      <c r="A507" s="769"/>
      <c r="B507" s="770" t="s">
        <v>483</v>
      </c>
      <c r="C507" s="665"/>
      <c r="D507" s="665">
        <v>2</v>
      </c>
      <c r="E507" s="665">
        <f>E506</f>
        <v>2</v>
      </c>
      <c r="F507" s="751">
        <f>U507</f>
        <v>2.810121304480341</v>
      </c>
      <c r="G507" s="773"/>
      <c r="H507" s="778"/>
      <c r="I507" s="774"/>
      <c r="J507" s="492">
        <f>IF(I507=0,1,I507)*IF(H507=0,1,H507)*IF(G507=0,1,G507)*IF(F507=0,1,F507)*IF(E507=0,1,E507)*IF(D507=0,1,D507)*IF(C507=0,1,C507)</f>
        <v>11.240485217921364</v>
      </c>
      <c r="K507" s="480"/>
      <c r="L507" s="774"/>
      <c r="M507" s="760">
        <f>H504/3.281</f>
        <v>0.25297165498323682</v>
      </c>
      <c r="N507" s="781"/>
      <c r="O507" s="768">
        <f>E507</f>
        <v>2</v>
      </c>
      <c r="P507" s="781">
        <f>(1.5/12)/3.281</f>
        <v>3.8098140810728431E-2</v>
      </c>
      <c r="Q507" s="756" t="s">
        <v>457</v>
      </c>
      <c r="R507" s="756">
        <v>16</v>
      </c>
      <c r="S507" s="757"/>
      <c r="T507" s="758">
        <f>D507</f>
        <v>2</v>
      </c>
      <c r="U507" s="759">
        <f>N506-2*P507-2*R507/1000+2*((M507/2))</f>
        <v>2.810121304480341</v>
      </c>
      <c r="V507" s="757">
        <f>T507*U507*O507</f>
        <v>11.240485217921364</v>
      </c>
      <c r="W507" s="757">
        <f t="shared" si="132"/>
        <v>0</v>
      </c>
      <c r="X507" s="757">
        <f t="shared" si="132"/>
        <v>0</v>
      </c>
      <c r="Y507" s="757">
        <f t="shared" si="132"/>
        <v>0</v>
      </c>
      <c r="Z507" s="757">
        <f t="shared" si="132"/>
        <v>0</v>
      </c>
      <c r="AA507" s="757">
        <f t="shared" si="132"/>
        <v>11.240485217921364</v>
      </c>
      <c r="AB507" s="757">
        <f t="shared" si="132"/>
        <v>0</v>
      </c>
      <c r="AC507" s="757">
        <f t="shared" si="132"/>
        <v>0</v>
      </c>
      <c r="AD507" s="757">
        <f t="shared" si="132"/>
        <v>0</v>
      </c>
      <c r="AE507" s="757">
        <f t="shared" si="132"/>
        <v>0</v>
      </c>
      <c r="AF507" s="772" t="e">
        <f>(#REF!+#REF!/12)-0.25+0.5+0.25*2</f>
        <v>#REF!</v>
      </c>
      <c r="AI507" s="777"/>
      <c r="AL507" s="777"/>
      <c r="AM507" s="777"/>
    </row>
    <row r="508" spans="1:43" s="776" customFormat="1" ht="22.25" customHeight="1">
      <c r="A508" s="769"/>
      <c r="B508" s="770" t="s">
        <v>483</v>
      </c>
      <c r="C508" s="665"/>
      <c r="D508" s="665">
        <v>1</v>
      </c>
      <c r="E508" s="665">
        <f>E507</f>
        <v>2</v>
      </c>
      <c r="F508" s="751">
        <f>U508</f>
        <v>2.7948405973788479</v>
      </c>
      <c r="G508" s="773"/>
      <c r="H508" s="778"/>
      <c r="I508" s="774"/>
      <c r="J508" s="492">
        <f>IF(I508=0,1,I508)*IF(H508=0,1,H508)*IF(G508=0,1,G508)*IF(F508=0,1,F508)*IF(E508=0,1,E508)*IF(D508=0,1,D508)*IF(C508=0,1,C508)</f>
        <v>5.5896811947576959</v>
      </c>
      <c r="K508" s="480"/>
      <c r="L508" s="774"/>
      <c r="M508" s="760"/>
      <c r="N508" s="781"/>
      <c r="O508" s="768">
        <f>E508</f>
        <v>2</v>
      </c>
      <c r="P508" s="781">
        <f>(1.5/12)/3.281</f>
        <v>3.8098140810728431E-2</v>
      </c>
      <c r="Q508" s="756" t="s">
        <v>786</v>
      </c>
      <c r="R508" s="756">
        <v>16</v>
      </c>
      <c r="S508" s="757"/>
      <c r="T508" s="758">
        <f>D508</f>
        <v>1</v>
      </c>
      <c r="U508" s="759">
        <f>(N506/3+M507+2*8*R508/1000)*2</f>
        <v>2.7948405973788479</v>
      </c>
      <c r="V508" s="757">
        <f>T508*U508*O508</f>
        <v>5.5896811947576959</v>
      </c>
      <c r="W508" s="757">
        <f t="shared" si="132"/>
        <v>0</v>
      </c>
      <c r="X508" s="757">
        <f t="shared" si="132"/>
        <v>0</v>
      </c>
      <c r="Y508" s="757">
        <f t="shared" si="132"/>
        <v>0</v>
      </c>
      <c r="Z508" s="757">
        <f t="shared" si="132"/>
        <v>0</v>
      </c>
      <c r="AA508" s="757">
        <f t="shared" si="132"/>
        <v>5.5896811947576959</v>
      </c>
      <c r="AB508" s="757">
        <f t="shared" si="132"/>
        <v>0</v>
      </c>
      <c r="AC508" s="757">
        <f t="shared" si="132"/>
        <v>0</v>
      </c>
      <c r="AD508" s="757">
        <f t="shared" si="132"/>
        <v>0</v>
      </c>
      <c r="AE508" s="757">
        <f t="shared" si="132"/>
        <v>0</v>
      </c>
      <c r="AF508" s="772" t="e">
        <f>(#REF!+#REF!/12)-0.25+0.5+0.25*2</f>
        <v>#REF!</v>
      </c>
      <c r="AI508" s="777"/>
      <c r="AL508" s="777"/>
      <c r="AM508" s="777"/>
    </row>
    <row r="509" spans="1:43" s="776" customFormat="1" ht="22.25" customHeight="1">
      <c r="A509" s="769"/>
      <c r="B509" s="770" t="s">
        <v>542</v>
      </c>
      <c r="C509" s="665"/>
      <c r="D509" s="665"/>
      <c r="E509" s="665"/>
      <c r="F509" s="751"/>
      <c r="G509" s="773"/>
      <c r="H509" s="778"/>
      <c r="I509" s="774"/>
      <c r="J509" s="778"/>
      <c r="K509" s="480"/>
      <c r="L509" s="774"/>
      <c r="M509" s="760"/>
      <c r="N509" s="781"/>
      <c r="O509" s="782"/>
      <c r="P509" s="781"/>
      <c r="Q509" s="756"/>
      <c r="R509" s="756"/>
      <c r="S509" s="757"/>
      <c r="T509" s="758"/>
      <c r="U509" s="759"/>
      <c r="V509" s="757"/>
      <c r="W509" s="757">
        <f t="shared" si="132"/>
        <v>0</v>
      </c>
      <c r="X509" s="757">
        <f t="shared" si="132"/>
        <v>0</v>
      </c>
      <c r="Y509" s="757">
        <f t="shared" si="132"/>
        <v>0</v>
      </c>
      <c r="Z509" s="757">
        <f t="shared" si="132"/>
        <v>0</v>
      </c>
      <c r="AA509" s="757">
        <f t="shared" si="132"/>
        <v>0</v>
      </c>
      <c r="AB509" s="757">
        <f t="shared" si="132"/>
        <v>0</v>
      </c>
      <c r="AC509" s="757">
        <f t="shared" si="132"/>
        <v>0</v>
      </c>
      <c r="AD509" s="757">
        <f t="shared" si="132"/>
        <v>0</v>
      </c>
      <c r="AE509" s="757">
        <f t="shared" si="132"/>
        <v>0</v>
      </c>
      <c r="AF509" s="772" t="e">
        <f>((#REF!+#REF!/12)-(1.5/12)*2)*4+0.25*2</f>
        <v>#REF!</v>
      </c>
      <c r="AI509" s="777"/>
      <c r="AL509" s="777"/>
      <c r="AM509" s="777"/>
    </row>
    <row r="510" spans="1:43" s="776" customFormat="1" ht="22.25" customHeight="1">
      <c r="A510" s="769"/>
      <c r="B510" s="770" t="s">
        <v>484</v>
      </c>
      <c r="C510" s="665"/>
      <c r="D510" s="665">
        <f>T510</f>
        <v>11</v>
      </c>
      <c r="E510" s="665">
        <f>E506</f>
        <v>2</v>
      </c>
      <c r="F510" s="751">
        <f>U510</f>
        <v>0.86710149344711984</v>
      </c>
      <c r="G510" s="779"/>
      <c r="H510" s="780"/>
      <c r="I510" s="774"/>
      <c r="J510" s="492">
        <f>IF(I510=0,1,I510)*IF(H510=0,1,H510)*IF(G510=0,1,G510)*IF(F510=0,1,F510)*IF(E510=0,1,E510)*IF(D510=0,1,D510)*IF(C510=0,1,C510)</f>
        <v>19.076232855836636</v>
      </c>
      <c r="K510" s="480"/>
      <c r="L510" s="774"/>
      <c r="N510" s="781"/>
      <c r="O510" s="782">
        <f>O506</f>
        <v>2</v>
      </c>
      <c r="P510" s="781"/>
      <c r="Q510" s="756" t="s">
        <v>463</v>
      </c>
      <c r="R510" s="756">
        <v>10</v>
      </c>
      <c r="S510" s="757">
        <f>4/(12*3.281)</f>
        <v>0.1015950421619425</v>
      </c>
      <c r="T510" s="758">
        <f>2*(ROUND(2*M507/S510,0))+1</f>
        <v>11</v>
      </c>
      <c r="U510" s="759">
        <f>2*(M506+M507)-8*P506+2*8*R510/1000</f>
        <v>0.86710149344711984</v>
      </c>
      <c r="V510" s="757">
        <f>T510*U510*O510</f>
        <v>19.076232855836636</v>
      </c>
      <c r="W510" s="757">
        <f t="shared" si="132"/>
        <v>0</v>
      </c>
      <c r="X510" s="757">
        <f t="shared" si="132"/>
        <v>0</v>
      </c>
      <c r="Y510" s="757">
        <f t="shared" si="132"/>
        <v>19.076232855836636</v>
      </c>
      <c r="Z510" s="757">
        <f t="shared" si="132"/>
        <v>0</v>
      </c>
      <c r="AA510" s="757">
        <f t="shared" si="132"/>
        <v>0</v>
      </c>
      <c r="AB510" s="757">
        <f t="shared" si="132"/>
        <v>0</v>
      </c>
      <c r="AC510" s="757">
        <f t="shared" si="132"/>
        <v>0</v>
      </c>
      <c r="AD510" s="757">
        <f t="shared" si="132"/>
        <v>0</v>
      </c>
      <c r="AE510" s="757">
        <f t="shared" si="132"/>
        <v>0</v>
      </c>
      <c r="AF510" s="777"/>
      <c r="AI510" s="777"/>
      <c r="AL510" s="777"/>
      <c r="AM510" s="777"/>
    </row>
    <row r="511" spans="1:43" s="776" customFormat="1" ht="22.25" customHeight="1">
      <c r="A511" s="769"/>
      <c r="B511" s="770" t="s">
        <v>484</v>
      </c>
      <c r="C511" s="665"/>
      <c r="D511" s="665">
        <f>T511</f>
        <v>12</v>
      </c>
      <c r="E511" s="665">
        <f>E510</f>
        <v>2</v>
      </c>
      <c r="F511" s="751">
        <f>U511</f>
        <v>0.86710149344711984</v>
      </c>
      <c r="G511" s="779"/>
      <c r="H511" s="780"/>
      <c r="I511" s="774"/>
      <c r="J511" s="492">
        <f>IF(I511=0,1,I511)*IF(H511=0,1,H511)*IF(G511=0,1,G511)*IF(F511=0,1,F511)*IF(E511=0,1,E511)*IF(D511=0,1,D511)*IF(C511=0,1,C511)</f>
        <v>20.810435842730875</v>
      </c>
      <c r="K511" s="480"/>
      <c r="L511" s="774"/>
      <c r="M511" s="760"/>
      <c r="N511" s="781"/>
      <c r="O511" s="782">
        <f>O510</f>
        <v>2</v>
      </c>
      <c r="P511" s="781"/>
      <c r="Q511" s="756" t="s">
        <v>463</v>
      </c>
      <c r="R511" s="756">
        <v>10</v>
      </c>
      <c r="S511" s="757">
        <f>6/(12*3.281)</f>
        <v>0.15239256324291375</v>
      </c>
      <c r="T511" s="758">
        <f>(ROUND((N506-4*M507)/S511,0))+1</f>
        <v>12</v>
      </c>
      <c r="U511" s="759">
        <f>2*(M506+M507)-8*P506+2*8*R511/1000</f>
        <v>0.86710149344711984</v>
      </c>
      <c r="V511" s="757">
        <f>T511*U511*O511</f>
        <v>20.810435842730875</v>
      </c>
      <c r="W511" s="757">
        <f t="shared" si="132"/>
        <v>0</v>
      </c>
      <c r="X511" s="757">
        <f t="shared" si="132"/>
        <v>0</v>
      </c>
      <c r="Y511" s="757">
        <f t="shared" si="132"/>
        <v>20.810435842730875</v>
      </c>
      <c r="Z511" s="757">
        <f t="shared" si="132"/>
        <v>0</v>
      </c>
      <c r="AA511" s="757">
        <f t="shared" si="132"/>
        <v>0</v>
      </c>
      <c r="AB511" s="757">
        <f t="shared" si="132"/>
        <v>0</v>
      </c>
      <c r="AC511" s="757">
        <f t="shared" si="132"/>
        <v>0</v>
      </c>
      <c r="AD511" s="757">
        <f t="shared" si="132"/>
        <v>0</v>
      </c>
      <c r="AE511" s="757">
        <f t="shared" si="132"/>
        <v>0</v>
      </c>
      <c r="AF511" s="777"/>
      <c r="AI511" s="777"/>
      <c r="AL511" s="777"/>
      <c r="AM511" s="777"/>
    </row>
    <row r="512" spans="1:43" s="390" customFormat="1" ht="22.25" customHeight="1">
      <c r="A512" s="454"/>
      <c r="B512" s="657" t="s">
        <v>745</v>
      </c>
      <c r="C512" s="662"/>
      <c r="D512" s="662"/>
      <c r="E512" s="662">
        <v>2</v>
      </c>
      <c r="F512" s="498">
        <f>5+2*0.83</f>
        <v>6.66</v>
      </c>
      <c r="G512" s="642">
        <f>G504</f>
        <v>0.83</v>
      </c>
      <c r="H512" s="642">
        <f>H504</f>
        <v>0.83</v>
      </c>
      <c r="I512" s="499"/>
      <c r="J512" s="507"/>
      <c r="K512" s="455"/>
      <c r="L512" s="312"/>
      <c r="M512" s="722"/>
      <c r="N512" s="722"/>
      <c r="O512" s="722"/>
      <c r="P512" s="722"/>
      <c r="Q512" s="611"/>
      <c r="R512" s="611"/>
      <c r="S512" s="624"/>
      <c r="T512" s="625"/>
      <c r="U512" s="626"/>
      <c r="V512" s="624"/>
      <c r="W512" s="624"/>
      <c r="X512" s="624"/>
      <c r="Y512" s="624"/>
      <c r="Z512" s="624"/>
      <c r="AA512" s="624"/>
      <c r="AB512" s="624"/>
      <c r="AC512" s="624"/>
      <c r="AD512" s="624"/>
      <c r="AE512" s="624"/>
      <c r="AF512" s="471"/>
      <c r="AG512" s="473"/>
      <c r="AH512" s="471"/>
      <c r="AI512" s="471"/>
      <c r="AJ512" s="471"/>
      <c r="AM512" s="404"/>
      <c r="AP512" s="404"/>
      <c r="AQ512" s="404"/>
    </row>
    <row r="513" spans="1:43" s="776" customFormat="1" ht="22.25" customHeight="1">
      <c r="A513" s="769"/>
      <c r="B513" s="770" t="s">
        <v>784</v>
      </c>
      <c r="C513" s="665"/>
      <c r="D513" s="665"/>
      <c r="E513" s="665"/>
      <c r="F513" s="751"/>
      <c r="G513" s="773"/>
      <c r="H513" s="778"/>
      <c r="I513" s="774"/>
      <c r="J513" s="778"/>
      <c r="K513" s="480"/>
      <c r="L513" s="774"/>
      <c r="M513" s="760"/>
      <c r="N513" s="781"/>
      <c r="O513" s="782"/>
      <c r="P513" s="781"/>
      <c r="Q513" s="756"/>
      <c r="R513" s="756"/>
      <c r="S513" s="757"/>
      <c r="T513" s="758"/>
      <c r="U513" s="759"/>
      <c r="V513" s="757"/>
      <c r="W513" s="757">
        <f t="shared" ref="W513:AE529" si="133">IF($R513=W$5,$V513,0)</f>
        <v>0</v>
      </c>
      <c r="X513" s="757">
        <f t="shared" si="133"/>
        <v>0</v>
      </c>
      <c r="Y513" s="757">
        <f t="shared" si="133"/>
        <v>0</v>
      </c>
      <c r="Z513" s="757">
        <f t="shared" si="133"/>
        <v>0</v>
      </c>
      <c r="AA513" s="757">
        <f t="shared" si="133"/>
        <v>0</v>
      </c>
      <c r="AB513" s="757">
        <f t="shared" si="133"/>
        <v>0</v>
      </c>
      <c r="AC513" s="757">
        <f t="shared" si="133"/>
        <v>0</v>
      </c>
      <c r="AD513" s="757">
        <f t="shared" si="133"/>
        <v>0</v>
      </c>
      <c r="AE513" s="757">
        <f t="shared" si="133"/>
        <v>0</v>
      </c>
      <c r="AF513" s="772" t="e">
        <f>((#REF!+#REF!/12)-(1.5/12)*2)*4+0.25*2</f>
        <v>#REF!</v>
      </c>
      <c r="AI513" s="777"/>
      <c r="AL513" s="777"/>
      <c r="AM513" s="777"/>
    </row>
    <row r="514" spans="1:43" s="776" customFormat="1" ht="22.25" customHeight="1">
      <c r="A514" s="769"/>
      <c r="B514" s="770" t="s">
        <v>483</v>
      </c>
      <c r="C514" s="665"/>
      <c r="D514" s="665">
        <v>2</v>
      </c>
      <c r="E514" s="665">
        <f>E512</f>
        <v>2</v>
      </c>
      <c r="F514" s="751">
        <f>U514</f>
        <v>2.4596159707406278</v>
      </c>
      <c r="G514" s="773"/>
      <c r="H514" s="778"/>
      <c r="I514" s="774"/>
      <c r="J514" s="492">
        <f>IF(I514=0,1,I514)*IF(H514=0,1,H514)*IF(G514=0,1,G514)*IF(F514=0,1,F514)*IF(E514=0,1,E514)*IF(D514=0,1,D514)*IF(C514=0,1,C514)</f>
        <v>9.8384638829625111</v>
      </c>
      <c r="K514" s="480"/>
      <c r="L514" s="774"/>
      <c r="M514" s="760">
        <f>G512/3.281</f>
        <v>0.25297165498323682</v>
      </c>
      <c r="N514" s="781">
        <f>F512/3.281</f>
        <v>2.0298689423956109</v>
      </c>
      <c r="O514" s="768">
        <f>E514</f>
        <v>2</v>
      </c>
      <c r="P514" s="781">
        <f>(1.5/12)/3.281</f>
        <v>3.8098140810728431E-2</v>
      </c>
      <c r="Q514" s="756" t="s">
        <v>541</v>
      </c>
      <c r="R514" s="756">
        <v>16</v>
      </c>
      <c r="S514" s="757"/>
      <c r="T514" s="758">
        <f>D514</f>
        <v>2</v>
      </c>
      <c r="U514" s="759">
        <f>N514-2*P514+2*M515</f>
        <v>2.4596159707406278</v>
      </c>
      <c r="V514" s="757">
        <f>T514*U514*O514</f>
        <v>9.8384638829625111</v>
      </c>
      <c r="W514" s="757">
        <f t="shared" si="133"/>
        <v>0</v>
      </c>
      <c r="X514" s="757">
        <f t="shared" si="133"/>
        <v>0</v>
      </c>
      <c r="Y514" s="757">
        <f t="shared" si="133"/>
        <v>0</v>
      </c>
      <c r="Z514" s="757">
        <f t="shared" si="133"/>
        <v>0</v>
      </c>
      <c r="AA514" s="757">
        <f t="shared" si="133"/>
        <v>9.8384638829625111</v>
      </c>
      <c r="AB514" s="757">
        <f t="shared" si="133"/>
        <v>0</v>
      </c>
      <c r="AC514" s="757">
        <f t="shared" si="133"/>
        <v>0</v>
      </c>
      <c r="AD514" s="757">
        <f t="shared" si="133"/>
        <v>0</v>
      </c>
      <c r="AE514" s="757">
        <f t="shared" si="133"/>
        <v>0</v>
      </c>
      <c r="AF514" s="772" t="e">
        <f>(#REF!+#REF!/12)-0.25+0.5+0.25*2</f>
        <v>#REF!</v>
      </c>
      <c r="AI514" s="777"/>
      <c r="AL514" s="777"/>
      <c r="AM514" s="777"/>
    </row>
    <row r="515" spans="1:43" s="776" customFormat="1" ht="22.25" customHeight="1">
      <c r="A515" s="769"/>
      <c r="B515" s="770" t="s">
        <v>483</v>
      </c>
      <c r="C515" s="665"/>
      <c r="D515" s="665">
        <v>2</v>
      </c>
      <c r="E515" s="665">
        <f>E514</f>
        <v>2</v>
      </c>
      <c r="F515" s="751">
        <f>U515</f>
        <v>2.1746443157573907</v>
      </c>
      <c r="G515" s="773"/>
      <c r="H515" s="778"/>
      <c r="I515" s="774"/>
      <c r="J515" s="492">
        <f>IF(I515=0,1,I515)*IF(H515=0,1,H515)*IF(G515=0,1,G515)*IF(F515=0,1,F515)*IF(E515=0,1,E515)*IF(D515=0,1,D515)*IF(C515=0,1,C515)</f>
        <v>8.6985772630295628</v>
      </c>
      <c r="K515" s="480"/>
      <c r="L515" s="774"/>
      <c r="M515" s="760">
        <f>H512/3.281</f>
        <v>0.25297165498323682</v>
      </c>
      <c r="N515" s="781"/>
      <c r="O515" s="768">
        <f>E515</f>
        <v>2</v>
      </c>
      <c r="P515" s="781">
        <f>(1.5/12)/3.281</f>
        <v>3.8098140810728431E-2</v>
      </c>
      <c r="Q515" s="756" t="s">
        <v>457</v>
      </c>
      <c r="R515" s="756">
        <v>16</v>
      </c>
      <c r="S515" s="757"/>
      <c r="T515" s="758">
        <f>D515</f>
        <v>2</v>
      </c>
      <c r="U515" s="759">
        <f>N514-2*P515-2*R515/1000+2*((M515/2))</f>
        <v>2.1746443157573907</v>
      </c>
      <c r="V515" s="757">
        <f>T515*U515*O515</f>
        <v>8.6985772630295628</v>
      </c>
      <c r="W515" s="757">
        <f t="shared" si="133"/>
        <v>0</v>
      </c>
      <c r="X515" s="757">
        <f t="shared" si="133"/>
        <v>0</v>
      </c>
      <c r="Y515" s="757">
        <f t="shared" si="133"/>
        <v>0</v>
      </c>
      <c r="Z515" s="757">
        <f t="shared" si="133"/>
        <v>0</v>
      </c>
      <c r="AA515" s="757">
        <f t="shared" si="133"/>
        <v>8.6985772630295628</v>
      </c>
      <c r="AB515" s="757">
        <f t="shared" si="133"/>
        <v>0</v>
      </c>
      <c r="AC515" s="757">
        <f t="shared" si="133"/>
        <v>0</v>
      </c>
      <c r="AD515" s="757">
        <f t="shared" si="133"/>
        <v>0</v>
      </c>
      <c r="AE515" s="757">
        <f t="shared" si="133"/>
        <v>0</v>
      </c>
      <c r="AF515" s="772" t="e">
        <f>(#REF!+#REF!/12)-0.25+0.5+0.25*2</f>
        <v>#REF!</v>
      </c>
      <c r="AI515" s="777"/>
      <c r="AL515" s="777"/>
      <c r="AM515" s="777"/>
    </row>
    <row r="516" spans="1:43" s="776" customFormat="1" ht="22.25" customHeight="1">
      <c r="A516" s="769"/>
      <c r="B516" s="770" t="s">
        <v>483</v>
      </c>
      <c r="C516" s="665"/>
      <c r="D516" s="665">
        <v>1</v>
      </c>
      <c r="E516" s="665">
        <f>E515</f>
        <v>2</v>
      </c>
      <c r="F516" s="751">
        <f>U516</f>
        <v>2.3711892715635479</v>
      </c>
      <c r="G516" s="773"/>
      <c r="H516" s="778"/>
      <c r="I516" s="774"/>
      <c r="J516" s="492">
        <f>IF(I516=0,1,I516)*IF(H516=0,1,H516)*IF(G516=0,1,G516)*IF(F516=0,1,F516)*IF(E516=0,1,E516)*IF(D516=0,1,D516)*IF(C516=0,1,C516)</f>
        <v>4.7423785431270957</v>
      </c>
      <c r="K516" s="480"/>
      <c r="L516" s="774"/>
      <c r="M516" s="760"/>
      <c r="N516" s="781"/>
      <c r="O516" s="768">
        <f>E516</f>
        <v>2</v>
      </c>
      <c r="P516" s="781">
        <f>(1.5/12)/3.281</f>
        <v>3.8098140810728431E-2</v>
      </c>
      <c r="Q516" s="756" t="s">
        <v>786</v>
      </c>
      <c r="R516" s="756">
        <v>16</v>
      </c>
      <c r="S516" s="757"/>
      <c r="T516" s="758">
        <f>D516</f>
        <v>1</v>
      </c>
      <c r="U516" s="759">
        <f>(N514/3+M515+2*8*R516/1000)*2</f>
        <v>2.3711892715635479</v>
      </c>
      <c r="V516" s="757">
        <f>T516*U516*O516</f>
        <v>4.7423785431270957</v>
      </c>
      <c r="W516" s="757">
        <f t="shared" si="133"/>
        <v>0</v>
      </c>
      <c r="X516" s="757">
        <f t="shared" si="133"/>
        <v>0</v>
      </c>
      <c r="Y516" s="757">
        <f t="shared" si="133"/>
        <v>0</v>
      </c>
      <c r="Z516" s="757">
        <f t="shared" si="133"/>
        <v>0</v>
      </c>
      <c r="AA516" s="757">
        <f t="shared" si="133"/>
        <v>4.7423785431270957</v>
      </c>
      <c r="AB516" s="757">
        <f t="shared" si="133"/>
        <v>0</v>
      </c>
      <c r="AC516" s="757">
        <f t="shared" si="133"/>
        <v>0</v>
      </c>
      <c r="AD516" s="757">
        <f t="shared" si="133"/>
        <v>0</v>
      </c>
      <c r="AE516" s="757">
        <f t="shared" si="133"/>
        <v>0</v>
      </c>
      <c r="AF516" s="772" t="e">
        <f>(#REF!+#REF!/12)-0.25+0.5+0.25*2</f>
        <v>#REF!</v>
      </c>
      <c r="AI516" s="777"/>
      <c r="AL516" s="777"/>
      <c r="AM516" s="777"/>
    </row>
    <row r="517" spans="1:43" s="776" customFormat="1" ht="22.25" customHeight="1">
      <c r="A517" s="769"/>
      <c r="B517" s="770" t="s">
        <v>542</v>
      </c>
      <c r="C517" s="665"/>
      <c r="D517" s="665"/>
      <c r="E517" s="665"/>
      <c r="F517" s="751"/>
      <c r="G517" s="773"/>
      <c r="H517" s="778"/>
      <c r="I517" s="774"/>
      <c r="J517" s="778"/>
      <c r="K517" s="480"/>
      <c r="L517" s="774"/>
      <c r="M517" s="760"/>
      <c r="N517" s="781"/>
      <c r="O517" s="782"/>
      <c r="P517" s="781"/>
      <c r="Q517" s="756"/>
      <c r="R517" s="756"/>
      <c r="S517" s="757"/>
      <c r="T517" s="758"/>
      <c r="U517" s="759"/>
      <c r="V517" s="757"/>
      <c r="W517" s="757">
        <f t="shared" si="133"/>
        <v>0</v>
      </c>
      <c r="X517" s="757">
        <f t="shared" si="133"/>
        <v>0</v>
      </c>
      <c r="Y517" s="757">
        <f t="shared" si="133"/>
        <v>0</v>
      </c>
      <c r="Z517" s="757">
        <f t="shared" si="133"/>
        <v>0</v>
      </c>
      <c r="AA517" s="757">
        <f t="shared" si="133"/>
        <v>0</v>
      </c>
      <c r="AB517" s="757">
        <f t="shared" si="133"/>
        <v>0</v>
      </c>
      <c r="AC517" s="757">
        <f t="shared" si="133"/>
        <v>0</v>
      </c>
      <c r="AD517" s="757">
        <f t="shared" si="133"/>
        <v>0</v>
      </c>
      <c r="AE517" s="757">
        <f t="shared" si="133"/>
        <v>0</v>
      </c>
      <c r="AF517" s="772" t="e">
        <f>((#REF!+#REF!/12)-(1.5/12)*2)*4+0.25*2</f>
        <v>#REF!</v>
      </c>
      <c r="AI517" s="777"/>
      <c r="AL517" s="777"/>
      <c r="AM517" s="777"/>
    </row>
    <row r="518" spans="1:43" s="776" customFormat="1" ht="22.25" customHeight="1">
      <c r="A518" s="769"/>
      <c r="B518" s="770" t="s">
        <v>484</v>
      </c>
      <c r="C518" s="665"/>
      <c r="D518" s="665">
        <f>T518</f>
        <v>11</v>
      </c>
      <c r="E518" s="665">
        <f>E514</f>
        <v>2</v>
      </c>
      <c r="F518" s="751">
        <f>U518</f>
        <v>0.86710149344711984</v>
      </c>
      <c r="G518" s="779"/>
      <c r="H518" s="780"/>
      <c r="I518" s="774"/>
      <c r="J518" s="492">
        <f>IF(I518=0,1,I518)*IF(H518=0,1,H518)*IF(G518=0,1,G518)*IF(F518=0,1,F518)*IF(E518=0,1,E518)*IF(D518=0,1,D518)*IF(C518=0,1,C518)</f>
        <v>19.076232855836636</v>
      </c>
      <c r="K518" s="480"/>
      <c r="L518" s="774"/>
      <c r="N518" s="781"/>
      <c r="O518" s="782">
        <f>O514</f>
        <v>2</v>
      </c>
      <c r="P518" s="781"/>
      <c r="Q518" s="756" t="s">
        <v>463</v>
      </c>
      <c r="R518" s="756">
        <v>10</v>
      </c>
      <c r="S518" s="757">
        <f>4/(12*3.281)</f>
        <v>0.1015950421619425</v>
      </c>
      <c r="T518" s="758">
        <f>2*(ROUND(2*M515/S518,0))+1</f>
        <v>11</v>
      </c>
      <c r="U518" s="759">
        <f>2*(M514+M515)-8*P514+2*8*R518/1000</f>
        <v>0.86710149344711984</v>
      </c>
      <c r="V518" s="757">
        <f>T518*U518*O518</f>
        <v>19.076232855836636</v>
      </c>
      <c r="W518" s="757">
        <f t="shared" si="133"/>
        <v>0</v>
      </c>
      <c r="X518" s="757">
        <f t="shared" si="133"/>
        <v>0</v>
      </c>
      <c r="Y518" s="757">
        <f t="shared" si="133"/>
        <v>19.076232855836636</v>
      </c>
      <c r="Z518" s="757">
        <f t="shared" si="133"/>
        <v>0</v>
      </c>
      <c r="AA518" s="757">
        <f t="shared" si="133"/>
        <v>0</v>
      </c>
      <c r="AB518" s="757">
        <f t="shared" si="133"/>
        <v>0</v>
      </c>
      <c r="AC518" s="757">
        <f t="shared" si="133"/>
        <v>0</v>
      </c>
      <c r="AD518" s="757">
        <f t="shared" si="133"/>
        <v>0</v>
      </c>
      <c r="AE518" s="757">
        <f t="shared" si="133"/>
        <v>0</v>
      </c>
      <c r="AF518" s="777"/>
      <c r="AI518" s="777"/>
      <c r="AL518" s="777"/>
      <c r="AM518" s="777"/>
    </row>
    <row r="519" spans="1:43" s="776" customFormat="1" ht="22.25" customHeight="1">
      <c r="A519" s="769"/>
      <c r="B519" s="770" t="s">
        <v>484</v>
      </c>
      <c r="C519" s="665"/>
      <c r="D519" s="665">
        <f>T519</f>
        <v>8</v>
      </c>
      <c r="E519" s="665">
        <f>E518</f>
        <v>2</v>
      </c>
      <c r="F519" s="751">
        <f>U519</f>
        <v>0.86710149344711984</v>
      </c>
      <c r="G519" s="779"/>
      <c r="H519" s="780"/>
      <c r="I519" s="774"/>
      <c r="J519" s="492">
        <f>IF(I519=0,1,I519)*IF(H519=0,1,H519)*IF(G519=0,1,G519)*IF(F519=0,1,F519)*IF(E519=0,1,E519)*IF(D519=0,1,D519)*IF(C519=0,1,C519)</f>
        <v>13.873623895153917</v>
      </c>
      <c r="K519" s="480"/>
      <c r="L519" s="774"/>
      <c r="M519" s="760"/>
      <c r="N519" s="781"/>
      <c r="O519" s="782">
        <f>O518</f>
        <v>2</v>
      </c>
      <c r="P519" s="781"/>
      <c r="Q519" s="756" t="s">
        <v>463</v>
      </c>
      <c r="R519" s="756">
        <v>10</v>
      </c>
      <c r="S519" s="757">
        <f>6/(12*3.281)</f>
        <v>0.15239256324291375</v>
      </c>
      <c r="T519" s="758">
        <f>(ROUND((N514-4*M515)/S519,0))+1</f>
        <v>8</v>
      </c>
      <c r="U519" s="759">
        <f>2*(M514+M515)-8*P514+2*8*R519/1000</f>
        <v>0.86710149344711984</v>
      </c>
      <c r="V519" s="757">
        <f>T519*U519*O519</f>
        <v>13.873623895153917</v>
      </c>
      <c r="W519" s="757">
        <f t="shared" si="133"/>
        <v>0</v>
      </c>
      <c r="X519" s="757">
        <f t="shared" si="133"/>
        <v>0</v>
      </c>
      <c r="Y519" s="757">
        <f t="shared" si="133"/>
        <v>13.873623895153917</v>
      </c>
      <c r="Z519" s="757">
        <f t="shared" si="133"/>
        <v>0</v>
      </c>
      <c r="AA519" s="757">
        <f t="shared" si="133"/>
        <v>0</v>
      </c>
      <c r="AB519" s="757">
        <f t="shared" si="133"/>
        <v>0</v>
      </c>
      <c r="AC519" s="757">
        <f t="shared" si="133"/>
        <v>0</v>
      </c>
      <c r="AD519" s="757">
        <f t="shared" si="133"/>
        <v>0</v>
      </c>
      <c r="AE519" s="757">
        <f t="shared" si="133"/>
        <v>0</v>
      </c>
      <c r="AF519" s="777"/>
      <c r="AI519" s="777"/>
      <c r="AL519" s="777"/>
      <c r="AM519" s="777"/>
    </row>
    <row r="520" spans="1:43" s="390" customFormat="1" ht="22.25" customHeight="1">
      <c r="A520" s="454"/>
      <c r="B520" s="657" t="s">
        <v>608</v>
      </c>
      <c r="C520" s="662"/>
      <c r="D520" s="662"/>
      <c r="E520" s="662">
        <v>1</v>
      </c>
      <c r="F520" s="498">
        <f>5+0.83</f>
        <v>5.83</v>
      </c>
      <c r="G520" s="642">
        <f>G512</f>
        <v>0.83</v>
      </c>
      <c r="H520" s="642">
        <f>H512</f>
        <v>0.83</v>
      </c>
      <c r="I520" s="499"/>
      <c r="J520" s="507"/>
      <c r="K520" s="455"/>
      <c r="L520" s="312"/>
      <c r="M520" s="722"/>
      <c r="N520" s="722"/>
      <c r="O520" s="722"/>
      <c r="P520" s="722"/>
      <c r="Q520" s="611"/>
      <c r="R520" s="611"/>
      <c r="S520" s="624"/>
      <c r="T520" s="625"/>
      <c r="U520" s="626"/>
      <c r="V520" s="624"/>
      <c r="W520" s="624"/>
      <c r="X520" s="624"/>
      <c r="Y520" s="624"/>
      <c r="Z520" s="624"/>
      <c r="AA520" s="624"/>
      <c r="AB520" s="624"/>
      <c r="AC520" s="624"/>
      <c r="AD520" s="624"/>
      <c r="AE520" s="624"/>
      <c r="AF520" s="471"/>
      <c r="AG520" s="473"/>
      <c r="AH520" s="471"/>
      <c r="AI520" s="471"/>
      <c r="AJ520" s="471"/>
      <c r="AM520" s="404"/>
      <c r="AP520" s="404"/>
      <c r="AQ520" s="404"/>
    </row>
    <row r="521" spans="1:43" s="776" customFormat="1" ht="22.25" customHeight="1">
      <c r="A521" s="769"/>
      <c r="B521" s="770" t="s">
        <v>784</v>
      </c>
      <c r="C521" s="665"/>
      <c r="D521" s="665"/>
      <c r="E521" s="665"/>
      <c r="F521" s="751"/>
      <c r="G521" s="773"/>
      <c r="H521" s="778"/>
      <c r="I521" s="774"/>
      <c r="J521" s="778"/>
      <c r="K521" s="480"/>
      <c r="L521" s="774"/>
      <c r="M521" s="760"/>
      <c r="N521" s="781"/>
      <c r="O521" s="782"/>
      <c r="P521" s="781"/>
      <c r="Q521" s="756"/>
      <c r="R521" s="756"/>
      <c r="S521" s="757"/>
      <c r="T521" s="758"/>
      <c r="U521" s="759"/>
      <c r="V521" s="757"/>
      <c r="W521" s="757">
        <f t="shared" si="133"/>
        <v>0</v>
      </c>
      <c r="X521" s="757">
        <f t="shared" si="133"/>
        <v>0</v>
      </c>
      <c r="Y521" s="757">
        <f t="shared" si="133"/>
        <v>0</v>
      </c>
      <c r="Z521" s="757">
        <f t="shared" si="133"/>
        <v>0</v>
      </c>
      <c r="AA521" s="757">
        <f t="shared" si="133"/>
        <v>0</v>
      </c>
      <c r="AB521" s="757">
        <f t="shared" si="133"/>
        <v>0</v>
      </c>
      <c r="AC521" s="757">
        <f t="shared" si="133"/>
        <v>0</v>
      </c>
      <c r="AD521" s="757">
        <f t="shared" si="133"/>
        <v>0</v>
      </c>
      <c r="AE521" s="757">
        <f t="shared" si="133"/>
        <v>0</v>
      </c>
      <c r="AF521" s="772" t="e">
        <f>((#REF!+#REF!/12)-(1.5/12)*2)*4+0.25*2</f>
        <v>#REF!</v>
      </c>
      <c r="AI521" s="777"/>
      <c r="AL521" s="777"/>
      <c r="AM521" s="777"/>
    </row>
    <row r="522" spans="1:43" s="776" customFormat="1" ht="22.25" customHeight="1">
      <c r="A522" s="769"/>
      <c r="B522" s="770" t="s">
        <v>483</v>
      </c>
      <c r="C522" s="665"/>
      <c r="D522" s="665">
        <v>2</v>
      </c>
      <c r="E522" s="665">
        <f>E520</f>
        <v>1</v>
      </c>
      <c r="F522" s="751">
        <f>U522</f>
        <v>2.2066443157573912</v>
      </c>
      <c r="G522" s="773"/>
      <c r="H522" s="778"/>
      <c r="I522" s="774"/>
      <c r="J522" s="492">
        <f>IF(I522=0,1,I522)*IF(H522=0,1,H522)*IF(G522=0,1,G522)*IF(F522=0,1,F522)*IF(E522=0,1,E522)*IF(D522=0,1,D522)*IF(C522=0,1,C522)</f>
        <v>4.4132886315147823</v>
      </c>
      <c r="K522" s="480"/>
      <c r="L522" s="774"/>
      <c r="M522" s="760">
        <f>G520/3.281</f>
        <v>0.25297165498323682</v>
      </c>
      <c r="N522" s="781">
        <f>F520/3.281</f>
        <v>1.7768972874123743</v>
      </c>
      <c r="O522" s="768">
        <f>E522</f>
        <v>1</v>
      </c>
      <c r="P522" s="781">
        <f>(1.5/12)/3.281</f>
        <v>3.8098140810728431E-2</v>
      </c>
      <c r="Q522" s="756" t="s">
        <v>541</v>
      </c>
      <c r="R522" s="756">
        <v>16</v>
      </c>
      <c r="S522" s="757"/>
      <c r="T522" s="758">
        <f>D522</f>
        <v>2</v>
      </c>
      <c r="U522" s="759">
        <f>N522-2*P522+2*M523</f>
        <v>2.2066443157573912</v>
      </c>
      <c r="V522" s="757">
        <f>T522*U522*O522</f>
        <v>4.4132886315147823</v>
      </c>
      <c r="W522" s="757">
        <f t="shared" si="133"/>
        <v>0</v>
      </c>
      <c r="X522" s="757">
        <f t="shared" si="133"/>
        <v>0</v>
      </c>
      <c r="Y522" s="757">
        <f t="shared" si="133"/>
        <v>0</v>
      </c>
      <c r="Z522" s="757">
        <f t="shared" si="133"/>
        <v>0</v>
      </c>
      <c r="AA522" s="757">
        <f t="shared" si="133"/>
        <v>4.4132886315147823</v>
      </c>
      <c r="AB522" s="757">
        <f t="shared" si="133"/>
        <v>0</v>
      </c>
      <c r="AC522" s="757">
        <f t="shared" si="133"/>
        <v>0</v>
      </c>
      <c r="AD522" s="757">
        <f t="shared" si="133"/>
        <v>0</v>
      </c>
      <c r="AE522" s="757">
        <f t="shared" si="133"/>
        <v>0</v>
      </c>
      <c r="AF522" s="772" t="e">
        <f>(#REF!+#REF!/12)-0.25+0.5+0.25*2</f>
        <v>#REF!</v>
      </c>
      <c r="AI522" s="777"/>
      <c r="AL522" s="777"/>
      <c r="AM522" s="777"/>
    </row>
    <row r="523" spans="1:43" s="776" customFormat="1" ht="22.25" customHeight="1">
      <c r="A523" s="769"/>
      <c r="B523" s="770" t="s">
        <v>483</v>
      </c>
      <c r="C523" s="665"/>
      <c r="D523" s="665">
        <v>2</v>
      </c>
      <c r="E523" s="665">
        <f>E522</f>
        <v>1</v>
      </c>
      <c r="F523" s="751">
        <f>U523</f>
        <v>1.9216726607741543</v>
      </c>
      <c r="G523" s="773"/>
      <c r="H523" s="778"/>
      <c r="I523" s="774"/>
      <c r="J523" s="492">
        <f>IF(I523=0,1,I523)*IF(H523=0,1,H523)*IF(G523=0,1,G523)*IF(F523=0,1,F523)*IF(E523=0,1,E523)*IF(D523=0,1,D523)*IF(C523=0,1,C523)</f>
        <v>3.8433453215483087</v>
      </c>
      <c r="K523" s="480"/>
      <c r="L523" s="774"/>
      <c r="M523" s="760">
        <f>H520/3.281</f>
        <v>0.25297165498323682</v>
      </c>
      <c r="N523" s="781"/>
      <c r="O523" s="768">
        <f>E523</f>
        <v>1</v>
      </c>
      <c r="P523" s="781">
        <f>(1.5/12)/3.281</f>
        <v>3.8098140810728431E-2</v>
      </c>
      <c r="Q523" s="756" t="s">
        <v>457</v>
      </c>
      <c r="R523" s="756">
        <v>16</v>
      </c>
      <c r="S523" s="757"/>
      <c r="T523" s="758">
        <f>D523</f>
        <v>2</v>
      </c>
      <c r="U523" s="759">
        <f>N522-2*P523-2*R523/1000+2*((M523/2))</f>
        <v>1.9216726607741543</v>
      </c>
      <c r="V523" s="757">
        <f>T523*U523*O523</f>
        <v>3.8433453215483087</v>
      </c>
      <c r="W523" s="757">
        <f t="shared" si="133"/>
        <v>0</v>
      </c>
      <c r="X523" s="757">
        <f t="shared" si="133"/>
        <v>0</v>
      </c>
      <c r="Y523" s="757">
        <f t="shared" si="133"/>
        <v>0</v>
      </c>
      <c r="Z523" s="757">
        <f t="shared" si="133"/>
        <v>0</v>
      </c>
      <c r="AA523" s="757">
        <f t="shared" si="133"/>
        <v>3.8433453215483087</v>
      </c>
      <c r="AB523" s="757">
        <f t="shared" si="133"/>
        <v>0</v>
      </c>
      <c r="AC523" s="757">
        <f t="shared" si="133"/>
        <v>0</v>
      </c>
      <c r="AD523" s="757">
        <f t="shared" si="133"/>
        <v>0</v>
      </c>
      <c r="AE523" s="757">
        <f t="shared" si="133"/>
        <v>0</v>
      </c>
      <c r="AF523" s="772" t="e">
        <f>(#REF!+#REF!/12)-0.25+0.5+0.25*2</f>
        <v>#REF!</v>
      </c>
      <c r="AI523" s="777"/>
      <c r="AL523" s="777"/>
      <c r="AM523" s="777"/>
    </row>
    <row r="524" spans="1:43" s="776" customFormat="1" ht="22.25" customHeight="1">
      <c r="A524" s="769"/>
      <c r="B524" s="770" t="s">
        <v>483</v>
      </c>
      <c r="C524" s="665"/>
      <c r="D524" s="665">
        <v>1</v>
      </c>
      <c r="E524" s="665">
        <f>E523</f>
        <v>1</v>
      </c>
      <c r="F524" s="751">
        <f>U524</f>
        <v>2.2025415015747232</v>
      </c>
      <c r="G524" s="773"/>
      <c r="H524" s="778"/>
      <c r="I524" s="774"/>
      <c r="J524" s="492">
        <f>IF(I524=0,1,I524)*IF(H524=0,1,H524)*IF(G524=0,1,G524)*IF(F524=0,1,F524)*IF(E524=0,1,E524)*IF(D524=0,1,D524)*IF(C524=0,1,C524)</f>
        <v>2.2025415015747232</v>
      </c>
      <c r="K524" s="480"/>
      <c r="L524" s="774"/>
      <c r="M524" s="760"/>
      <c r="N524" s="781"/>
      <c r="O524" s="768">
        <f>E524</f>
        <v>1</v>
      </c>
      <c r="P524" s="781">
        <f>(1.5/12)/3.281</f>
        <v>3.8098140810728431E-2</v>
      </c>
      <c r="Q524" s="756" t="s">
        <v>786</v>
      </c>
      <c r="R524" s="756">
        <v>16</v>
      </c>
      <c r="S524" s="757"/>
      <c r="T524" s="758">
        <f>D524</f>
        <v>1</v>
      </c>
      <c r="U524" s="759">
        <f>(N522/3+M523+2*8*R524/1000)*2</f>
        <v>2.2025415015747232</v>
      </c>
      <c r="V524" s="757">
        <f>T524*U524*O524</f>
        <v>2.2025415015747232</v>
      </c>
      <c r="W524" s="757">
        <f t="shared" si="133"/>
        <v>0</v>
      </c>
      <c r="X524" s="757">
        <f t="shared" si="133"/>
        <v>0</v>
      </c>
      <c r="Y524" s="757">
        <f t="shared" si="133"/>
        <v>0</v>
      </c>
      <c r="Z524" s="757">
        <f t="shared" si="133"/>
        <v>0</v>
      </c>
      <c r="AA524" s="757">
        <f t="shared" si="133"/>
        <v>2.2025415015747232</v>
      </c>
      <c r="AB524" s="757">
        <f t="shared" si="133"/>
        <v>0</v>
      </c>
      <c r="AC524" s="757">
        <f t="shared" si="133"/>
        <v>0</v>
      </c>
      <c r="AD524" s="757">
        <f t="shared" si="133"/>
        <v>0</v>
      </c>
      <c r="AE524" s="757">
        <f t="shared" si="133"/>
        <v>0</v>
      </c>
      <c r="AF524" s="772" t="e">
        <f>(#REF!+#REF!/12)-0.25+0.5+0.25*2</f>
        <v>#REF!</v>
      </c>
      <c r="AI524" s="777"/>
      <c r="AL524" s="777"/>
      <c r="AM524" s="777"/>
    </row>
    <row r="525" spans="1:43" s="776" customFormat="1" ht="22.25" customHeight="1">
      <c r="A525" s="769"/>
      <c r="B525" s="770" t="s">
        <v>542</v>
      </c>
      <c r="C525" s="665"/>
      <c r="D525" s="665"/>
      <c r="E525" s="665"/>
      <c r="F525" s="751"/>
      <c r="G525" s="773"/>
      <c r="H525" s="778"/>
      <c r="I525" s="774"/>
      <c r="J525" s="778"/>
      <c r="K525" s="480"/>
      <c r="L525" s="774"/>
      <c r="M525" s="760"/>
      <c r="N525" s="781"/>
      <c r="O525" s="782"/>
      <c r="P525" s="781"/>
      <c r="Q525" s="756"/>
      <c r="R525" s="756"/>
      <c r="S525" s="757"/>
      <c r="T525" s="758"/>
      <c r="U525" s="759"/>
      <c r="V525" s="757"/>
      <c r="W525" s="757">
        <f t="shared" si="133"/>
        <v>0</v>
      </c>
      <c r="X525" s="757">
        <f t="shared" si="133"/>
        <v>0</v>
      </c>
      <c r="Y525" s="757">
        <f t="shared" si="133"/>
        <v>0</v>
      </c>
      <c r="Z525" s="757">
        <f t="shared" si="133"/>
        <v>0</v>
      </c>
      <c r="AA525" s="757">
        <f t="shared" si="133"/>
        <v>0</v>
      </c>
      <c r="AB525" s="757">
        <f t="shared" si="133"/>
        <v>0</v>
      </c>
      <c r="AC525" s="757">
        <f t="shared" si="133"/>
        <v>0</v>
      </c>
      <c r="AD525" s="757">
        <f t="shared" si="133"/>
        <v>0</v>
      </c>
      <c r="AE525" s="757">
        <f t="shared" si="133"/>
        <v>0</v>
      </c>
      <c r="AF525" s="772" t="e">
        <f>((#REF!+#REF!/12)-(1.5/12)*2)*4+0.25*2</f>
        <v>#REF!</v>
      </c>
      <c r="AI525" s="777"/>
      <c r="AL525" s="777"/>
      <c r="AM525" s="777"/>
    </row>
    <row r="526" spans="1:43" s="776" customFormat="1" ht="22.25" customHeight="1">
      <c r="A526" s="769"/>
      <c r="B526" s="770" t="s">
        <v>484</v>
      </c>
      <c r="C526" s="665"/>
      <c r="D526" s="665">
        <f>T526</f>
        <v>11</v>
      </c>
      <c r="E526" s="665">
        <f>E522</f>
        <v>1</v>
      </c>
      <c r="F526" s="751">
        <f>U526</f>
        <v>0.86710149344711984</v>
      </c>
      <c r="G526" s="779"/>
      <c r="H526" s="780"/>
      <c r="I526" s="774"/>
      <c r="J526" s="492">
        <f>IF(I526=0,1,I526)*IF(H526=0,1,H526)*IF(G526=0,1,G526)*IF(F526=0,1,F526)*IF(E526=0,1,E526)*IF(D526=0,1,D526)*IF(C526=0,1,C526)</f>
        <v>9.5381164279183182</v>
      </c>
      <c r="K526" s="480"/>
      <c r="L526" s="774"/>
      <c r="N526" s="781"/>
      <c r="O526" s="782">
        <f>O522</f>
        <v>1</v>
      </c>
      <c r="P526" s="781"/>
      <c r="Q526" s="756" t="s">
        <v>463</v>
      </c>
      <c r="R526" s="756">
        <v>10</v>
      </c>
      <c r="S526" s="757">
        <f>4/(12*3.281)</f>
        <v>0.1015950421619425</v>
      </c>
      <c r="T526" s="758">
        <f>2*(ROUND(2*M523/S526,0))+1</f>
        <v>11</v>
      </c>
      <c r="U526" s="759">
        <f>2*(M522+M523)-8*P522+2*8*R526/1000</f>
        <v>0.86710149344711984</v>
      </c>
      <c r="V526" s="757">
        <f>T526*U526*O526</f>
        <v>9.5381164279183182</v>
      </c>
      <c r="W526" s="757">
        <f t="shared" si="133"/>
        <v>0</v>
      </c>
      <c r="X526" s="757">
        <f t="shared" si="133"/>
        <v>0</v>
      </c>
      <c r="Y526" s="757">
        <f t="shared" si="133"/>
        <v>9.5381164279183182</v>
      </c>
      <c r="Z526" s="757">
        <f t="shared" si="133"/>
        <v>0</v>
      </c>
      <c r="AA526" s="757">
        <f t="shared" si="133"/>
        <v>0</v>
      </c>
      <c r="AB526" s="757">
        <f t="shared" si="133"/>
        <v>0</v>
      </c>
      <c r="AC526" s="757">
        <f t="shared" si="133"/>
        <v>0</v>
      </c>
      <c r="AD526" s="757">
        <f t="shared" si="133"/>
        <v>0</v>
      </c>
      <c r="AE526" s="757">
        <f t="shared" si="133"/>
        <v>0</v>
      </c>
      <c r="AF526" s="777"/>
      <c r="AI526" s="777"/>
      <c r="AL526" s="777"/>
      <c r="AM526" s="777"/>
    </row>
    <row r="527" spans="1:43" s="776" customFormat="1" ht="22.25" customHeight="1">
      <c r="A527" s="769"/>
      <c r="B527" s="770" t="s">
        <v>484</v>
      </c>
      <c r="C527" s="665"/>
      <c r="D527" s="665">
        <f>T527</f>
        <v>6</v>
      </c>
      <c r="E527" s="665">
        <f>E526</f>
        <v>1</v>
      </c>
      <c r="F527" s="751">
        <f>U527</f>
        <v>0.86710149344711984</v>
      </c>
      <c r="G527" s="779"/>
      <c r="H527" s="780"/>
      <c r="I527" s="774"/>
      <c r="J527" s="492">
        <f>IF(I527=0,1,I527)*IF(H527=0,1,H527)*IF(G527=0,1,G527)*IF(F527=0,1,F527)*IF(E527=0,1,E527)*IF(D527=0,1,D527)*IF(C527=0,1,C527)</f>
        <v>5.2026089606827188</v>
      </c>
      <c r="K527" s="480"/>
      <c r="L527" s="774"/>
      <c r="M527" s="760"/>
      <c r="N527" s="781"/>
      <c r="O527" s="782">
        <f>O526</f>
        <v>1</v>
      </c>
      <c r="P527" s="781"/>
      <c r="Q527" s="756" t="s">
        <v>463</v>
      </c>
      <c r="R527" s="756">
        <v>10</v>
      </c>
      <c r="S527" s="757">
        <f>6/(12*3.281)</f>
        <v>0.15239256324291375</v>
      </c>
      <c r="T527" s="758">
        <f>(ROUND((N522-4*M523)/S527,0))+1</f>
        <v>6</v>
      </c>
      <c r="U527" s="759">
        <f>2*(M522+M523)-8*P522+2*8*R527/1000</f>
        <v>0.86710149344711984</v>
      </c>
      <c r="V527" s="757">
        <f>T527*U527*O527</f>
        <v>5.2026089606827188</v>
      </c>
      <c r="W527" s="757">
        <f t="shared" si="133"/>
        <v>0</v>
      </c>
      <c r="X527" s="757">
        <f t="shared" si="133"/>
        <v>0</v>
      </c>
      <c r="Y527" s="757">
        <f t="shared" si="133"/>
        <v>5.2026089606827188</v>
      </c>
      <c r="Z527" s="757">
        <f t="shared" si="133"/>
        <v>0</v>
      </c>
      <c r="AA527" s="757">
        <f t="shared" si="133"/>
        <v>0</v>
      </c>
      <c r="AB527" s="757">
        <f t="shared" si="133"/>
        <v>0</v>
      </c>
      <c r="AC527" s="757">
        <f t="shared" si="133"/>
        <v>0</v>
      </c>
      <c r="AD527" s="757">
        <f t="shared" si="133"/>
        <v>0</v>
      </c>
      <c r="AE527" s="757">
        <f t="shared" si="133"/>
        <v>0</v>
      </c>
      <c r="AF527" s="777"/>
      <c r="AI527" s="777"/>
      <c r="AL527" s="777"/>
      <c r="AM527" s="777"/>
    </row>
    <row r="528" spans="1:43" s="390" customFormat="1" ht="22.25" customHeight="1">
      <c r="A528" s="454"/>
      <c r="B528" s="657" t="s">
        <v>540</v>
      </c>
      <c r="C528" s="662"/>
      <c r="D528" s="662"/>
      <c r="E528" s="662">
        <v>1</v>
      </c>
      <c r="F528" s="498">
        <f>15+0.83</f>
        <v>15.83</v>
      </c>
      <c r="G528" s="642">
        <f>G520</f>
        <v>0.83</v>
      </c>
      <c r="H528" s="642">
        <f>H520</f>
        <v>0.83</v>
      </c>
      <c r="I528" s="499"/>
      <c r="J528" s="507"/>
      <c r="K528" s="455"/>
      <c r="L528" s="312"/>
      <c r="M528" s="722"/>
      <c r="N528" s="722"/>
      <c r="O528" s="722"/>
      <c r="P528" s="722"/>
      <c r="Q528" s="611"/>
      <c r="R528" s="611"/>
      <c r="S528" s="624"/>
      <c r="T528" s="625"/>
      <c r="U528" s="626"/>
      <c r="V528" s="624"/>
      <c r="W528" s="624"/>
      <c r="X528" s="624"/>
      <c r="Y528" s="624"/>
      <c r="Z528" s="624"/>
      <c r="AA528" s="624"/>
      <c r="AB528" s="624"/>
      <c r="AC528" s="624"/>
      <c r="AD528" s="624"/>
      <c r="AE528" s="624"/>
      <c r="AF528" s="471"/>
      <c r="AG528" s="473"/>
      <c r="AH528" s="471"/>
      <c r="AI528" s="471"/>
      <c r="AJ528" s="471"/>
      <c r="AM528" s="404"/>
      <c r="AP528" s="404"/>
      <c r="AQ528" s="404"/>
    </row>
    <row r="529" spans="1:43" s="776" customFormat="1" ht="22.25" customHeight="1">
      <c r="A529" s="769"/>
      <c r="B529" s="770" t="s">
        <v>784</v>
      </c>
      <c r="C529" s="665"/>
      <c r="D529" s="665"/>
      <c r="E529" s="665"/>
      <c r="F529" s="751"/>
      <c r="G529" s="773"/>
      <c r="H529" s="778"/>
      <c r="I529" s="774"/>
      <c r="J529" s="778"/>
      <c r="K529" s="480"/>
      <c r="L529" s="774"/>
      <c r="M529" s="760"/>
      <c r="N529" s="781"/>
      <c r="O529" s="782"/>
      <c r="P529" s="781"/>
      <c r="Q529" s="756"/>
      <c r="R529" s="756"/>
      <c r="S529" s="757"/>
      <c r="T529" s="758"/>
      <c r="U529" s="759"/>
      <c r="V529" s="757"/>
      <c r="W529" s="757">
        <f t="shared" si="133"/>
        <v>0</v>
      </c>
      <c r="X529" s="757">
        <f t="shared" si="133"/>
        <v>0</v>
      </c>
      <c r="Y529" s="757">
        <f t="shared" si="133"/>
        <v>0</v>
      </c>
      <c r="Z529" s="757">
        <f t="shared" si="133"/>
        <v>0</v>
      </c>
      <c r="AA529" s="757">
        <f t="shared" si="133"/>
        <v>0</v>
      </c>
      <c r="AB529" s="757">
        <f t="shared" si="133"/>
        <v>0</v>
      </c>
      <c r="AC529" s="757">
        <f t="shared" si="133"/>
        <v>0</v>
      </c>
      <c r="AD529" s="757">
        <f t="shared" si="133"/>
        <v>0</v>
      </c>
      <c r="AE529" s="757">
        <f t="shared" si="133"/>
        <v>0</v>
      </c>
      <c r="AF529" s="772" t="e">
        <f>((#REF!+#REF!/12)-(1.5/12)*2)*4+0.25*2</f>
        <v>#REF!</v>
      </c>
      <c r="AI529" s="777"/>
      <c r="AL529" s="777"/>
      <c r="AM529" s="777"/>
    </row>
    <row r="530" spans="1:43" s="776" customFormat="1" ht="22.25" customHeight="1">
      <c r="A530" s="769"/>
      <c r="B530" s="770" t="s">
        <v>483</v>
      </c>
      <c r="C530" s="665"/>
      <c r="D530" s="665">
        <v>2</v>
      </c>
      <c r="E530" s="665">
        <f>E528</f>
        <v>1</v>
      </c>
      <c r="F530" s="751">
        <f>U530</f>
        <v>5.2544955806156661</v>
      </c>
      <c r="G530" s="773"/>
      <c r="H530" s="778"/>
      <c r="I530" s="774"/>
      <c r="J530" s="492">
        <f>IF(I530=0,1,I530)*IF(H530=0,1,H530)*IF(G530=0,1,G530)*IF(F530=0,1,F530)*IF(E530=0,1,E530)*IF(D530=0,1,D530)*IF(C530=0,1,C530)</f>
        <v>10.508991161231332</v>
      </c>
      <c r="K530" s="480"/>
      <c r="L530" s="774"/>
      <c r="M530" s="760">
        <f>G528/3.281</f>
        <v>0.25297165498323682</v>
      </c>
      <c r="N530" s="781">
        <f>F528/3.281</f>
        <v>4.8247485522706492</v>
      </c>
      <c r="O530" s="768">
        <f>E530</f>
        <v>1</v>
      </c>
      <c r="P530" s="781">
        <f>(1.5/12)/3.281</f>
        <v>3.8098140810728431E-2</v>
      </c>
      <c r="Q530" s="756" t="s">
        <v>541</v>
      </c>
      <c r="R530" s="756">
        <v>16</v>
      </c>
      <c r="S530" s="757"/>
      <c r="T530" s="758">
        <f>D530</f>
        <v>2</v>
      </c>
      <c r="U530" s="759">
        <f>N530-2*P530+2*M531</f>
        <v>5.2544955806156661</v>
      </c>
      <c r="V530" s="757">
        <f>T530*U530*O530</f>
        <v>10.508991161231332</v>
      </c>
      <c r="W530" s="757">
        <f t="shared" ref="W530:AE535" si="134">IF($R530=W$5,$V530,0)</f>
        <v>0</v>
      </c>
      <c r="X530" s="757">
        <f t="shared" si="134"/>
        <v>0</v>
      </c>
      <c r="Y530" s="757">
        <f t="shared" si="134"/>
        <v>0</v>
      </c>
      <c r="Z530" s="757">
        <f t="shared" si="134"/>
        <v>0</v>
      </c>
      <c r="AA530" s="757">
        <f t="shared" si="134"/>
        <v>10.508991161231332</v>
      </c>
      <c r="AB530" s="757">
        <f t="shared" si="134"/>
        <v>0</v>
      </c>
      <c r="AC530" s="757">
        <f t="shared" si="134"/>
        <v>0</v>
      </c>
      <c r="AD530" s="757">
        <f t="shared" si="134"/>
        <v>0</v>
      </c>
      <c r="AE530" s="757">
        <f t="shared" si="134"/>
        <v>0</v>
      </c>
      <c r="AF530" s="772" t="e">
        <f>(#REF!+#REF!/12)-0.25+0.5+0.25*2</f>
        <v>#REF!</v>
      </c>
      <c r="AI530" s="777"/>
      <c r="AL530" s="777"/>
      <c r="AM530" s="777"/>
    </row>
    <row r="531" spans="1:43" s="776" customFormat="1" ht="22.25" customHeight="1">
      <c r="A531" s="769"/>
      <c r="B531" s="770" t="s">
        <v>483</v>
      </c>
      <c r="C531" s="665"/>
      <c r="D531" s="665">
        <v>2</v>
      </c>
      <c r="E531" s="665">
        <f>E530</f>
        <v>1</v>
      </c>
      <c r="F531" s="751">
        <f>U531</f>
        <v>4.9695239256324291</v>
      </c>
      <c r="G531" s="773"/>
      <c r="H531" s="778"/>
      <c r="I531" s="774"/>
      <c r="J531" s="492">
        <f>IF(I531=0,1,I531)*IF(H531=0,1,H531)*IF(G531=0,1,G531)*IF(F531=0,1,F531)*IF(E531=0,1,E531)*IF(D531=0,1,D531)*IF(C531=0,1,C531)</f>
        <v>9.9390478512648581</v>
      </c>
      <c r="K531" s="480"/>
      <c r="L531" s="774"/>
      <c r="M531" s="760">
        <f>H528/3.281</f>
        <v>0.25297165498323682</v>
      </c>
      <c r="N531" s="781"/>
      <c r="O531" s="768">
        <f>E531</f>
        <v>1</v>
      </c>
      <c r="P531" s="781">
        <f>(1.5/12)/3.281</f>
        <v>3.8098140810728431E-2</v>
      </c>
      <c r="Q531" s="756" t="s">
        <v>457</v>
      </c>
      <c r="R531" s="756">
        <v>16</v>
      </c>
      <c r="S531" s="757"/>
      <c r="T531" s="758">
        <f>D531</f>
        <v>2</v>
      </c>
      <c r="U531" s="759">
        <f>N530-2*P531-2*R531/1000+2*((M531/2))</f>
        <v>4.9695239256324291</v>
      </c>
      <c r="V531" s="757">
        <f>T531*U531*O531</f>
        <v>9.9390478512648581</v>
      </c>
      <c r="W531" s="757">
        <f t="shared" si="134"/>
        <v>0</v>
      </c>
      <c r="X531" s="757">
        <f t="shared" si="134"/>
        <v>0</v>
      </c>
      <c r="Y531" s="757">
        <f t="shared" si="134"/>
        <v>0</v>
      </c>
      <c r="Z531" s="757">
        <f t="shared" si="134"/>
        <v>0</v>
      </c>
      <c r="AA531" s="757">
        <f t="shared" si="134"/>
        <v>9.9390478512648581</v>
      </c>
      <c r="AB531" s="757">
        <f t="shared" si="134"/>
        <v>0</v>
      </c>
      <c r="AC531" s="757">
        <f t="shared" si="134"/>
        <v>0</v>
      </c>
      <c r="AD531" s="757">
        <f t="shared" si="134"/>
        <v>0</v>
      </c>
      <c r="AE531" s="757">
        <f t="shared" si="134"/>
        <v>0</v>
      </c>
      <c r="AF531" s="772" t="e">
        <f>(#REF!+#REF!/12)-0.25+0.5+0.25*2</f>
        <v>#REF!</v>
      </c>
      <c r="AI531" s="777"/>
      <c r="AL531" s="777"/>
      <c r="AM531" s="777"/>
    </row>
    <row r="532" spans="1:43" s="776" customFormat="1" ht="22.25" customHeight="1">
      <c r="A532" s="769"/>
      <c r="B532" s="770" t="s">
        <v>483</v>
      </c>
      <c r="C532" s="665"/>
      <c r="D532" s="665">
        <v>1</v>
      </c>
      <c r="E532" s="665">
        <f>E531</f>
        <v>1</v>
      </c>
      <c r="F532" s="751">
        <f>U532</f>
        <v>4.2344423448135728</v>
      </c>
      <c r="G532" s="773"/>
      <c r="H532" s="778"/>
      <c r="I532" s="774"/>
      <c r="J532" s="492">
        <f>IF(I532=0,1,I532)*IF(H532=0,1,H532)*IF(G532=0,1,G532)*IF(F532=0,1,F532)*IF(E532=0,1,E532)*IF(D532=0,1,D532)*IF(C532=0,1,C532)</f>
        <v>4.2344423448135728</v>
      </c>
      <c r="K532" s="480"/>
      <c r="L532" s="774"/>
      <c r="M532" s="760"/>
      <c r="N532" s="781"/>
      <c r="O532" s="768">
        <f>E532</f>
        <v>1</v>
      </c>
      <c r="P532" s="781">
        <f>(1.5/12)/3.281</f>
        <v>3.8098140810728431E-2</v>
      </c>
      <c r="Q532" s="756" t="s">
        <v>786</v>
      </c>
      <c r="R532" s="756">
        <v>16</v>
      </c>
      <c r="S532" s="757"/>
      <c r="T532" s="758">
        <f>D532</f>
        <v>1</v>
      </c>
      <c r="U532" s="759">
        <f>(N530/3+M531+2*8*R532/1000)*2</f>
        <v>4.2344423448135728</v>
      </c>
      <c r="V532" s="757">
        <f>T532*U532*O532</f>
        <v>4.2344423448135728</v>
      </c>
      <c r="W532" s="757">
        <f t="shared" si="134"/>
        <v>0</v>
      </c>
      <c r="X532" s="757">
        <f t="shared" si="134"/>
        <v>0</v>
      </c>
      <c r="Y532" s="757">
        <f t="shared" si="134"/>
        <v>0</v>
      </c>
      <c r="Z532" s="757">
        <f t="shared" si="134"/>
        <v>0</v>
      </c>
      <c r="AA532" s="757">
        <f t="shared" si="134"/>
        <v>4.2344423448135728</v>
      </c>
      <c r="AB532" s="757">
        <f t="shared" si="134"/>
        <v>0</v>
      </c>
      <c r="AC532" s="757">
        <f t="shared" si="134"/>
        <v>0</v>
      </c>
      <c r="AD532" s="757">
        <f t="shared" si="134"/>
        <v>0</v>
      </c>
      <c r="AE532" s="757">
        <f t="shared" si="134"/>
        <v>0</v>
      </c>
      <c r="AF532" s="772" t="e">
        <f>(#REF!+#REF!/12)-0.25+0.5+0.25*2</f>
        <v>#REF!</v>
      </c>
      <c r="AI532" s="777"/>
      <c r="AL532" s="777"/>
      <c r="AM532" s="777"/>
    </row>
    <row r="533" spans="1:43" s="776" customFormat="1" ht="22.25" customHeight="1">
      <c r="A533" s="769"/>
      <c r="B533" s="770" t="s">
        <v>542</v>
      </c>
      <c r="C533" s="665"/>
      <c r="D533" s="665"/>
      <c r="E533" s="665"/>
      <c r="F533" s="751"/>
      <c r="G533" s="773"/>
      <c r="H533" s="778"/>
      <c r="I533" s="774"/>
      <c r="J533" s="778"/>
      <c r="K533" s="480"/>
      <c r="L533" s="774"/>
      <c r="M533" s="760"/>
      <c r="N533" s="781"/>
      <c r="O533" s="782"/>
      <c r="P533" s="781"/>
      <c r="Q533" s="756"/>
      <c r="R533" s="756"/>
      <c r="S533" s="757"/>
      <c r="T533" s="758"/>
      <c r="U533" s="759"/>
      <c r="V533" s="757"/>
      <c r="W533" s="757">
        <f t="shared" si="134"/>
        <v>0</v>
      </c>
      <c r="X533" s="757">
        <f t="shared" si="134"/>
        <v>0</v>
      </c>
      <c r="Y533" s="757">
        <f t="shared" si="134"/>
        <v>0</v>
      </c>
      <c r="Z533" s="757">
        <f t="shared" si="134"/>
        <v>0</v>
      </c>
      <c r="AA533" s="757">
        <f t="shared" si="134"/>
        <v>0</v>
      </c>
      <c r="AB533" s="757">
        <f t="shared" si="134"/>
        <v>0</v>
      </c>
      <c r="AC533" s="757">
        <f t="shared" si="134"/>
        <v>0</v>
      </c>
      <c r="AD533" s="757">
        <f t="shared" si="134"/>
        <v>0</v>
      </c>
      <c r="AE533" s="757">
        <f t="shared" si="134"/>
        <v>0</v>
      </c>
      <c r="AF533" s="772" t="e">
        <f>((#REF!+#REF!/12)-(1.5/12)*2)*4+0.25*2</f>
        <v>#REF!</v>
      </c>
      <c r="AI533" s="777"/>
      <c r="AL533" s="777"/>
      <c r="AM533" s="777"/>
    </row>
    <row r="534" spans="1:43" s="776" customFormat="1" ht="22.25" customHeight="1">
      <c r="A534" s="769"/>
      <c r="B534" s="770" t="s">
        <v>484</v>
      </c>
      <c r="C534" s="665"/>
      <c r="D534" s="665">
        <f>T534</f>
        <v>11</v>
      </c>
      <c r="E534" s="665">
        <f>E530</f>
        <v>1</v>
      </c>
      <c r="F534" s="751">
        <f>U534</f>
        <v>0.86710149344711984</v>
      </c>
      <c r="G534" s="779"/>
      <c r="H534" s="780"/>
      <c r="I534" s="774"/>
      <c r="J534" s="492">
        <f>IF(I534=0,1,I534)*IF(H534=0,1,H534)*IF(G534=0,1,G534)*IF(F534=0,1,F534)*IF(E534=0,1,E534)*IF(D534=0,1,D534)*IF(C534=0,1,C534)</f>
        <v>9.5381164279183182</v>
      </c>
      <c r="K534" s="480"/>
      <c r="L534" s="774"/>
      <c r="N534" s="781"/>
      <c r="O534" s="782">
        <f>O530</f>
        <v>1</v>
      </c>
      <c r="P534" s="781"/>
      <c r="Q534" s="756" t="s">
        <v>463</v>
      </c>
      <c r="R534" s="756">
        <v>10</v>
      </c>
      <c r="S534" s="757">
        <f>4/(12*3.281)</f>
        <v>0.1015950421619425</v>
      </c>
      <c r="T534" s="758">
        <f>2*(ROUND(2*M531/S534,0))+1</f>
        <v>11</v>
      </c>
      <c r="U534" s="759">
        <f>2*(M530+M531)-8*P530+2*8*R534/1000</f>
        <v>0.86710149344711984</v>
      </c>
      <c r="V534" s="757">
        <f>T534*U534*O534</f>
        <v>9.5381164279183182</v>
      </c>
      <c r="W534" s="757">
        <f t="shared" si="134"/>
        <v>0</v>
      </c>
      <c r="X534" s="757">
        <f t="shared" si="134"/>
        <v>0</v>
      </c>
      <c r="Y534" s="757">
        <f t="shared" si="134"/>
        <v>9.5381164279183182</v>
      </c>
      <c r="Z534" s="757">
        <f t="shared" si="134"/>
        <v>0</v>
      </c>
      <c r="AA534" s="757">
        <f t="shared" si="134"/>
        <v>0</v>
      </c>
      <c r="AB534" s="757">
        <f t="shared" si="134"/>
        <v>0</v>
      </c>
      <c r="AC534" s="757">
        <f t="shared" si="134"/>
        <v>0</v>
      </c>
      <c r="AD534" s="757">
        <f t="shared" si="134"/>
        <v>0</v>
      </c>
      <c r="AE534" s="757">
        <f t="shared" si="134"/>
        <v>0</v>
      </c>
      <c r="AF534" s="777"/>
      <c r="AI534" s="777"/>
      <c r="AL534" s="777"/>
      <c r="AM534" s="777"/>
    </row>
    <row r="535" spans="1:43" s="776" customFormat="1" ht="22.25" customHeight="1">
      <c r="A535" s="769"/>
      <c r="B535" s="770" t="s">
        <v>484</v>
      </c>
      <c r="C535" s="665"/>
      <c r="D535" s="665">
        <f>T535</f>
        <v>26</v>
      </c>
      <c r="E535" s="665">
        <f>E534</f>
        <v>1</v>
      </c>
      <c r="F535" s="751">
        <f>U535</f>
        <v>0.86710149344711984</v>
      </c>
      <c r="G535" s="779"/>
      <c r="H535" s="780"/>
      <c r="I535" s="774"/>
      <c r="J535" s="492">
        <f>IF(I535=0,1,I535)*IF(H535=0,1,H535)*IF(G535=0,1,G535)*IF(F535=0,1,F535)*IF(E535=0,1,E535)*IF(D535=0,1,D535)*IF(C535=0,1,C535)</f>
        <v>22.544638829625114</v>
      </c>
      <c r="K535" s="480"/>
      <c r="L535" s="774"/>
      <c r="M535" s="760"/>
      <c r="N535" s="781"/>
      <c r="O535" s="782">
        <f>O534</f>
        <v>1</v>
      </c>
      <c r="P535" s="781"/>
      <c r="Q535" s="756" t="s">
        <v>463</v>
      </c>
      <c r="R535" s="756">
        <v>10</v>
      </c>
      <c r="S535" s="757">
        <f>6/(12*3.281)</f>
        <v>0.15239256324291375</v>
      </c>
      <c r="T535" s="758">
        <f>(ROUND((N530-4*M531)/S535,0))+1</f>
        <v>26</v>
      </c>
      <c r="U535" s="759">
        <f>2*(M530+M531)-8*P530+2*8*R535/1000</f>
        <v>0.86710149344711984</v>
      </c>
      <c r="V535" s="757">
        <f>T535*U535*O535</f>
        <v>22.544638829625114</v>
      </c>
      <c r="W535" s="757">
        <f t="shared" si="134"/>
        <v>0</v>
      </c>
      <c r="X535" s="757">
        <f t="shared" si="134"/>
        <v>0</v>
      </c>
      <c r="Y535" s="757">
        <f t="shared" si="134"/>
        <v>22.544638829625114</v>
      </c>
      <c r="Z535" s="757">
        <f t="shared" si="134"/>
        <v>0</v>
      </c>
      <c r="AA535" s="757">
        <f t="shared" si="134"/>
        <v>0</v>
      </c>
      <c r="AB535" s="757">
        <f t="shared" si="134"/>
        <v>0</v>
      </c>
      <c r="AC535" s="757">
        <f t="shared" si="134"/>
        <v>0</v>
      </c>
      <c r="AD535" s="757">
        <f t="shared" si="134"/>
        <v>0</v>
      </c>
      <c r="AE535" s="757">
        <f t="shared" si="134"/>
        <v>0</v>
      </c>
      <c r="AF535" s="777"/>
      <c r="AI535" s="777"/>
      <c r="AL535" s="777"/>
      <c r="AM535" s="777"/>
    </row>
    <row r="536" spans="1:43" s="390" customFormat="1" ht="21.9" customHeight="1">
      <c r="A536" s="454"/>
      <c r="B536" s="659" t="s">
        <v>744</v>
      </c>
      <c r="C536" s="662"/>
      <c r="D536" s="662"/>
      <c r="E536" s="662"/>
      <c r="F536" s="498"/>
      <c r="G536" s="642"/>
      <c r="H536" s="647"/>
      <c r="I536" s="499"/>
      <c r="J536" s="455"/>
      <c r="K536" s="455"/>
      <c r="L536" s="312"/>
      <c r="M536" s="726"/>
      <c r="N536" s="726"/>
      <c r="O536" s="726"/>
      <c r="P536" s="726"/>
      <c r="Q536" s="611"/>
      <c r="R536" s="611"/>
      <c r="S536" s="624"/>
      <c r="T536" s="625"/>
      <c r="U536" s="626"/>
      <c r="V536" s="624"/>
      <c r="W536" s="624">
        <f t="shared" ref="W536:AE545" si="135">IF($R536=W$5,$V536,0)</f>
        <v>0</v>
      </c>
      <c r="X536" s="624">
        <f t="shared" si="135"/>
        <v>0</v>
      </c>
      <c r="Y536" s="624">
        <f t="shared" si="135"/>
        <v>0</v>
      </c>
      <c r="Z536" s="624">
        <f t="shared" si="135"/>
        <v>0</v>
      </c>
      <c r="AA536" s="624">
        <f t="shared" si="135"/>
        <v>0</v>
      </c>
      <c r="AB536" s="624">
        <f t="shared" si="135"/>
        <v>0</v>
      </c>
      <c r="AC536" s="624">
        <f t="shared" si="135"/>
        <v>0</v>
      </c>
      <c r="AD536" s="624">
        <f t="shared" si="135"/>
        <v>0</v>
      </c>
      <c r="AE536" s="624">
        <f t="shared" si="135"/>
        <v>0</v>
      </c>
      <c r="AF536" s="404"/>
      <c r="AG536" s="471"/>
      <c r="AH536" s="471"/>
      <c r="AI536" s="471"/>
      <c r="AJ536" s="471"/>
      <c r="AM536" s="404"/>
      <c r="AP536" s="404"/>
      <c r="AQ536" s="404"/>
    </row>
    <row r="537" spans="1:43" s="390" customFormat="1" ht="22.25" customHeight="1">
      <c r="A537" s="454"/>
      <c r="B537" s="657" t="s">
        <v>305</v>
      </c>
      <c r="C537" s="662"/>
      <c r="D537" s="662"/>
      <c r="E537" s="662">
        <v>2</v>
      </c>
      <c r="F537" s="498">
        <f>14.5</f>
        <v>14.5</v>
      </c>
      <c r="G537" s="642">
        <v>0.83</v>
      </c>
      <c r="H537" s="642">
        <v>1</v>
      </c>
      <c r="I537" s="499"/>
      <c r="J537" s="507"/>
      <c r="K537" s="455"/>
      <c r="L537" s="312"/>
      <c r="M537" s="722"/>
      <c r="N537" s="722"/>
      <c r="O537" s="722"/>
      <c r="P537" s="722"/>
      <c r="Q537" s="611"/>
      <c r="R537" s="611"/>
      <c r="S537" s="611"/>
      <c r="T537" s="611"/>
      <c r="U537" s="611"/>
      <c r="V537" s="624"/>
      <c r="W537" s="624">
        <f t="shared" si="135"/>
        <v>0</v>
      </c>
      <c r="X537" s="624">
        <f t="shared" si="135"/>
        <v>0</v>
      </c>
      <c r="Y537" s="624">
        <f t="shared" si="135"/>
        <v>0</v>
      </c>
      <c r="Z537" s="624">
        <f t="shared" si="135"/>
        <v>0</v>
      </c>
      <c r="AA537" s="624">
        <f t="shared" si="135"/>
        <v>0</v>
      </c>
      <c r="AB537" s="624">
        <f t="shared" si="135"/>
        <v>0</v>
      </c>
      <c r="AC537" s="624">
        <f t="shared" si="135"/>
        <v>0</v>
      </c>
      <c r="AD537" s="624">
        <f t="shared" si="135"/>
        <v>0</v>
      </c>
      <c r="AE537" s="624">
        <f t="shared" si="135"/>
        <v>0</v>
      </c>
      <c r="AF537" s="471">
        <f>14*0.75*1*2</f>
        <v>21</v>
      </c>
      <c r="AG537" s="473"/>
      <c r="AH537" s="471"/>
      <c r="AI537" s="471"/>
      <c r="AJ537" s="471"/>
      <c r="AM537" s="404"/>
      <c r="AP537" s="404"/>
      <c r="AQ537" s="404"/>
    </row>
    <row r="538" spans="1:43" s="776" customFormat="1" ht="22.25" customHeight="1">
      <c r="A538" s="769"/>
      <c r="B538" s="770" t="s">
        <v>785</v>
      </c>
      <c r="C538" s="665"/>
      <c r="D538" s="665"/>
      <c r="E538" s="665"/>
      <c r="F538" s="751"/>
      <c r="G538" s="773"/>
      <c r="H538" s="778"/>
      <c r="I538" s="774"/>
      <c r="J538" s="778"/>
      <c r="K538" s="480"/>
      <c r="L538" s="774"/>
      <c r="M538" s="760"/>
      <c r="N538" s="781"/>
      <c r="O538" s="782"/>
      <c r="P538" s="781"/>
      <c r="Q538" s="756"/>
      <c r="R538" s="756"/>
      <c r="S538" s="757"/>
      <c r="T538" s="758"/>
      <c r="U538" s="759"/>
      <c r="V538" s="757"/>
      <c r="W538" s="757">
        <f t="shared" si="135"/>
        <v>0</v>
      </c>
      <c r="X538" s="757">
        <f t="shared" si="135"/>
        <v>0</v>
      </c>
      <c r="Y538" s="757">
        <f t="shared" si="135"/>
        <v>0</v>
      </c>
      <c r="Z538" s="757">
        <f t="shared" si="135"/>
        <v>0</v>
      </c>
      <c r="AA538" s="757">
        <f t="shared" si="135"/>
        <v>0</v>
      </c>
      <c r="AB538" s="757">
        <f t="shared" si="135"/>
        <v>0</v>
      </c>
      <c r="AC538" s="757">
        <f t="shared" si="135"/>
        <v>0</v>
      </c>
      <c r="AD538" s="757">
        <f t="shared" si="135"/>
        <v>0</v>
      </c>
      <c r="AE538" s="757">
        <f t="shared" si="135"/>
        <v>0</v>
      </c>
      <c r="AF538" s="772" t="e">
        <f>((#REF!+#REF!/12)-(1.5/12)*2)*4+0.25*2</f>
        <v>#REF!</v>
      </c>
      <c r="AI538" s="777"/>
      <c r="AL538" s="777"/>
      <c r="AM538" s="777"/>
    </row>
    <row r="539" spans="1:43" s="776" customFormat="1" ht="22.25" customHeight="1">
      <c r="A539" s="769"/>
      <c r="B539" s="770" t="s">
        <v>483</v>
      </c>
      <c r="C539" s="665"/>
      <c r="D539" s="665">
        <v>2</v>
      </c>
      <c r="E539" s="665">
        <f>E537</f>
        <v>2</v>
      </c>
      <c r="F539" s="751">
        <f>U539</f>
        <v>4.9527583053946964</v>
      </c>
      <c r="G539" s="773"/>
      <c r="H539" s="778"/>
      <c r="I539" s="774"/>
      <c r="J539" s="492">
        <f>IF(I539=0,1,I539)*IF(H539=0,1,H539)*IF(G539=0,1,G539)*IF(F539=0,1,F539)*IF(E539=0,1,E539)*IF(D539=0,1,D539)*IF(C539=0,1,C539)</f>
        <v>19.811033221578786</v>
      </c>
      <c r="K539" s="480"/>
      <c r="L539" s="774"/>
      <c r="M539" s="760">
        <f>G537/3.281</f>
        <v>0.25297165498323682</v>
      </c>
      <c r="N539" s="781">
        <f>F537/3.281</f>
        <v>4.4193843340444987</v>
      </c>
      <c r="O539" s="768">
        <f>E539</f>
        <v>2</v>
      </c>
      <c r="P539" s="781">
        <f>(1.5/12)/3.281</f>
        <v>3.8098140810728431E-2</v>
      </c>
      <c r="Q539" s="756" t="s">
        <v>541</v>
      </c>
      <c r="R539" s="756">
        <v>16</v>
      </c>
      <c r="S539" s="757"/>
      <c r="T539" s="758">
        <f>D539</f>
        <v>2</v>
      </c>
      <c r="U539" s="759">
        <f>N539-2*P539+2*M540</f>
        <v>4.9527583053946964</v>
      </c>
      <c r="V539" s="757">
        <f>T539*U539*O539</f>
        <v>19.811033221578786</v>
      </c>
      <c r="W539" s="757">
        <f t="shared" si="135"/>
        <v>0</v>
      </c>
      <c r="X539" s="757">
        <f t="shared" si="135"/>
        <v>0</v>
      </c>
      <c r="Y539" s="757">
        <f t="shared" si="135"/>
        <v>0</v>
      </c>
      <c r="Z539" s="757">
        <f t="shared" si="135"/>
        <v>0</v>
      </c>
      <c r="AA539" s="757">
        <f t="shared" si="135"/>
        <v>19.811033221578786</v>
      </c>
      <c r="AB539" s="757">
        <f t="shared" si="135"/>
        <v>0</v>
      </c>
      <c r="AC539" s="757">
        <f t="shared" si="135"/>
        <v>0</v>
      </c>
      <c r="AD539" s="757">
        <f t="shared" si="135"/>
        <v>0</v>
      </c>
      <c r="AE539" s="757">
        <f t="shared" si="135"/>
        <v>0</v>
      </c>
      <c r="AF539" s="772" t="e">
        <f>(#REF!+#REF!/12)-0.25+0.5+0.25*2</f>
        <v>#REF!</v>
      </c>
      <c r="AI539" s="777"/>
      <c r="AL539" s="777"/>
      <c r="AM539" s="777"/>
    </row>
    <row r="540" spans="1:43" s="776" customFormat="1" ht="22.25" customHeight="1">
      <c r="A540" s="769"/>
      <c r="B540" s="770" t="s">
        <v>483</v>
      </c>
      <c r="C540" s="665"/>
      <c r="D540" s="665">
        <v>2</v>
      </c>
      <c r="E540" s="665">
        <f>E539</f>
        <v>2</v>
      </c>
      <c r="F540" s="751">
        <f>U540</f>
        <v>4.6159731789088685</v>
      </c>
      <c r="G540" s="773"/>
      <c r="H540" s="778"/>
      <c r="I540" s="774"/>
      <c r="J540" s="492">
        <f>IF(I540=0,1,I540)*IF(H540=0,1,H540)*IF(G540=0,1,G540)*IF(F540=0,1,F540)*IF(E540=0,1,E540)*IF(D540=0,1,D540)*IF(C540=0,1,C540)</f>
        <v>18.463892715635474</v>
      </c>
      <c r="K540" s="480"/>
      <c r="L540" s="774"/>
      <c r="M540" s="760">
        <f>H537/3.281</f>
        <v>0.30478512648582745</v>
      </c>
      <c r="N540" s="781"/>
      <c r="O540" s="768">
        <f>E540</f>
        <v>2</v>
      </c>
      <c r="P540" s="781">
        <f>(1.5/12)/3.281</f>
        <v>3.8098140810728431E-2</v>
      </c>
      <c r="Q540" s="756" t="s">
        <v>457</v>
      </c>
      <c r="R540" s="756">
        <v>16</v>
      </c>
      <c r="S540" s="757"/>
      <c r="T540" s="758">
        <f>D540</f>
        <v>2</v>
      </c>
      <c r="U540" s="759">
        <f>N539-2*P540-2*R540/1000+2*((M540/2))</f>
        <v>4.6159731789088685</v>
      </c>
      <c r="V540" s="757">
        <f>T540*U540*O540</f>
        <v>18.463892715635474</v>
      </c>
      <c r="W540" s="757">
        <f t="shared" si="135"/>
        <v>0</v>
      </c>
      <c r="X540" s="757">
        <f t="shared" si="135"/>
        <v>0</v>
      </c>
      <c r="Y540" s="757">
        <f t="shared" si="135"/>
        <v>0</v>
      </c>
      <c r="Z540" s="757">
        <f t="shared" si="135"/>
        <v>0</v>
      </c>
      <c r="AA540" s="757">
        <f t="shared" si="135"/>
        <v>18.463892715635474</v>
      </c>
      <c r="AB540" s="757">
        <f t="shared" si="135"/>
        <v>0</v>
      </c>
      <c r="AC540" s="757">
        <f t="shared" si="135"/>
        <v>0</v>
      </c>
      <c r="AD540" s="757">
        <f t="shared" si="135"/>
        <v>0</v>
      </c>
      <c r="AE540" s="757">
        <f t="shared" si="135"/>
        <v>0</v>
      </c>
      <c r="AF540" s="772" t="e">
        <f>(#REF!+#REF!/12)-0.25+0.5+0.25*2</f>
        <v>#REF!</v>
      </c>
      <c r="AI540" s="777"/>
      <c r="AL540" s="777"/>
      <c r="AM540" s="777"/>
    </row>
    <row r="541" spans="1:43" s="776" customFormat="1" ht="22.25" customHeight="1">
      <c r="A541" s="769"/>
      <c r="B541" s="770" t="s">
        <v>483</v>
      </c>
      <c r="C541" s="665"/>
      <c r="D541" s="665">
        <v>3</v>
      </c>
      <c r="E541" s="665">
        <f>E540</f>
        <v>2</v>
      </c>
      <c r="F541" s="751">
        <f>U541</f>
        <v>4.0678264756679869</v>
      </c>
      <c r="G541" s="773"/>
      <c r="H541" s="778"/>
      <c r="I541" s="774"/>
      <c r="J541" s="492">
        <f>IF(I541=0,1,I541)*IF(H541=0,1,H541)*IF(G541=0,1,G541)*IF(F541=0,1,F541)*IF(E541=0,1,E541)*IF(D541=0,1,D541)*IF(C541=0,1,C541)</f>
        <v>24.406958854007922</v>
      </c>
      <c r="K541" s="480"/>
      <c r="L541" s="774"/>
      <c r="M541" s="760"/>
      <c r="N541" s="781"/>
      <c r="O541" s="768">
        <f>E541</f>
        <v>2</v>
      </c>
      <c r="P541" s="781">
        <f>(1.5/12)/3.281</f>
        <v>3.8098140810728431E-2</v>
      </c>
      <c r="Q541" s="756" t="s">
        <v>786</v>
      </c>
      <c r="R541" s="756">
        <v>16</v>
      </c>
      <c r="S541" s="757"/>
      <c r="T541" s="758">
        <f>D541</f>
        <v>3</v>
      </c>
      <c r="U541" s="759">
        <f>(N539/3+M540+2*8*R541/1000)*2</f>
        <v>4.0678264756679869</v>
      </c>
      <c r="V541" s="757">
        <f>T541*U541*O541</f>
        <v>24.406958854007922</v>
      </c>
      <c r="W541" s="757">
        <f t="shared" si="135"/>
        <v>0</v>
      </c>
      <c r="X541" s="757">
        <f t="shared" si="135"/>
        <v>0</v>
      </c>
      <c r="Y541" s="757">
        <f t="shared" si="135"/>
        <v>0</v>
      </c>
      <c r="Z541" s="757">
        <f t="shared" si="135"/>
        <v>0</v>
      </c>
      <c r="AA541" s="757">
        <f t="shared" si="135"/>
        <v>24.406958854007922</v>
      </c>
      <c r="AB541" s="757">
        <f t="shared" si="135"/>
        <v>0</v>
      </c>
      <c r="AC541" s="757">
        <f t="shared" si="135"/>
        <v>0</v>
      </c>
      <c r="AD541" s="757">
        <f t="shared" si="135"/>
        <v>0</v>
      </c>
      <c r="AE541" s="757">
        <f t="shared" si="135"/>
        <v>0</v>
      </c>
      <c r="AF541" s="772" t="e">
        <f>(#REF!+#REF!/12)-0.25+0.5+0.25*2</f>
        <v>#REF!</v>
      </c>
      <c r="AI541" s="777"/>
      <c r="AL541" s="777"/>
      <c r="AM541" s="777"/>
    </row>
    <row r="542" spans="1:43" s="776" customFormat="1" ht="22.25" customHeight="1">
      <c r="A542" s="769"/>
      <c r="B542" s="770" t="s">
        <v>542</v>
      </c>
      <c r="C542" s="665"/>
      <c r="D542" s="665"/>
      <c r="E542" s="665"/>
      <c r="F542" s="751"/>
      <c r="G542" s="773"/>
      <c r="H542" s="778"/>
      <c r="I542" s="774"/>
      <c r="J542" s="778"/>
      <c r="K542" s="480"/>
      <c r="L542" s="774"/>
      <c r="M542" s="760"/>
      <c r="N542" s="781"/>
      <c r="O542" s="782"/>
      <c r="P542" s="781"/>
      <c r="Q542" s="756"/>
      <c r="R542" s="756"/>
      <c r="S542" s="757"/>
      <c r="T542" s="758"/>
      <c r="U542" s="759"/>
      <c r="V542" s="757"/>
      <c r="W542" s="757">
        <f t="shared" si="135"/>
        <v>0</v>
      </c>
      <c r="X542" s="757">
        <f t="shared" si="135"/>
        <v>0</v>
      </c>
      <c r="Y542" s="757">
        <f t="shared" si="135"/>
        <v>0</v>
      </c>
      <c r="Z542" s="757">
        <f t="shared" si="135"/>
        <v>0</v>
      </c>
      <c r="AA542" s="757">
        <f t="shared" si="135"/>
        <v>0</v>
      </c>
      <c r="AB542" s="757">
        <f t="shared" si="135"/>
        <v>0</v>
      </c>
      <c r="AC542" s="757">
        <f t="shared" si="135"/>
        <v>0</v>
      </c>
      <c r="AD542" s="757">
        <f t="shared" si="135"/>
        <v>0</v>
      </c>
      <c r="AE542" s="757">
        <f t="shared" si="135"/>
        <v>0</v>
      </c>
      <c r="AF542" s="772" t="e">
        <f>((#REF!+#REF!/12)-(1.5/12)*2)*4+0.25*2</f>
        <v>#REF!</v>
      </c>
      <c r="AI542" s="777"/>
      <c r="AL542" s="777"/>
      <c r="AM542" s="777"/>
    </row>
    <row r="543" spans="1:43" s="776" customFormat="1" ht="22.25" customHeight="1">
      <c r="A543" s="769"/>
      <c r="B543" s="770" t="s">
        <v>484</v>
      </c>
      <c r="C543" s="665"/>
      <c r="D543" s="665">
        <f>T543</f>
        <v>45</v>
      </c>
      <c r="E543" s="665">
        <f>E539</f>
        <v>2</v>
      </c>
      <c r="F543" s="751">
        <f>U543</f>
        <v>0.97072843645230111</v>
      </c>
      <c r="G543" s="779"/>
      <c r="H543" s="780"/>
      <c r="I543" s="774"/>
      <c r="J543" s="492">
        <f>IF(I543=0,1,I543)*IF(H543=0,1,H543)*IF(G543=0,1,G543)*IF(F543=0,1,F543)*IF(E543=0,1,E543)*IF(D543=0,1,D543)*IF(C543=0,1,C543)</f>
        <v>87.365559280707103</v>
      </c>
      <c r="K543" s="480"/>
      <c r="L543" s="774"/>
      <c r="N543" s="781"/>
      <c r="O543" s="782">
        <f>O539</f>
        <v>2</v>
      </c>
      <c r="P543" s="781"/>
      <c r="Q543" s="756" t="s">
        <v>463</v>
      </c>
      <c r="R543" s="756">
        <v>10</v>
      </c>
      <c r="S543" s="757">
        <f>4/(12*3.281)</f>
        <v>0.1015950421619425</v>
      </c>
      <c r="T543" s="758">
        <f>(ROUND(N539/S543,0))+1</f>
        <v>45</v>
      </c>
      <c r="U543" s="759">
        <f>2*(M539+M540)-8*P539+2*8*R543/1000</f>
        <v>0.97072843645230111</v>
      </c>
      <c r="V543" s="757">
        <f>T543*U543*O543</f>
        <v>87.365559280707103</v>
      </c>
      <c r="W543" s="757">
        <f t="shared" si="135"/>
        <v>0</v>
      </c>
      <c r="X543" s="757">
        <f t="shared" si="135"/>
        <v>0</v>
      </c>
      <c r="Y543" s="757">
        <f t="shared" si="135"/>
        <v>87.365559280707103</v>
      </c>
      <c r="Z543" s="757">
        <f t="shared" si="135"/>
        <v>0</v>
      </c>
      <c r="AA543" s="757">
        <f t="shared" si="135"/>
        <v>0</v>
      </c>
      <c r="AB543" s="757">
        <f t="shared" si="135"/>
        <v>0</v>
      </c>
      <c r="AC543" s="757">
        <f t="shared" si="135"/>
        <v>0</v>
      </c>
      <c r="AD543" s="757">
        <f t="shared" si="135"/>
        <v>0</v>
      </c>
      <c r="AE543" s="757">
        <f t="shared" si="135"/>
        <v>0</v>
      </c>
      <c r="AF543" s="777"/>
      <c r="AI543" s="777"/>
      <c r="AL543" s="777"/>
      <c r="AM543" s="777"/>
    </row>
    <row r="544" spans="1:43" s="390" customFormat="1" ht="22.25" customHeight="1">
      <c r="A544" s="454"/>
      <c r="B544" s="657" t="s">
        <v>733</v>
      </c>
      <c r="C544" s="662"/>
      <c r="D544" s="662"/>
      <c r="E544" s="662">
        <v>1</v>
      </c>
      <c r="F544" s="498">
        <f>14.5</f>
        <v>14.5</v>
      </c>
      <c r="G544" s="642">
        <f>G537</f>
        <v>0.83</v>
      </c>
      <c r="H544" s="642">
        <f>H537</f>
        <v>1</v>
      </c>
      <c r="I544" s="499"/>
      <c r="J544" s="507"/>
      <c r="K544" s="455"/>
      <c r="L544" s="312"/>
      <c r="M544" s="722"/>
      <c r="N544" s="722"/>
      <c r="O544" s="722"/>
      <c r="P544" s="722"/>
      <c r="Q544" s="611"/>
      <c r="R544" s="611"/>
      <c r="S544" s="611"/>
      <c r="T544" s="611"/>
      <c r="U544" s="611"/>
      <c r="V544" s="624"/>
      <c r="W544" s="624">
        <f t="shared" si="135"/>
        <v>0</v>
      </c>
      <c r="X544" s="624">
        <f t="shared" si="135"/>
        <v>0</v>
      </c>
      <c r="Y544" s="624">
        <f t="shared" si="135"/>
        <v>0</v>
      </c>
      <c r="Z544" s="624">
        <f t="shared" si="135"/>
        <v>0</v>
      </c>
      <c r="AA544" s="624">
        <f t="shared" si="135"/>
        <v>0</v>
      </c>
      <c r="AB544" s="624">
        <f t="shared" si="135"/>
        <v>0</v>
      </c>
      <c r="AC544" s="624">
        <f t="shared" si="135"/>
        <v>0</v>
      </c>
      <c r="AD544" s="624">
        <f t="shared" si="135"/>
        <v>0</v>
      </c>
      <c r="AE544" s="624">
        <f t="shared" si="135"/>
        <v>0</v>
      </c>
      <c r="AF544" s="471">
        <f>14*0.75*1*2</f>
        <v>21</v>
      </c>
      <c r="AG544" s="473"/>
      <c r="AH544" s="471"/>
      <c r="AI544" s="471"/>
      <c r="AJ544" s="471"/>
      <c r="AM544" s="404"/>
      <c r="AP544" s="404"/>
      <c r="AQ544" s="404"/>
    </row>
    <row r="545" spans="1:43" s="776" customFormat="1" ht="22.25" customHeight="1">
      <c r="A545" s="769"/>
      <c r="B545" s="770" t="s">
        <v>785</v>
      </c>
      <c r="C545" s="665"/>
      <c r="D545" s="665"/>
      <c r="E545" s="665"/>
      <c r="F545" s="751"/>
      <c r="G545" s="773"/>
      <c r="H545" s="778"/>
      <c r="I545" s="774"/>
      <c r="J545" s="778"/>
      <c r="K545" s="480"/>
      <c r="L545" s="774"/>
      <c r="M545" s="760"/>
      <c r="N545" s="781"/>
      <c r="O545" s="782"/>
      <c r="P545" s="781"/>
      <c r="Q545" s="756"/>
      <c r="R545" s="756"/>
      <c r="S545" s="757"/>
      <c r="T545" s="758"/>
      <c r="U545" s="759"/>
      <c r="V545" s="757"/>
      <c r="W545" s="757">
        <f t="shared" si="135"/>
        <v>0</v>
      </c>
      <c r="X545" s="757">
        <f t="shared" si="135"/>
        <v>0</v>
      </c>
      <c r="Y545" s="757">
        <f t="shared" si="135"/>
        <v>0</v>
      </c>
      <c r="Z545" s="757">
        <f t="shared" si="135"/>
        <v>0</v>
      </c>
      <c r="AA545" s="757">
        <f t="shared" si="135"/>
        <v>0</v>
      </c>
      <c r="AB545" s="757">
        <f t="shared" si="135"/>
        <v>0</v>
      </c>
      <c r="AC545" s="757">
        <f t="shared" si="135"/>
        <v>0</v>
      </c>
      <c r="AD545" s="757">
        <f t="shared" si="135"/>
        <v>0</v>
      </c>
      <c r="AE545" s="757">
        <f t="shared" si="135"/>
        <v>0</v>
      </c>
      <c r="AF545" s="772" t="e">
        <f>((#REF!+#REF!/12)-(1.5/12)*2)*4+0.25*2</f>
        <v>#REF!</v>
      </c>
      <c r="AI545" s="777"/>
      <c r="AL545" s="777"/>
      <c r="AM545" s="777"/>
    </row>
    <row r="546" spans="1:43" s="776" customFormat="1" ht="22.25" customHeight="1">
      <c r="A546" s="769"/>
      <c r="B546" s="770" t="s">
        <v>483</v>
      </c>
      <c r="C546" s="665"/>
      <c r="D546" s="665">
        <v>2</v>
      </c>
      <c r="E546" s="665">
        <f>E544</f>
        <v>1</v>
      </c>
      <c r="F546" s="751">
        <f>U546</f>
        <v>4.9527583053946964</v>
      </c>
      <c r="G546" s="773"/>
      <c r="H546" s="778"/>
      <c r="I546" s="774"/>
      <c r="J546" s="492">
        <f>IF(I546=0,1,I546)*IF(H546=0,1,H546)*IF(G546=0,1,G546)*IF(F546=0,1,F546)*IF(E546=0,1,E546)*IF(D546=0,1,D546)*IF(C546=0,1,C546)</f>
        <v>9.9055166107893928</v>
      </c>
      <c r="K546" s="480"/>
      <c r="L546" s="774"/>
      <c r="M546" s="760">
        <f>G544/3.281</f>
        <v>0.25297165498323682</v>
      </c>
      <c r="N546" s="781">
        <f>F544/3.281</f>
        <v>4.4193843340444987</v>
      </c>
      <c r="O546" s="768">
        <f>E546</f>
        <v>1</v>
      </c>
      <c r="P546" s="781">
        <f>(1.5/12)/3.281</f>
        <v>3.8098140810728431E-2</v>
      </c>
      <c r="Q546" s="756" t="s">
        <v>541</v>
      </c>
      <c r="R546" s="756">
        <v>16</v>
      </c>
      <c r="S546" s="757"/>
      <c r="T546" s="758">
        <f>D546</f>
        <v>2</v>
      </c>
      <c r="U546" s="759">
        <f>N546-2*P546+2*M547</f>
        <v>4.9527583053946964</v>
      </c>
      <c r="V546" s="757">
        <f>T546*U546*O546</f>
        <v>9.9055166107893928</v>
      </c>
      <c r="W546" s="757">
        <f t="shared" ref="W546:AE556" si="136">IF($R546=W$5,$V546,0)</f>
        <v>0</v>
      </c>
      <c r="X546" s="757">
        <f t="shared" si="136"/>
        <v>0</v>
      </c>
      <c r="Y546" s="757">
        <f t="shared" si="136"/>
        <v>0</v>
      </c>
      <c r="Z546" s="757">
        <f t="shared" si="136"/>
        <v>0</v>
      </c>
      <c r="AA546" s="757">
        <f t="shared" si="136"/>
        <v>9.9055166107893928</v>
      </c>
      <c r="AB546" s="757">
        <f t="shared" si="136"/>
        <v>0</v>
      </c>
      <c r="AC546" s="757">
        <f t="shared" si="136"/>
        <v>0</v>
      </c>
      <c r="AD546" s="757">
        <f t="shared" si="136"/>
        <v>0</v>
      </c>
      <c r="AE546" s="757">
        <f t="shared" si="136"/>
        <v>0</v>
      </c>
      <c r="AF546" s="772" t="e">
        <f>(#REF!+#REF!/12)-0.25+0.5+0.25*2</f>
        <v>#REF!</v>
      </c>
      <c r="AI546" s="777"/>
      <c r="AL546" s="777"/>
      <c r="AM546" s="777"/>
    </row>
    <row r="547" spans="1:43" s="776" customFormat="1" ht="22.25" customHeight="1">
      <c r="A547" s="769"/>
      <c r="B547" s="770" t="s">
        <v>483</v>
      </c>
      <c r="C547" s="665"/>
      <c r="D547" s="665">
        <v>2</v>
      </c>
      <c r="E547" s="665">
        <f>E546</f>
        <v>1</v>
      </c>
      <c r="F547" s="751">
        <f>U547</f>
        <v>4.6159731789088685</v>
      </c>
      <c r="G547" s="773"/>
      <c r="H547" s="778"/>
      <c r="I547" s="774"/>
      <c r="J547" s="492">
        <f>IF(I547=0,1,I547)*IF(H547=0,1,H547)*IF(G547=0,1,G547)*IF(F547=0,1,F547)*IF(E547=0,1,E547)*IF(D547=0,1,D547)*IF(C547=0,1,C547)</f>
        <v>9.231946357817737</v>
      </c>
      <c r="K547" s="480"/>
      <c r="L547" s="774"/>
      <c r="M547" s="760">
        <f>H544/3.281</f>
        <v>0.30478512648582745</v>
      </c>
      <c r="N547" s="781"/>
      <c r="O547" s="768">
        <f>E547</f>
        <v>1</v>
      </c>
      <c r="P547" s="781">
        <f>(1.5/12)/3.281</f>
        <v>3.8098140810728431E-2</v>
      </c>
      <c r="Q547" s="756" t="s">
        <v>457</v>
      </c>
      <c r="R547" s="756">
        <v>16</v>
      </c>
      <c r="S547" s="757"/>
      <c r="T547" s="758">
        <f>D547</f>
        <v>2</v>
      </c>
      <c r="U547" s="759">
        <f>N546-2*P547-2*R547/1000+2*((M547/2))</f>
        <v>4.6159731789088685</v>
      </c>
      <c r="V547" s="757">
        <f>T547*U547*O547</f>
        <v>9.231946357817737</v>
      </c>
      <c r="W547" s="757">
        <f t="shared" si="136"/>
        <v>0</v>
      </c>
      <c r="X547" s="757">
        <f t="shared" si="136"/>
        <v>0</v>
      </c>
      <c r="Y547" s="757">
        <f t="shared" si="136"/>
        <v>0</v>
      </c>
      <c r="Z547" s="757">
        <f t="shared" si="136"/>
        <v>0</v>
      </c>
      <c r="AA547" s="757">
        <f t="shared" si="136"/>
        <v>9.231946357817737</v>
      </c>
      <c r="AB547" s="757">
        <f t="shared" si="136"/>
        <v>0</v>
      </c>
      <c r="AC547" s="757">
        <f t="shared" si="136"/>
        <v>0</v>
      </c>
      <c r="AD547" s="757">
        <f t="shared" si="136"/>
        <v>0</v>
      </c>
      <c r="AE547" s="757">
        <f t="shared" si="136"/>
        <v>0</v>
      </c>
      <c r="AF547" s="772" t="e">
        <f>(#REF!+#REF!/12)-0.25+0.5+0.25*2</f>
        <v>#REF!</v>
      </c>
      <c r="AI547" s="777"/>
      <c r="AL547" s="777"/>
      <c r="AM547" s="777"/>
    </row>
    <row r="548" spans="1:43" s="776" customFormat="1" ht="22.25" customHeight="1">
      <c r="A548" s="769"/>
      <c r="B548" s="770" t="s">
        <v>483</v>
      </c>
      <c r="C548" s="665"/>
      <c r="D548" s="665">
        <v>3</v>
      </c>
      <c r="E548" s="665">
        <f>E547</f>
        <v>1</v>
      </c>
      <c r="F548" s="751">
        <f>U548</f>
        <v>4.0678264756679869</v>
      </c>
      <c r="G548" s="773"/>
      <c r="H548" s="778"/>
      <c r="I548" s="774"/>
      <c r="J548" s="492">
        <f>IF(I548=0,1,I548)*IF(H548=0,1,H548)*IF(G548=0,1,G548)*IF(F548=0,1,F548)*IF(E548=0,1,E548)*IF(D548=0,1,D548)*IF(C548=0,1,C548)</f>
        <v>12.203479427003961</v>
      </c>
      <c r="K548" s="480"/>
      <c r="L548" s="774"/>
      <c r="M548" s="760"/>
      <c r="N548" s="781"/>
      <c r="O548" s="768">
        <f>E548</f>
        <v>1</v>
      </c>
      <c r="P548" s="781">
        <f>(1.5/12)/3.281</f>
        <v>3.8098140810728431E-2</v>
      </c>
      <c r="Q548" s="756" t="s">
        <v>786</v>
      </c>
      <c r="R548" s="756">
        <v>16</v>
      </c>
      <c r="S548" s="757"/>
      <c r="T548" s="758">
        <f>D548</f>
        <v>3</v>
      </c>
      <c r="U548" s="759">
        <f>(N546/3+M547+2*8*R548/1000)*2</f>
        <v>4.0678264756679869</v>
      </c>
      <c r="V548" s="757">
        <f>T548*U548*O548</f>
        <v>12.203479427003961</v>
      </c>
      <c r="W548" s="757">
        <f t="shared" si="136"/>
        <v>0</v>
      </c>
      <c r="X548" s="757">
        <f t="shared" si="136"/>
        <v>0</v>
      </c>
      <c r="Y548" s="757">
        <f t="shared" si="136"/>
        <v>0</v>
      </c>
      <c r="Z548" s="757">
        <f t="shared" si="136"/>
        <v>0</v>
      </c>
      <c r="AA548" s="757">
        <f t="shared" si="136"/>
        <v>12.203479427003961</v>
      </c>
      <c r="AB548" s="757">
        <f t="shared" si="136"/>
        <v>0</v>
      </c>
      <c r="AC548" s="757">
        <f t="shared" si="136"/>
        <v>0</v>
      </c>
      <c r="AD548" s="757">
        <f t="shared" si="136"/>
        <v>0</v>
      </c>
      <c r="AE548" s="757">
        <f t="shared" si="136"/>
        <v>0</v>
      </c>
      <c r="AF548" s="772" t="e">
        <f>(#REF!+#REF!/12)-0.25+0.5+0.25*2</f>
        <v>#REF!</v>
      </c>
      <c r="AI548" s="777"/>
      <c r="AL548" s="777"/>
      <c r="AM548" s="777"/>
    </row>
    <row r="549" spans="1:43" s="776" customFormat="1" ht="22.25" customHeight="1">
      <c r="A549" s="769"/>
      <c r="B549" s="770" t="s">
        <v>542</v>
      </c>
      <c r="C549" s="665"/>
      <c r="D549" s="665"/>
      <c r="E549" s="665"/>
      <c r="F549" s="751"/>
      <c r="G549" s="773"/>
      <c r="H549" s="778"/>
      <c r="I549" s="774"/>
      <c r="J549" s="778"/>
      <c r="K549" s="480"/>
      <c r="L549" s="774"/>
      <c r="M549" s="760"/>
      <c r="N549" s="781"/>
      <c r="O549" s="782"/>
      <c r="P549" s="781"/>
      <c r="Q549" s="756"/>
      <c r="R549" s="756"/>
      <c r="S549" s="757"/>
      <c r="T549" s="758"/>
      <c r="U549" s="759"/>
      <c r="V549" s="757"/>
      <c r="W549" s="757">
        <f t="shared" si="136"/>
        <v>0</v>
      </c>
      <c r="X549" s="757">
        <f t="shared" si="136"/>
        <v>0</v>
      </c>
      <c r="Y549" s="757">
        <f t="shared" si="136"/>
        <v>0</v>
      </c>
      <c r="Z549" s="757">
        <f t="shared" si="136"/>
        <v>0</v>
      </c>
      <c r="AA549" s="757">
        <f t="shared" si="136"/>
        <v>0</v>
      </c>
      <c r="AB549" s="757">
        <f t="shared" si="136"/>
        <v>0</v>
      </c>
      <c r="AC549" s="757">
        <f t="shared" si="136"/>
        <v>0</v>
      </c>
      <c r="AD549" s="757">
        <f t="shared" si="136"/>
        <v>0</v>
      </c>
      <c r="AE549" s="757">
        <f t="shared" si="136"/>
        <v>0</v>
      </c>
      <c r="AF549" s="772" t="e">
        <f>((#REF!+#REF!/12)-(1.5/12)*2)*4+0.25*2</f>
        <v>#REF!</v>
      </c>
      <c r="AI549" s="777"/>
      <c r="AL549" s="777"/>
      <c r="AM549" s="777"/>
    </row>
    <row r="550" spans="1:43" s="776" customFormat="1" ht="22.25" customHeight="1">
      <c r="A550" s="769"/>
      <c r="B550" s="770" t="s">
        <v>484</v>
      </c>
      <c r="C550" s="665"/>
      <c r="D550" s="665">
        <f>T550</f>
        <v>45</v>
      </c>
      <c r="E550" s="665">
        <f>E546</f>
        <v>1</v>
      </c>
      <c r="F550" s="751">
        <f>U550</f>
        <v>0.97072843645230111</v>
      </c>
      <c r="G550" s="779"/>
      <c r="H550" s="780"/>
      <c r="I550" s="774"/>
      <c r="J550" s="492">
        <f>IF(I550=0,1,I550)*IF(H550=0,1,H550)*IF(G550=0,1,G550)*IF(F550=0,1,F550)*IF(E550=0,1,E550)*IF(D550=0,1,D550)*IF(C550=0,1,C550)</f>
        <v>43.682779640353552</v>
      </c>
      <c r="K550" s="480"/>
      <c r="L550" s="774"/>
      <c r="N550" s="781"/>
      <c r="O550" s="782">
        <f>O546</f>
        <v>1</v>
      </c>
      <c r="P550" s="781"/>
      <c r="Q550" s="756" t="s">
        <v>463</v>
      </c>
      <c r="R550" s="756">
        <v>10</v>
      </c>
      <c r="S550" s="757">
        <f>4/(12*3.281)</f>
        <v>0.1015950421619425</v>
      </c>
      <c r="T550" s="758">
        <f>(ROUND(N546/S550,0))+1</f>
        <v>45</v>
      </c>
      <c r="U550" s="759">
        <f>2*(M546+M547)-8*P546+2*8*R550/1000</f>
        <v>0.97072843645230111</v>
      </c>
      <c r="V550" s="757">
        <f>T550*U550*O550</f>
        <v>43.682779640353552</v>
      </c>
      <c r="W550" s="757">
        <f t="shared" si="136"/>
        <v>0</v>
      </c>
      <c r="X550" s="757">
        <f t="shared" si="136"/>
        <v>0</v>
      </c>
      <c r="Y550" s="757">
        <f t="shared" si="136"/>
        <v>43.682779640353552</v>
      </c>
      <c r="Z550" s="757">
        <f t="shared" si="136"/>
        <v>0</v>
      </c>
      <c r="AA550" s="757">
        <f t="shared" si="136"/>
        <v>0</v>
      </c>
      <c r="AB550" s="757">
        <f t="shared" si="136"/>
        <v>0</v>
      </c>
      <c r="AC550" s="757">
        <f t="shared" si="136"/>
        <v>0</v>
      </c>
      <c r="AD550" s="757">
        <f t="shared" si="136"/>
        <v>0</v>
      </c>
      <c r="AE550" s="757">
        <f t="shared" si="136"/>
        <v>0</v>
      </c>
      <c r="AF550" s="777"/>
      <c r="AI550" s="777"/>
      <c r="AL550" s="777"/>
      <c r="AM550" s="777"/>
    </row>
    <row r="551" spans="1:43" s="390" customFormat="1" ht="22.25" customHeight="1">
      <c r="A551" s="454"/>
      <c r="B551" s="657" t="s">
        <v>539</v>
      </c>
      <c r="C551" s="662"/>
      <c r="D551" s="662"/>
      <c r="E551" s="662">
        <v>1</v>
      </c>
      <c r="F551" s="498">
        <f>15+0.83</f>
        <v>15.83</v>
      </c>
      <c r="G551" s="642">
        <f>G544</f>
        <v>0.83</v>
      </c>
      <c r="H551" s="642">
        <f>H544</f>
        <v>1</v>
      </c>
      <c r="I551" s="499"/>
      <c r="J551" s="507"/>
      <c r="K551" s="455"/>
      <c r="L551" s="312"/>
      <c r="M551" s="722"/>
      <c r="N551" s="722"/>
      <c r="O551" s="722"/>
      <c r="P551" s="722"/>
      <c r="Q551" s="611"/>
      <c r="R551" s="611"/>
      <c r="S551" s="624"/>
      <c r="T551" s="625"/>
      <c r="U551" s="626"/>
      <c r="V551" s="624"/>
      <c r="W551" s="624">
        <f t="shared" si="136"/>
        <v>0</v>
      </c>
      <c r="X551" s="624">
        <f t="shared" si="136"/>
        <v>0</v>
      </c>
      <c r="Y551" s="624">
        <f t="shared" si="136"/>
        <v>0</v>
      </c>
      <c r="Z551" s="624">
        <f t="shared" si="136"/>
        <v>0</v>
      </c>
      <c r="AA551" s="624">
        <f t="shared" si="136"/>
        <v>0</v>
      </c>
      <c r="AB551" s="624">
        <f t="shared" si="136"/>
        <v>0</v>
      </c>
      <c r="AC551" s="624">
        <f t="shared" si="136"/>
        <v>0</v>
      </c>
      <c r="AD551" s="624">
        <f t="shared" si="136"/>
        <v>0</v>
      </c>
      <c r="AE551" s="624">
        <f t="shared" si="136"/>
        <v>0</v>
      </c>
      <c r="AF551" s="471"/>
      <c r="AG551" s="473"/>
      <c r="AH551" s="471"/>
      <c r="AI551" s="471"/>
      <c r="AJ551" s="471"/>
      <c r="AM551" s="404"/>
      <c r="AP551" s="404"/>
      <c r="AQ551" s="404"/>
    </row>
    <row r="552" spans="1:43" s="776" customFormat="1" ht="22.25" customHeight="1">
      <c r="A552" s="769"/>
      <c r="B552" s="770" t="s">
        <v>785</v>
      </c>
      <c r="C552" s="665"/>
      <c r="D552" s="665"/>
      <c r="E552" s="665"/>
      <c r="F552" s="751"/>
      <c r="G552" s="773"/>
      <c r="H552" s="778"/>
      <c r="I552" s="774"/>
      <c r="J552" s="778"/>
      <c r="K552" s="480"/>
      <c r="L552" s="774"/>
      <c r="M552" s="760"/>
      <c r="N552" s="781"/>
      <c r="O552" s="782"/>
      <c r="P552" s="781"/>
      <c r="Q552" s="756"/>
      <c r="R552" s="756"/>
      <c r="S552" s="757"/>
      <c r="T552" s="758"/>
      <c r="U552" s="759"/>
      <c r="V552" s="757"/>
      <c r="W552" s="757">
        <f t="shared" si="136"/>
        <v>0</v>
      </c>
      <c r="X552" s="757">
        <f t="shared" si="136"/>
        <v>0</v>
      </c>
      <c r="Y552" s="757">
        <f t="shared" si="136"/>
        <v>0</v>
      </c>
      <c r="Z552" s="757">
        <f t="shared" si="136"/>
        <v>0</v>
      </c>
      <c r="AA552" s="757">
        <f t="shared" si="136"/>
        <v>0</v>
      </c>
      <c r="AB552" s="757">
        <f t="shared" si="136"/>
        <v>0</v>
      </c>
      <c r="AC552" s="757">
        <f t="shared" si="136"/>
        <v>0</v>
      </c>
      <c r="AD552" s="757">
        <f t="shared" si="136"/>
        <v>0</v>
      </c>
      <c r="AE552" s="757">
        <f t="shared" si="136"/>
        <v>0</v>
      </c>
      <c r="AF552" s="772" t="e">
        <f>((#REF!+#REF!/12)-(1.5/12)*2)*4+0.25*2</f>
        <v>#REF!</v>
      </c>
      <c r="AI552" s="777"/>
      <c r="AL552" s="777"/>
      <c r="AM552" s="777"/>
    </row>
    <row r="553" spans="1:43" s="776" customFormat="1" ht="22.25" customHeight="1">
      <c r="A553" s="769"/>
      <c r="B553" s="770" t="s">
        <v>483</v>
      </c>
      <c r="C553" s="665"/>
      <c r="D553" s="665">
        <v>2</v>
      </c>
      <c r="E553" s="665">
        <f>E551</f>
        <v>1</v>
      </c>
      <c r="F553" s="751">
        <f>U553</f>
        <v>5.358122523620847</v>
      </c>
      <c r="G553" s="773"/>
      <c r="H553" s="778"/>
      <c r="I553" s="774"/>
      <c r="J553" s="492">
        <f>IF(I553=0,1,I553)*IF(H553=0,1,H553)*IF(G553=0,1,G553)*IF(F553=0,1,F553)*IF(E553=0,1,E553)*IF(D553=0,1,D553)*IF(C553=0,1,C553)</f>
        <v>10.716245047241694</v>
      </c>
      <c r="K553" s="480"/>
      <c r="L553" s="774"/>
      <c r="M553" s="760">
        <f>G551/3.281</f>
        <v>0.25297165498323682</v>
      </c>
      <c r="N553" s="781">
        <f>F551/3.281</f>
        <v>4.8247485522706492</v>
      </c>
      <c r="O553" s="768">
        <f>E553</f>
        <v>1</v>
      </c>
      <c r="P553" s="781">
        <f>(1.5/12)/3.281</f>
        <v>3.8098140810728431E-2</v>
      </c>
      <c r="Q553" s="756" t="s">
        <v>541</v>
      </c>
      <c r="R553" s="756">
        <v>16</v>
      </c>
      <c r="S553" s="757"/>
      <c r="T553" s="758">
        <f>D553</f>
        <v>2</v>
      </c>
      <c r="U553" s="759">
        <f>N553-2*P553+2*M554</f>
        <v>5.358122523620847</v>
      </c>
      <c r="V553" s="757">
        <f>T553*U553*O553</f>
        <v>10.716245047241694</v>
      </c>
      <c r="W553" s="757">
        <f t="shared" si="136"/>
        <v>0</v>
      </c>
      <c r="X553" s="757">
        <f t="shared" si="136"/>
        <v>0</v>
      </c>
      <c r="Y553" s="757">
        <f t="shared" si="136"/>
        <v>0</v>
      </c>
      <c r="Z553" s="757">
        <f t="shared" si="136"/>
        <v>0</v>
      </c>
      <c r="AA553" s="757">
        <f t="shared" si="136"/>
        <v>10.716245047241694</v>
      </c>
      <c r="AB553" s="757">
        <f t="shared" si="136"/>
        <v>0</v>
      </c>
      <c r="AC553" s="757">
        <f t="shared" si="136"/>
        <v>0</v>
      </c>
      <c r="AD553" s="757">
        <f t="shared" si="136"/>
        <v>0</v>
      </c>
      <c r="AE553" s="757">
        <f t="shared" si="136"/>
        <v>0</v>
      </c>
      <c r="AF553" s="772" t="e">
        <f>(#REF!+#REF!/12)-0.25+0.5+0.25*2</f>
        <v>#REF!</v>
      </c>
      <c r="AI553" s="777"/>
      <c r="AL553" s="777"/>
      <c r="AM553" s="777"/>
    </row>
    <row r="554" spans="1:43" s="776" customFormat="1" ht="22.25" customHeight="1">
      <c r="A554" s="769"/>
      <c r="B554" s="770" t="s">
        <v>483</v>
      </c>
      <c r="C554" s="665"/>
      <c r="D554" s="665">
        <v>2</v>
      </c>
      <c r="E554" s="665">
        <f>E553</f>
        <v>1</v>
      </c>
      <c r="F554" s="751">
        <f>U554</f>
        <v>5.021337397135019</v>
      </c>
      <c r="G554" s="773"/>
      <c r="H554" s="778"/>
      <c r="I554" s="774"/>
      <c r="J554" s="492">
        <f>IF(I554=0,1,I554)*IF(H554=0,1,H554)*IF(G554=0,1,G554)*IF(F554=0,1,F554)*IF(E554=0,1,E554)*IF(D554=0,1,D554)*IF(C554=0,1,C554)</f>
        <v>10.042674794270038</v>
      </c>
      <c r="K554" s="480"/>
      <c r="L554" s="774"/>
      <c r="M554" s="760">
        <f>H551/3.281</f>
        <v>0.30478512648582745</v>
      </c>
      <c r="N554" s="781"/>
      <c r="O554" s="768">
        <f>E554</f>
        <v>1</v>
      </c>
      <c r="P554" s="781">
        <f>(1.5/12)/3.281</f>
        <v>3.8098140810728431E-2</v>
      </c>
      <c r="Q554" s="756" t="s">
        <v>457</v>
      </c>
      <c r="R554" s="756">
        <v>16</v>
      </c>
      <c r="S554" s="757"/>
      <c r="T554" s="758">
        <f>D554</f>
        <v>2</v>
      </c>
      <c r="U554" s="759">
        <f>N553-2*P554-2*R554/1000+2*((M554/2))</f>
        <v>5.021337397135019</v>
      </c>
      <c r="V554" s="757">
        <f>T554*U554*O554</f>
        <v>10.042674794270038</v>
      </c>
      <c r="W554" s="757">
        <f t="shared" si="136"/>
        <v>0</v>
      </c>
      <c r="X554" s="757">
        <f t="shared" si="136"/>
        <v>0</v>
      </c>
      <c r="Y554" s="757">
        <f t="shared" si="136"/>
        <v>0</v>
      </c>
      <c r="Z554" s="757">
        <f t="shared" si="136"/>
        <v>0</v>
      </c>
      <c r="AA554" s="757">
        <f t="shared" si="136"/>
        <v>10.042674794270038</v>
      </c>
      <c r="AB554" s="757">
        <f t="shared" si="136"/>
        <v>0</v>
      </c>
      <c r="AC554" s="757">
        <f t="shared" si="136"/>
        <v>0</v>
      </c>
      <c r="AD554" s="757">
        <f t="shared" si="136"/>
        <v>0</v>
      </c>
      <c r="AE554" s="757">
        <f t="shared" si="136"/>
        <v>0</v>
      </c>
      <c r="AF554" s="772" t="e">
        <f>(#REF!+#REF!/12)-0.25+0.5+0.25*2</f>
        <v>#REF!</v>
      </c>
      <c r="AI554" s="777"/>
      <c r="AL554" s="777"/>
      <c r="AM554" s="777"/>
    </row>
    <row r="555" spans="1:43" s="776" customFormat="1" ht="22.25" customHeight="1">
      <c r="A555" s="769"/>
      <c r="B555" s="770" t="s">
        <v>483</v>
      </c>
      <c r="C555" s="665"/>
      <c r="D555" s="665">
        <v>3</v>
      </c>
      <c r="E555" s="665">
        <f>E554</f>
        <v>1</v>
      </c>
      <c r="F555" s="751">
        <f>U555</f>
        <v>4.3380692878187546</v>
      </c>
      <c r="G555" s="773"/>
      <c r="H555" s="778"/>
      <c r="I555" s="774"/>
      <c r="J555" s="492">
        <f>IF(I555=0,1,I555)*IF(H555=0,1,H555)*IF(G555=0,1,G555)*IF(F555=0,1,F555)*IF(E555=0,1,E555)*IF(D555=0,1,D555)*IF(C555=0,1,C555)</f>
        <v>13.014207863456264</v>
      </c>
      <c r="K555" s="480"/>
      <c r="L555" s="774"/>
      <c r="M555" s="760"/>
      <c r="N555" s="781"/>
      <c r="O555" s="768">
        <f>E555</f>
        <v>1</v>
      </c>
      <c r="P555" s="781">
        <f>(1.5/12)/3.281</f>
        <v>3.8098140810728431E-2</v>
      </c>
      <c r="Q555" s="756" t="s">
        <v>786</v>
      </c>
      <c r="R555" s="756">
        <v>16</v>
      </c>
      <c r="S555" s="757"/>
      <c r="T555" s="758">
        <f>D555</f>
        <v>3</v>
      </c>
      <c r="U555" s="759">
        <f>(N553/3+M554+2*8*R555/1000)*2</f>
        <v>4.3380692878187546</v>
      </c>
      <c r="V555" s="757">
        <f>T555*U555*O555</f>
        <v>13.014207863456264</v>
      </c>
      <c r="W555" s="757">
        <f t="shared" si="136"/>
        <v>0</v>
      </c>
      <c r="X555" s="757">
        <f t="shared" si="136"/>
        <v>0</v>
      </c>
      <c r="Y555" s="757">
        <f t="shared" si="136"/>
        <v>0</v>
      </c>
      <c r="Z555" s="757">
        <f t="shared" si="136"/>
        <v>0</v>
      </c>
      <c r="AA555" s="757">
        <f t="shared" si="136"/>
        <v>13.014207863456264</v>
      </c>
      <c r="AB555" s="757">
        <f t="shared" si="136"/>
        <v>0</v>
      </c>
      <c r="AC555" s="757">
        <f t="shared" si="136"/>
        <v>0</v>
      </c>
      <c r="AD555" s="757">
        <f t="shared" si="136"/>
        <v>0</v>
      </c>
      <c r="AE555" s="757">
        <f t="shared" si="136"/>
        <v>0</v>
      </c>
      <c r="AF555" s="772" t="e">
        <f>(#REF!+#REF!/12)-0.25+0.5+0.25*2</f>
        <v>#REF!</v>
      </c>
      <c r="AI555" s="777"/>
      <c r="AL555" s="777"/>
      <c r="AM555" s="777"/>
    </row>
    <row r="556" spans="1:43" s="776" customFormat="1" ht="22.25" customHeight="1">
      <c r="A556" s="769"/>
      <c r="B556" s="770" t="s">
        <v>542</v>
      </c>
      <c r="C556" s="665"/>
      <c r="D556" s="665"/>
      <c r="E556" s="665"/>
      <c r="F556" s="751"/>
      <c r="G556" s="773"/>
      <c r="H556" s="778"/>
      <c r="I556" s="774"/>
      <c r="J556" s="778"/>
      <c r="K556" s="480"/>
      <c r="L556" s="774"/>
      <c r="M556" s="760"/>
      <c r="N556" s="781"/>
      <c r="O556" s="782"/>
      <c r="P556" s="781"/>
      <c r="Q556" s="756"/>
      <c r="R556" s="756"/>
      <c r="S556" s="757"/>
      <c r="T556" s="758"/>
      <c r="U556" s="759"/>
      <c r="V556" s="757"/>
      <c r="W556" s="757">
        <f t="shared" si="136"/>
        <v>0</v>
      </c>
      <c r="X556" s="757">
        <f t="shared" si="136"/>
        <v>0</v>
      </c>
      <c r="Y556" s="757">
        <f t="shared" si="136"/>
        <v>0</v>
      </c>
      <c r="Z556" s="757">
        <f t="shared" si="136"/>
        <v>0</v>
      </c>
      <c r="AA556" s="757">
        <f t="shared" si="136"/>
        <v>0</v>
      </c>
      <c r="AB556" s="757">
        <f t="shared" si="136"/>
        <v>0</v>
      </c>
      <c r="AC556" s="757">
        <f t="shared" si="136"/>
        <v>0</v>
      </c>
      <c r="AD556" s="757">
        <f t="shared" si="136"/>
        <v>0</v>
      </c>
      <c r="AE556" s="757">
        <f t="shared" si="136"/>
        <v>0</v>
      </c>
      <c r="AF556" s="772" t="e">
        <f>((#REF!+#REF!/12)-(1.5/12)*2)*4+0.25*2</f>
        <v>#REF!</v>
      </c>
      <c r="AI556" s="777"/>
      <c r="AL556" s="777"/>
      <c r="AM556" s="777"/>
    </row>
    <row r="557" spans="1:43" s="776" customFormat="1" ht="22.25" customHeight="1">
      <c r="A557" s="769"/>
      <c r="B557" s="770" t="s">
        <v>484</v>
      </c>
      <c r="C557" s="665"/>
      <c r="D557" s="665">
        <f>T557</f>
        <v>48</v>
      </c>
      <c r="E557" s="665">
        <f>E553</f>
        <v>1</v>
      </c>
      <c r="F557" s="751">
        <f>U557</f>
        <v>0.97072843645230111</v>
      </c>
      <c r="G557" s="779"/>
      <c r="H557" s="780"/>
      <c r="I557" s="774"/>
      <c r="J557" s="492">
        <f>IF(I557=0,1,I557)*IF(H557=0,1,H557)*IF(G557=0,1,G557)*IF(F557=0,1,F557)*IF(E557=0,1,E557)*IF(D557=0,1,D557)*IF(C557=0,1,C557)</f>
        <v>46.594964949710452</v>
      </c>
      <c r="K557" s="480"/>
      <c r="L557" s="774"/>
      <c r="N557" s="781"/>
      <c r="O557" s="782">
        <f>O553</f>
        <v>1</v>
      </c>
      <c r="P557" s="781"/>
      <c r="Q557" s="756" t="s">
        <v>463</v>
      </c>
      <c r="R557" s="756">
        <v>10</v>
      </c>
      <c r="S557" s="757">
        <f>4/(12*3.281)</f>
        <v>0.1015950421619425</v>
      </c>
      <c r="T557" s="758">
        <f>(ROUND(N553/S557,0))+1</f>
        <v>48</v>
      </c>
      <c r="U557" s="759">
        <f>2*(M553+M554)-8*P553+2*8*R557/1000</f>
        <v>0.97072843645230111</v>
      </c>
      <c r="V557" s="757">
        <f>T557*U557*O557</f>
        <v>46.594964949710452</v>
      </c>
      <c r="W557" s="757">
        <f t="shared" ref="W557:AE557" si="137">IF($R557=W$5,$V557,0)</f>
        <v>0</v>
      </c>
      <c r="X557" s="757">
        <f t="shared" si="137"/>
        <v>0</v>
      </c>
      <c r="Y557" s="757">
        <f t="shared" si="137"/>
        <v>46.594964949710452</v>
      </c>
      <c r="Z557" s="757">
        <f t="shared" si="137"/>
        <v>0</v>
      </c>
      <c r="AA557" s="757">
        <f t="shared" si="137"/>
        <v>0</v>
      </c>
      <c r="AB557" s="757">
        <f t="shared" si="137"/>
        <v>0</v>
      </c>
      <c r="AC557" s="757">
        <f t="shared" si="137"/>
        <v>0</v>
      </c>
      <c r="AD557" s="757">
        <f t="shared" si="137"/>
        <v>0</v>
      </c>
      <c r="AE557" s="757">
        <f t="shared" si="137"/>
        <v>0</v>
      </c>
      <c r="AF557" s="777"/>
      <c r="AI557" s="777"/>
      <c r="AL557" s="777"/>
      <c r="AM557" s="777"/>
    </row>
    <row r="558" spans="1:43" s="390" customFormat="1" ht="22.25" customHeight="1">
      <c r="A558" s="454"/>
      <c r="B558" s="657" t="s">
        <v>540</v>
      </c>
      <c r="C558" s="662"/>
      <c r="D558" s="662"/>
      <c r="E558" s="662">
        <v>1</v>
      </c>
      <c r="F558" s="498">
        <f>30</f>
        <v>30</v>
      </c>
      <c r="G558" s="642">
        <f>G551</f>
        <v>0.83</v>
      </c>
      <c r="H558" s="642">
        <f>H551</f>
        <v>1</v>
      </c>
      <c r="I558" s="499"/>
      <c r="J558" s="507"/>
      <c r="K558" s="455"/>
      <c r="L558" s="312"/>
      <c r="M558" s="722"/>
      <c r="N558" s="722"/>
      <c r="O558" s="722"/>
      <c r="P558" s="722"/>
      <c r="Q558" s="611"/>
      <c r="R558" s="611"/>
      <c r="S558" s="624"/>
      <c r="T558" s="625"/>
      <c r="U558" s="626"/>
      <c r="V558" s="624"/>
      <c r="W558" s="624">
        <f t="shared" ref="W558:AE558" si="138">IF($R558=W$5,$V558,0)</f>
        <v>0</v>
      </c>
      <c r="X558" s="624">
        <f t="shared" si="138"/>
        <v>0</v>
      </c>
      <c r="Y558" s="624">
        <f t="shared" si="138"/>
        <v>0</v>
      </c>
      <c r="Z558" s="624">
        <f t="shared" si="138"/>
        <v>0</v>
      </c>
      <c r="AA558" s="624">
        <f t="shared" si="138"/>
        <v>0</v>
      </c>
      <c r="AB558" s="624">
        <f t="shared" si="138"/>
        <v>0</v>
      </c>
      <c r="AC558" s="624">
        <f t="shared" si="138"/>
        <v>0</v>
      </c>
      <c r="AD558" s="624">
        <f t="shared" si="138"/>
        <v>0</v>
      </c>
      <c r="AE558" s="624">
        <f t="shared" si="138"/>
        <v>0</v>
      </c>
      <c r="AF558" s="471"/>
      <c r="AG558" s="473"/>
      <c r="AH558" s="471"/>
      <c r="AI558" s="471"/>
      <c r="AJ558" s="471"/>
      <c r="AM558" s="404"/>
      <c r="AP558" s="404"/>
      <c r="AQ558" s="404"/>
    </row>
    <row r="559" spans="1:43" s="776" customFormat="1" ht="22.25" customHeight="1">
      <c r="A559" s="769"/>
      <c r="B559" s="770" t="s">
        <v>785</v>
      </c>
      <c r="C559" s="665"/>
      <c r="D559" s="665"/>
      <c r="E559" s="665"/>
      <c r="F559" s="751"/>
      <c r="G559" s="773"/>
      <c r="H559" s="778"/>
      <c r="I559" s="774"/>
      <c r="J559" s="778"/>
      <c r="K559" s="480"/>
      <c r="L559" s="774"/>
      <c r="M559" s="760"/>
      <c r="N559" s="781"/>
      <c r="O559" s="782"/>
      <c r="P559" s="781"/>
      <c r="Q559" s="756"/>
      <c r="R559" s="756"/>
      <c r="S559" s="757"/>
      <c r="T559" s="758"/>
      <c r="U559" s="759"/>
      <c r="V559" s="757"/>
      <c r="W559" s="757">
        <f t="shared" ref="W559:AE564" si="139">IF($R559=W$5,$V559,0)</f>
        <v>0</v>
      </c>
      <c r="X559" s="757">
        <f t="shared" si="139"/>
        <v>0</v>
      </c>
      <c r="Y559" s="757">
        <f t="shared" si="139"/>
        <v>0</v>
      </c>
      <c r="Z559" s="757">
        <f t="shared" si="139"/>
        <v>0</v>
      </c>
      <c r="AA559" s="757">
        <f t="shared" si="139"/>
        <v>0</v>
      </c>
      <c r="AB559" s="757">
        <f t="shared" si="139"/>
        <v>0</v>
      </c>
      <c r="AC559" s="757">
        <f t="shared" si="139"/>
        <v>0</v>
      </c>
      <c r="AD559" s="757">
        <f t="shared" si="139"/>
        <v>0</v>
      </c>
      <c r="AE559" s="757">
        <f t="shared" si="139"/>
        <v>0</v>
      </c>
      <c r="AF559" s="772" t="e">
        <f>((#REF!+#REF!/12)-(1.5/12)*2)*4+0.25*2</f>
        <v>#REF!</v>
      </c>
      <c r="AI559" s="777"/>
      <c r="AL559" s="777"/>
      <c r="AM559" s="777"/>
    </row>
    <row r="560" spans="1:43" s="776" customFormat="1" ht="22.25" customHeight="1">
      <c r="A560" s="769"/>
      <c r="B560" s="770" t="s">
        <v>483</v>
      </c>
      <c r="C560" s="665"/>
      <c r="D560" s="665">
        <v>2</v>
      </c>
      <c r="E560" s="665">
        <f>E558</f>
        <v>1</v>
      </c>
      <c r="F560" s="751">
        <f>U560</f>
        <v>9.6769277659250221</v>
      </c>
      <c r="G560" s="773"/>
      <c r="H560" s="778"/>
      <c r="I560" s="774"/>
      <c r="J560" s="492">
        <f>IF(I560=0,1,I560)*IF(H560=0,1,H560)*IF(G560=0,1,G560)*IF(F560=0,1,F560)*IF(E560=0,1,E560)*IF(D560=0,1,D560)*IF(C560=0,1,C560)</f>
        <v>19.353855531850044</v>
      </c>
      <c r="K560" s="480"/>
      <c r="L560" s="774"/>
      <c r="M560" s="760">
        <f>G558/3.281</f>
        <v>0.25297165498323682</v>
      </c>
      <c r="N560" s="781">
        <f>F558/3.281</f>
        <v>9.1435537945748244</v>
      </c>
      <c r="O560" s="768">
        <f>E560</f>
        <v>1</v>
      </c>
      <c r="P560" s="781">
        <f>(1.5/12)/3.281</f>
        <v>3.8098140810728431E-2</v>
      </c>
      <c r="Q560" s="756" t="s">
        <v>541</v>
      </c>
      <c r="R560" s="756">
        <v>16</v>
      </c>
      <c r="S560" s="757"/>
      <c r="T560" s="758">
        <f>D560</f>
        <v>2</v>
      </c>
      <c r="U560" s="759">
        <f>N560-2*P560+2*M561</f>
        <v>9.6769277659250221</v>
      </c>
      <c r="V560" s="757">
        <f>T560*U560*O560</f>
        <v>19.353855531850044</v>
      </c>
      <c r="W560" s="757">
        <f t="shared" si="139"/>
        <v>0</v>
      </c>
      <c r="X560" s="757">
        <f t="shared" si="139"/>
        <v>0</v>
      </c>
      <c r="Y560" s="757">
        <f t="shared" si="139"/>
        <v>0</v>
      </c>
      <c r="Z560" s="757">
        <f t="shared" si="139"/>
        <v>0</v>
      </c>
      <c r="AA560" s="757">
        <f t="shared" si="139"/>
        <v>19.353855531850044</v>
      </c>
      <c r="AB560" s="757">
        <f t="shared" si="139"/>
        <v>0</v>
      </c>
      <c r="AC560" s="757">
        <f t="shared" si="139"/>
        <v>0</v>
      </c>
      <c r="AD560" s="757">
        <f t="shared" si="139"/>
        <v>0</v>
      </c>
      <c r="AE560" s="757">
        <f t="shared" si="139"/>
        <v>0</v>
      </c>
      <c r="AF560" s="772" t="e">
        <f>(#REF!+#REF!/12)-0.25+0.5+0.25*2</f>
        <v>#REF!</v>
      </c>
      <c r="AI560" s="777"/>
      <c r="AL560" s="777"/>
      <c r="AM560" s="777"/>
    </row>
    <row r="561" spans="1:43" s="776" customFormat="1" ht="22.25" customHeight="1">
      <c r="A561" s="769"/>
      <c r="B561" s="770" t="s">
        <v>483</v>
      </c>
      <c r="C561" s="665"/>
      <c r="D561" s="665">
        <v>2</v>
      </c>
      <c r="E561" s="665">
        <f>E560</f>
        <v>1</v>
      </c>
      <c r="F561" s="751">
        <f>U561</f>
        <v>9.3401426394391951</v>
      </c>
      <c r="G561" s="773"/>
      <c r="H561" s="778"/>
      <c r="I561" s="774"/>
      <c r="J561" s="492">
        <f>IF(I561=0,1,I561)*IF(H561=0,1,H561)*IF(G561=0,1,G561)*IF(F561=0,1,F561)*IF(E561=0,1,E561)*IF(D561=0,1,D561)*IF(C561=0,1,C561)</f>
        <v>18.68028527887839</v>
      </c>
      <c r="K561" s="480"/>
      <c r="L561" s="774"/>
      <c r="M561" s="760">
        <f>H558/3.281</f>
        <v>0.30478512648582745</v>
      </c>
      <c r="N561" s="781"/>
      <c r="O561" s="768">
        <f>E561</f>
        <v>1</v>
      </c>
      <c r="P561" s="781">
        <f>(1.5/12)/3.281</f>
        <v>3.8098140810728431E-2</v>
      </c>
      <c r="Q561" s="756" t="s">
        <v>457</v>
      </c>
      <c r="R561" s="756">
        <v>16</v>
      </c>
      <c r="S561" s="757"/>
      <c r="T561" s="758">
        <f>D561</f>
        <v>2</v>
      </c>
      <c r="U561" s="759">
        <f>N560-2*P561-2*R561/1000+2*((M561/2))</f>
        <v>9.3401426394391951</v>
      </c>
      <c r="V561" s="757">
        <f>T561*U561*O561</f>
        <v>18.68028527887839</v>
      </c>
      <c r="W561" s="757">
        <f t="shared" si="139"/>
        <v>0</v>
      </c>
      <c r="X561" s="757">
        <f t="shared" si="139"/>
        <v>0</v>
      </c>
      <c r="Y561" s="757">
        <f t="shared" si="139"/>
        <v>0</v>
      </c>
      <c r="Z561" s="757">
        <f t="shared" si="139"/>
        <v>0</v>
      </c>
      <c r="AA561" s="757">
        <f t="shared" si="139"/>
        <v>18.68028527887839</v>
      </c>
      <c r="AB561" s="757">
        <f t="shared" si="139"/>
        <v>0</v>
      </c>
      <c r="AC561" s="757">
        <f t="shared" si="139"/>
        <v>0</v>
      </c>
      <c r="AD561" s="757">
        <f t="shared" si="139"/>
        <v>0</v>
      </c>
      <c r="AE561" s="757">
        <f t="shared" si="139"/>
        <v>0</v>
      </c>
      <c r="AF561" s="772" t="e">
        <f>(#REF!+#REF!/12)-0.25+0.5+0.25*2</f>
        <v>#REF!</v>
      </c>
      <c r="AI561" s="777"/>
      <c r="AL561" s="777"/>
      <c r="AM561" s="777"/>
    </row>
    <row r="562" spans="1:43" s="776" customFormat="1" ht="22.25" customHeight="1">
      <c r="A562" s="769"/>
      <c r="B562" s="770" t="s">
        <v>483</v>
      </c>
      <c r="C562" s="665"/>
      <c r="D562" s="665">
        <v>3</v>
      </c>
      <c r="E562" s="665">
        <f>E561</f>
        <v>1</v>
      </c>
      <c r="F562" s="751">
        <f>U562</f>
        <v>7.2172727826882053</v>
      </c>
      <c r="G562" s="773"/>
      <c r="H562" s="778"/>
      <c r="I562" s="774"/>
      <c r="J562" s="492">
        <f>IF(I562=0,1,I562)*IF(H562=0,1,H562)*IF(G562=0,1,G562)*IF(F562=0,1,F562)*IF(E562=0,1,E562)*IF(D562=0,1,D562)*IF(C562=0,1,C562)</f>
        <v>21.651818348064616</v>
      </c>
      <c r="K562" s="480"/>
      <c r="L562" s="774"/>
      <c r="M562" s="760"/>
      <c r="N562" s="781"/>
      <c r="O562" s="768">
        <f>E562</f>
        <v>1</v>
      </c>
      <c r="P562" s="781">
        <f>(1.5/12)/3.281</f>
        <v>3.8098140810728431E-2</v>
      </c>
      <c r="Q562" s="756" t="s">
        <v>786</v>
      </c>
      <c r="R562" s="756">
        <v>16</v>
      </c>
      <c r="S562" s="757"/>
      <c r="T562" s="758">
        <f>D562</f>
        <v>3</v>
      </c>
      <c r="U562" s="759">
        <f>(N560/3+M561+2*8*R562/1000)*2</f>
        <v>7.2172727826882053</v>
      </c>
      <c r="V562" s="757">
        <f>T562*U562*O562</f>
        <v>21.651818348064616</v>
      </c>
      <c r="W562" s="757">
        <f t="shared" si="139"/>
        <v>0</v>
      </c>
      <c r="X562" s="757">
        <f t="shared" si="139"/>
        <v>0</v>
      </c>
      <c r="Y562" s="757">
        <f t="shared" si="139"/>
        <v>0</v>
      </c>
      <c r="Z562" s="757">
        <f t="shared" si="139"/>
        <v>0</v>
      </c>
      <c r="AA562" s="757">
        <f t="shared" si="139"/>
        <v>21.651818348064616</v>
      </c>
      <c r="AB562" s="757">
        <f t="shared" si="139"/>
        <v>0</v>
      </c>
      <c r="AC562" s="757">
        <f t="shared" si="139"/>
        <v>0</v>
      </c>
      <c r="AD562" s="757">
        <f t="shared" si="139"/>
        <v>0</v>
      </c>
      <c r="AE562" s="757">
        <f t="shared" si="139"/>
        <v>0</v>
      </c>
      <c r="AF562" s="772" t="e">
        <f>(#REF!+#REF!/12)-0.25+0.5+0.25*2</f>
        <v>#REF!</v>
      </c>
      <c r="AI562" s="777"/>
      <c r="AL562" s="777"/>
      <c r="AM562" s="777"/>
    </row>
    <row r="563" spans="1:43" s="776" customFormat="1" ht="22.25" customHeight="1">
      <c r="A563" s="769"/>
      <c r="B563" s="770" t="s">
        <v>542</v>
      </c>
      <c r="C563" s="665"/>
      <c r="D563" s="665"/>
      <c r="E563" s="665"/>
      <c r="F563" s="751"/>
      <c r="G563" s="773"/>
      <c r="H563" s="778"/>
      <c r="I563" s="774"/>
      <c r="J563" s="778"/>
      <c r="K563" s="480"/>
      <c r="L563" s="774"/>
      <c r="M563" s="760"/>
      <c r="N563" s="781"/>
      <c r="O563" s="782"/>
      <c r="P563" s="781"/>
      <c r="Q563" s="756"/>
      <c r="R563" s="756"/>
      <c r="S563" s="757"/>
      <c r="T563" s="758"/>
      <c r="U563" s="759"/>
      <c r="V563" s="757"/>
      <c r="W563" s="757">
        <f t="shared" si="139"/>
        <v>0</v>
      </c>
      <c r="X563" s="757">
        <f t="shared" si="139"/>
        <v>0</v>
      </c>
      <c r="Y563" s="757">
        <f t="shared" si="139"/>
        <v>0</v>
      </c>
      <c r="Z563" s="757">
        <f t="shared" si="139"/>
        <v>0</v>
      </c>
      <c r="AA563" s="757">
        <f t="shared" si="139"/>
        <v>0</v>
      </c>
      <c r="AB563" s="757">
        <f t="shared" si="139"/>
        <v>0</v>
      </c>
      <c r="AC563" s="757">
        <f t="shared" si="139"/>
        <v>0</v>
      </c>
      <c r="AD563" s="757">
        <f t="shared" si="139"/>
        <v>0</v>
      </c>
      <c r="AE563" s="757">
        <f t="shared" si="139"/>
        <v>0</v>
      </c>
      <c r="AF563" s="772" t="e">
        <f>((#REF!+#REF!/12)-(1.5/12)*2)*4+0.25*2</f>
        <v>#REF!</v>
      </c>
      <c r="AI563" s="777"/>
      <c r="AL563" s="777"/>
      <c r="AM563" s="777"/>
    </row>
    <row r="564" spans="1:43" s="776" customFormat="1" ht="22.25" customHeight="1">
      <c r="A564" s="769"/>
      <c r="B564" s="770" t="s">
        <v>484</v>
      </c>
      <c r="C564" s="665"/>
      <c r="D564" s="665">
        <f>T564</f>
        <v>91</v>
      </c>
      <c r="E564" s="665">
        <f>E560</f>
        <v>1</v>
      </c>
      <c r="F564" s="751">
        <f>U564</f>
        <v>0.97072843645230111</v>
      </c>
      <c r="G564" s="779"/>
      <c r="H564" s="780"/>
      <c r="I564" s="774"/>
      <c r="J564" s="492">
        <f>IF(I564=0,1,I564)*IF(H564=0,1,H564)*IF(G564=0,1,G564)*IF(F564=0,1,F564)*IF(E564=0,1,E564)*IF(D564=0,1,D564)*IF(C564=0,1,C564)</f>
        <v>88.336287717159408</v>
      </c>
      <c r="K564" s="480"/>
      <c r="L564" s="774"/>
      <c r="N564" s="781"/>
      <c r="O564" s="782">
        <f>O560</f>
        <v>1</v>
      </c>
      <c r="P564" s="781"/>
      <c r="Q564" s="756" t="s">
        <v>463</v>
      </c>
      <c r="R564" s="756">
        <v>10</v>
      </c>
      <c r="S564" s="757">
        <f>4/(12*3.281)</f>
        <v>0.1015950421619425</v>
      </c>
      <c r="T564" s="758">
        <f>(ROUND(N560/S564,0))+1</f>
        <v>91</v>
      </c>
      <c r="U564" s="759">
        <f>2*(M560+M561)-8*P560+2*8*R564/1000</f>
        <v>0.97072843645230111</v>
      </c>
      <c r="V564" s="757">
        <f>T564*U564*O564</f>
        <v>88.336287717159408</v>
      </c>
      <c r="W564" s="757">
        <f t="shared" si="139"/>
        <v>0</v>
      </c>
      <c r="X564" s="757">
        <f t="shared" si="139"/>
        <v>0</v>
      </c>
      <c r="Y564" s="757">
        <f t="shared" si="139"/>
        <v>88.336287717159408</v>
      </c>
      <c r="Z564" s="757">
        <f t="shared" si="139"/>
        <v>0</v>
      </c>
      <c r="AA564" s="757">
        <f t="shared" si="139"/>
        <v>0</v>
      </c>
      <c r="AB564" s="757">
        <f t="shared" si="139"/>
        <v>0</v>
      </c>
      <c r="AC564" s="757">
        <f t="shared" si="139"/>
        <v>0</v>
      </c>
      <c r="AD564" s="757">
        <f t="shared" si="139"/>
        <v>0</v>
      </c>
      <c r="AE564" s="757">
        <f t="shared" si="139"/>
        <v>0</v>
      </c>
      <c r="AF564" s="777"/>
      <c r="AI564" s="777"/>
      <c r="AL564" s="777"/>
      <c r="AM564" s="777"/>
    </row>
    <row r="565" spans="1:43" s="476" customFormat="1" ht="21.9" customHeight="1">
      <c r="A565" s="478"/>
      <c r="B565" s="659" t="s">
        <v>746</v>
      </c>
      <c r="C565" s="665"/>
      <c r="D565" s="665"/>
      <c r="E565" s="665"/>
      <c r="F565" s="751"/>
      <c r="G565" s="752"/>
      <c r="H565" s="914"/>
      <c r="I565" s="753"/>
      <c r="J565" s="479"/>
      <c r="K565" s="479"/>
      <c r="L565" s="483"/>
      <c r="M565" s="764"/>
      <c r="N565" s="764"/>
      <c r="O565" s="764"/>
      <c r="P565" s="764"/>
      <c r="Q565" s="919"/>
      <c r="R565" s="919"/>
      <c r="S565" s="757"/>
      <c r="T565" s="920"/>
      <c r="U565" s="921"/>
      <c r="V565" s="757"/>
      <c r="W565" s="757">
        <f t="shared" ref="W565:AE566" si="140">IF($R565=W$5,$V565,0)</f>
        <v>0</v>
      </c>
      <c r="X565" s="757">
        <f t="shared" si="140"/>
        <v>0</v>
      </c>
      <c r="Y565" s="757">
        <f t="shared" si="140"/>
        <v>0</v>
      </c>
      <c r="Z565" s="757">
        <f t="shared" si="140"/>
        <v>0</v>
      </c>
      <c r="AA565" s="757">
        <f t="shared" si="140"/>
        <v>0</v>
      </c>
      <c r="AB565" s="757">
        <f t="shared" si="140"/>
        <v>0</v>
      </c>
      <c r="AC565" s="757">
        <f t="shared" si="140"/>
        <v>0</v>
      </c>
      <c r="AD565" s="757">
        <f t="shared" si="140"/>
        <v>0</v>
      </c>
      <c r="AE565" s="757">
        <f t="shared" si="140"/>
        <v>0</v>
      </c>
      <c r="AF565" s="477"/>
      <c r="AG565" s="475"/>
      <c r="AH565" s="475"/>
      <c r="AI565" s="475"/>
      <c r="AJ565" s="475"/>
      <c r="AM565" s="477"/>
      <c r="AP565" s="477"/>
      <c r="AQ565" s="477"/>
    </row>
    <row r="566" spans="1:43" s="390" customFormat="1" ht="22.25" customHeight="1">
      <c r="A566" s="454"/>
      <c r="B566" s="657" t="s">
        <v>747</v>
      </c>
      <c r="C566" s="662"/>
      <c r="D566" s="662"/>
      <c r="E566" s="662">
        <v>3</v>
      </c>
      <c r="F566" s="498">
        <f>14.5</f>
        <v>14.5</v>
      </c>
      <c r="G566" s="642">
        <v>0.83</v>
      </c>
      <c r="H566" s="642">
        <v>1</v>
      </c>
      <c r="I566" s="499"/>
      <c r="J566" s="507"/>
      <c r="K566" s="455"/>
      <c r="L566" s="312"/>
      <c r="M566" s="722"/>
      <c r="N566" s="722"/>
      <c r="O566" s="722"/>
      <c r="P566" s="722"/>
      <c r="Q566" s="611"/>
      <c r="R566" s="611"/>
      <c r="S566" s="624"/>
      <c r="T566" s="625"/>
      <c r="U566" s="626"/>
      <c r="V566" s="624"/>
      <c r="W566" s="624">
        <f t="shared" si="140"/>
        <v>0</v>
      </c>
      <c r="X566" s="624">
        <f t="shared" si="140"/>
        <v>0</v>
      </c>
      <c r="Y566" s="624">
        <f t="shared" si="140"/>
        <v>0</v>
      </c>
      <c r="Z566" s="624">
        <f t="shared" si="140"/>
        <v>0</v>
      </c>
      <c r="AA566" s="624">
        <f t="shared" si="140"/>
        <v>0</v>
      </c>
      <c r="AB566" s="624">
        <f t="shared" si="140"/>
        <v>0</v>
      </c>
      <c r="AC566" s="624">
        <f t="shared" si="140"/>
        <v>0</v>
      </c>
      <c r="AD566" s="624">
        <f t="shared" si="140"/>
        <v>0</v>
      </c>
      <c r="AE566" s="624">
        <f t="shared" si="140"/>
        <v>0</v>
      </c>
      <c r="AF566" s="471"/>
      <c r="AG566" s="473"/>
      <c r="AH566" s="471"/>
      <c r="AI566" s="471"/>
      <c r="AJ566" s="471"/>
      <c r="AM566" s="404"/>
      <c r="AP566" s="404"/>
      <c r="AQ566" s="404"/>
    </row>
    <row r="567" spans="1:43" s="776" customFormat="1" ht="22.25" customHeight="1">
      <c r="A567" s="769"/>
      <c r="B567" s="770" t="s">
        <v>543</v>
      </c>
      <c r="C567" s="665"/>
      <c r="D567" s="665"/>
      <c r="E567" s="665"/>
      <c r="F567" s="751"/>
      <c r="G567" s="773"/>
      <c r="H567" s="778"/>
      <c r="I567" s="774"/>
      <c r="J567" s="778"/>
      <c r="K567" s="480"/>
      <c r="L567" s="774"/>
      <c r="M567" s="760"/>
      <c r="N567" s="781"/>
      <c r="O567" s="782"/>
      <c r="P567" s="781"/>
      <c r="Q567" s="756"/>
      <c r="R567" s="756"/>
      <c r="S567" s="757"/>
      <c r="T567" s="758"/>
      <c r="U567" s="759"/>
      <c r="V567" s="757"/>
      <c r="W567" s="757">
        <f t="shared" ref="W567:AE582" si="141">IF($R567=W$5,$V567,0)</f>
        <v>0</v>
      </c>
      <c r="X567" s="757">
        <f t="shared" si="141"/>
        <v>0</v>
      </c>
      <c r="Y567" s="757">
        <f t="shared" si="141"/>
        <v>0</v>
      </c>
      <c r="Z567" s="757">
        <f t="shared" si="141"/>
        <v>0</v>
      </c>
      <c r="AA567" s="757">
        <f t="shared" si="141"/>
        <v>0</v>
      </c>
      <c r="AB567" s="757">
        <f t="shared" si="141"/>
        <v>0</v>
      </c>
      <c r="AC567" s="757">
        <f t="shared" si="141"/>
        <v>0</v>
      </c>
      <c r="AD567" s="757">
        <f t="shared" si="141"/>
        <v>0</v>
      </c>
      <c r="AE567" s="757">
        <f t="shared" si="141"/>
        <v>0</v>
      </c>
      <c r="AF567" s="772" t="e">
        <f>((#REF!+#REF!/12)-(1.5/12)*2)*4+0.25*2</f>
        <v>#REF!</v>
      </c>
      <c r="AI567" s="777"/>
      <c r="AL567" s="777"/>
      <c r="AM567" s="777"/>
    </row>
    <row r="568" spans="1:43" s="776" customFormat="1" ht="22.25" customHeight="1">
      <c r="A568" s="769"/>
      <c r="B568" s="770" t="s">
        <v>483</v>
      </c>
      <c r="C568" s="665"/>
      <c r="D568" s="665">
        <v>3</v>
      </c>
      <c r="E568" s="665">
        <f>E566</f>
        <v>3</v>
      </c>
      <c r="F568" s="751">
        <f>U568</f>
        <v>4.9527583053946964</v>
      </c>
      <c r="G568" s="773"/>
      <c r="H568" s="778"/>
      <c r="I568" s="774"/>
      <c r="J568" s="492">
        <f>IF(I568=0,1,I568)*IF(H568=0,1,H568)*IF(G568=0,1,G568)*IF(F568=0,1,F568)*IF(E568=0,1,E568)*IF(D568=0,1,D568)*IF(C568=0,1,C568)</f>
        <v>44.574824748552274</v>
      </c>
      <c r="K568" s="480"/>
      <c r="L568" s="774"/>
      <c r="M568" s="760">
        <f>G566/3.281</f>
        <v>0.25297165498323682</v>
      </c>
      <c r="N568" s="781">
        <f>F566/3.281</f>
        <v>4.4193843340444987</v>
      </c>
      <c r="O568" s="768">
        <f>E568</f>
        <v>3</v>
      </c>
      <c r="P568" s="781">
        <f>(1.5/12)/3.281</f>
        <v>3.8098140810728431E-2</v>
      </c>
      <c r="Q568" s="756" t="s">
        <v>541</v>
      </c>
      <c r="R568" s="756">
        <v>16</v>
      </c>
      <c r="S568" s="757"/>
      <c r="T568" s="758">
        <f>D568</f>
        <v>3</v>
      </c>
      <c r="U568" s="759">
        <f>N568-2*P568+2*M569</f>
        <v>4.9527583053946964</v>
      </c>
      <c r="V568" s="757">
        <f>T568*U568*O568</f>
        <v>44.574824748552274</v>
      </c>
      <c r="W568" s="757">
        <f t="shared" si="141"/>
        <v>0</v>
      </c>
      <c r="X568" s="757">
        <f t="shared" si="141"/>
        <v>0</v>
      </c>
      <c r="Y568" s="757">
        <f t="shared" si="141"/>
        <v>0</v>
      </c>
      <c r="Z568" s="757">
        <f t="shared" si="141"/>
        <v>0</v>
      </c>
      <c r="AA568" s="757">
        <f t="shared" si="141"/>
        <v>44.574824748552274</v>
      </c>
      <c r="AB568" s="757">
        <f t="shared" si="141"/>
        <v>0</v>
      </c>
      <c r="AC568" s="757">
        <f t="shared" si="141"/>
        <v>0</v>
      </c>
      <c r="AD568" s="757">
        <f t="shared" si="141"/>
        <v>0</v>
      </c>
      <c r="AE568" s="757">
        <f t="shared" si="141"/>
        <v>0</v>
      </c>
      <c r="AF568" s="772" t="e">
        <f>(#REF!+#REF!/12)-0.25+0.5+0.25*2</f>
        <v>#REF!</v>
      </c>
      <c r="AI568" s="777"/>
      <c r="AL568" s="777"/>
      <c r="AM568" s="777"/>
    </row>
    <row r="569" spans="1:43" s="776" customFormat="1" ht="22.25" customHeight="1">
      <c r="A569" s="769"/>
      <c r="B569" s="770" t="s">
        <v>483</v>
      </c>
      <c r="C569" s="665"/>
      <c r="D569" s="665">
        <v>3</v>
      </c>
      <c r="E569" s="665">
        <f>E568</f>
        <v>3</v>
      </c>
      <c r="F569" s="751">
        <f>U569</f>
        <v>4.6159731789088685</v>
      </c>
      <c r="G569" s="773"/>
      <c r="H569" s="778"/>
      <c r="I569" s="774"/>
      <c r="J569" s="492">
        <f>IF(I569=0,1,I569)*IF(H569=0,1,H569)*IF(G569=0,1,G569)*IF(F569=0,1,F569)*IF(E569=0,1,E569)*IF(D569=0,1,D569)*IF(C569=0,1,C569)</f>
        <v>41.543758610179815</v>
      </c>
      <c r="K569" s="480"/>
      <c r="L569" s="774"/>
      <c r="M569" s="760">
        <f>H566/3.281</f>
        <v>0.30478512648582745</v>
      </c>
      <c r="N569" s="781"/>
      <c r="O569" s="768">
        <f>E569</f>
        <v>3</v>
      </c>
      <c r="P569" s="781">
        <f>(1.5/12)/3.281</f>
        <v>3.8098140810728431E-2</v>
      </c>
      <c r="Q569" s="756" t="s">
        <v>457</v>
      </c>
      <c r="R569" s="756">
        <v>16</v>
      </c>
      <c r="S569" s="757"/>
      <c r="T569" s="758">
        <f>D569</f>
        <v>3</v>
      </c>
      <c r="U569" s="759">
        <f>N568-2*P569-2*R569/1000+2*((M569/2))</f>
        <v>4.6159731789088685</v>
      </c>
      <c r="V569" s="757">
        <f>T569*U569*O569</f>
        <v>41.543758610179815</v>
      </c>
      <c r="W569" s="757">
        <f t="shared" si="141"/>
        <v>0</v>
      </c>
      <c r="X569" s="757">
        <f t="shared" si="141"/>
        <v>0</v>
      </c>
      <c r="Y569" s="757">
        <f t="shared" si="141"/>
        <v>0</v>
      </c>
      <c r="Z569" s="757">
        <f t="shared" si="141"/>
        <v>0</v>
      </c>
      <c r="AA569" s="757">
        <f t="shared" si="141"/>
        <v>41.543758610179815</v>
      </c>
      <c r="AB569" s="757">
        <f t="shared" si="141"/>
        <v>0</v>
      </c>
      <c r="AC569" s="757">
        <f t="shared" si="141"/>
        <v>0</v>
      </c>
      <c r="AD569" s="757">
        <f t="shared" si="141"/>
        <v>0</v>
      </c>
      <c r="AE569" s="757">
        <f t="shared" si="141"/>
        <v>0</v>
      </c>
      <c r="AF569" s="772" t="e">
        <f>(#REF!+#REF!/12)-0.25+0.5+0.25*2</f>
        <v>#REF!</v>
      </c>
      <c r="AI569" s="777"/>
      <c r="AL569" s="777"/>
      <c r="AM569" s="777"/>
    </row>
    <row r="570" spans="1:43" s="776" customFormat="1" ht="22.25" customHeight="1">
      <c r="A570" s="769"/>
      <c r="B570" s="770" t="s">
        <v>542</v>
      </c>
      <c r="C570" s="665"/>
      <c r="D570" s="665"/>
      <c r="E570" s="665"/>
      <c r="F570" s="751"/>
      <c r="G570" s="773"/>
      <c r="H570" s="778"/>
      <c r="I570" s="774"/>
      <c r="J570" s="778"/>
      <c r="K570" s="480"/>
      <c r="L570" s="774"/>
      <c r="M570" s="760"/>
      <c r="N570" s="781"/>
      <c r="O570" s="782"/>
      <c r="P570" s="781"/>
      <c r="Q570" s="756"/>
      <c r="R570" s="756"/>
      <c r="S570" s="757"/>
      <c r="T570" s="758"/>
      <c r="U570" s="759"/>
      <c r="V570" s="757"/>
      <c r="W570" s="757">
        <f t="shared" si="141"/>
        <v>0</v>
      </c>
      <c r="X570" s="757">
        <f t="shared" si="141"/>
        <v>0</v>
      </c>
      <c r="Y570" s="757">
        <f t="shared" si="141"/>
        <v>0</v>
      </c>
      <c r="Z570" s="757">
        <f t="shared" si="141"/>
        <v>0</v>
      </c>
      <c r="AA570" s="757">
        <f t="shared" si="141"/>
        <v>0</v>
      </c>
      <c r="AB570" s="757">
        <f t="shared" si="141"/>
        <v>0</v>
      </c>
      <c r="AC570" s="757">
        <f t="shared" si="141"/>
        <v>0</v>
      </c>
      <c r="AD570" s="757">
        <f t="shared" si="141"/>
        <v>0</v>
      </c>
      <c r="AE570" s="757">
        <f t="shared" si="141"/>
        <v>0</v>
      </c>
      <c r="AF570" s="772" t="e">
        <f>((#REF!+#REF!/12)-(1.5/12)*2)*4+0.25*2</f>
        <v>#REF!</v>
      </c>
      <c r="AI570" s="777"/>
      <c r="AL570" s="777"/>
      <c r="AM570" s="777"/>
    </row>
    <row r="571" spans="1:43" s="776" customFormat="1" ht="22.25" customHeight="1">
      <c r="A571" s="769"/>
      <c r="B571" s="770" t="s">
        <v>484</v>
      </c>
      <c r="C571" s="665"/>
      <c r="D571" s="665">
        <f>T571</f>
        <v>13</v>
      </c>
      <c r="E571" s="665">
        <f>E568</f>
        <v>3</v>
      </c>
      <c r="F571" s="751">
        <f>U571</f>
        <v>0.97072843645230111</v>
      </c>
      <c r="G571" s="779"/>
      <c r="H571" s="780"/>
      <c r="I571" s="774"/>
      <c r="J571" s="492">
        <f>IF(I571=0,1,I571)*IF(H571=0,1,H571)*IF(G571=0,1,G571)*IF(F571=0,1,F571)*IF(E571=0,1,E571)*IF(D571=0,1,D571)*IF(C571=0,1,C571)</f>
        <v>37.858409021639744</v>
      </c>
      <c r="K571" s="480"/>
      <c r="L571" s="774"/>
      <c r="N571" s="781"/>
      <c r="O571" s="782">
        <f>O568</f>
        <v>3</v>
      </c>
      <c r="P571" s="781"/>
      <c r="Q571" s="756" t="s">
        <v>463</v>
      </c>
      <c r="R571" s="756">
        <v>10</v>
      </c>
      <c r="S571" s="757">
        <f>4/(12*3.281)</f>
        <v>0.1015950421619425</v>
      </c>
      <c r="T571" s="758">
        <f>2*(ROUND(2*M569/S571,0))+1</f>
        <v>13</v>
      </c>
      <c r="U571" s="759">
        <f>2*(M568+M569)-8*P568+2*8*R571/1000</f>
        <v>0.97072843645230111</v>
      </c>
      <c r="V571" s="757">
        <f>T571*U571*O571</f>
        <v>37.858409021639744</v>
      </c>
      <c r="W571" s="757">
        <f t="shared" si="141"/>
        <v>0</v>
      </c>
      <c r="X571" s="757">
        <f t="shared" si="141"/>
        <v>0</v>
      </c>
      <c r="Y571" s="757">
        <f t="shared" si="141"/>
        <v>37.858409021639744</v>
      </c>
      <c r="Z571" s="757">
        <f t="shared" si="141"/>
        <v>0</v>
      </c>
      <c r="AA571" s="757">
        <f t="shared" si="141"/>
        <v>0</v>
      </c>
      <c r="AB571" s="757">
        <f t="shared" si="141"/>
        <v>0</v>
      </c>
      <c r="AC571" s="757">
        <f t="shared" si="141"/>
        <v>0</v>
      </c>
      <c r="AD571" s="757">
        <f t="shared" si="141"/>
        <v>0</v>
      </c>
      <c r="AE571" s="757">
        <f t="shared" si="141"/>
        <v>0</v>
      </c>
      <c r="AF571" s="777"/>
      <c r="AI571" s="777"/>
      <c r="AL571" s="777"/>
      <c r="AM571" s="777"/>
    </row>
    <row r="572" spans="1:43" s="776" customFormat="1" ht="22.25" customHeight="1">
      <c r="A572" s="769"/>
      <c r="B572" s="770" t="s">
        <v>484</v>
      </c>
      <c r="C572" s="665"/>
      <c r="D572" s="665">
        <f>T572</f>
        <v>22</v>
      </c>
      <c r="E572" s="665">
        <f>E571</f>
        <v>3</v>
      </c>
      <c r="F572" s="751">
        <f>U572</f>
        <v>0.97072843645230111</v>
      </c>
      <c r="G572" s="779"/>
      <c r="H572" s="780"/>
      <c r="I572" s="774"/>
      <c r="J572" s="492">
        <f>IF(I572=0,1,I572)*IF(H572=0,1,H572)*IF(G572=0,1,G572)*IF(F572=0,1,F572)*IF(E572=0,1,E572)*IF(D572=0,1,D572)*IF(C572=0,1,C572)</f>
        <v>64.068076805851874</v>
      </c>
      <c r="K572" s="480"/>
      <c r="L572" s="774"/>
      <c r="M572" s="760"/>
      <c r="N572" s="781"/>
      <c r="O572" s="782">
        <f>O571</f>
        <v>3</v>
      </c>
      <c r="P572" s="781"/>
      <c r="Q572" s="756" t="s">
        <v>463</v>
      </c>
      <c r="R572" s="756">
        <v>10</v>
      </c>
      <c r="S572" s="757">
        <f>6/(12*3.281)</f>
        <v>0.15239256324291375</v>
      </c>
      <c r="T572" s="758">
        <f>(ROUND((N568-4*M569)/S572,0))+1</f>
        <v>22</v>
      </c>
      <c r="U572" s="759">
        <f>2*(M568+M569)-8*P568+2*8*R572/1000</f>
        <v>0.97072843645230111</v>
      </c>
      <c r="V572" s="757">
        <f>T572*U572*O572</f>
        <v>64.068076805851874</v>
      </c>
      <c r="W572" s="757">
        <f t="shared" si="141"/>
        <v>0</v>
      </c>
      <c r="X572" s="757">
        <f t="shared" si="141"/>
        <v>0</v>
      </c>
      <c r="Y572" s="757">
        <f t="shared" si="141"/>
        <v>64.068076805851874</v>
      </c>
      <c r="Z572" s="757">
        <f t="shared" si="141"/>
        <v>0</v>
      </c>
      <c r="AA572" s="757">
        <f t="shared" si="141"/>
        <v>0</v>
      </c>
      <c r="AB572" s="757">
        <f t="shared" si="141"/>
        <v>0</v>
      </c>
      <c r="AC572" s="757">
        <f t="shared" si="141"/>
        <v>0</v>
      </c>
      <c r="AD572" s="757">
        <f t="shared" si="141"/>
        <v>0</v>
      </c>
      <c r="AE572" s="757">
        <f t="shared" si="141"/>
        <v>0</v>
      </c>
      <c r="AF572" s="777"/>
      <c r="AI572" s="777"/>
      <c r="AL572" s="777"/>
      <c r="AM572" s="777"/>
    </row>
    <row r="573" spans="1:43" s="390" customFormat="1" ht="22.25" customHeight="1">
      <c r="A573" s="454"/>
      <c r="B573" s="657" t="s">
        <v>559</v>
      </c>
      <c r="C573" s="662"/>
      <c r="D573" s="662"/>
      <c r="E573" s="662">
        <v>1</v>
      </c>
      <c r="F573" s="498">
        <f>5+0.83</f>
        <v>5.83</v>
      </c>
      <c r="G573" s="642">
        <f>G566</f>
        <v>0.83</v>
      </c>
      <c r="H573" s="642">
        <f>H566</f>
        <v>1</v>
      </c>
      <c r="I573" s="499"/>
      <c r="J573" s="507"/>
      <c r="K573" s="455"/>
      <c r="L573" s="312"/>
      <c r="M573" s="722"/>
      <c r="N573" s="722"/>
      <c r="O573" s="722"/>
      <c r="P573" s="722"/>
      <c r="Q573" s="611"/>
      <c r="R573" s="611"/>
      <c r="S573" s="624"/>
      <c r="T573" s="625"/>
      <c r="U573" s="626"/>
      <c r="V573" s="624"/>
      <c r="W573" s="624">
        <f t="shared" ref="W573:AE573" si="142">IF($R573=W$5,$V573,0)</f>
        <v>0</v>
      </c>
      <c r="X573" s="624">
        <f t="shared" si="142"/>
        <v>0</v>
      </c>
      <c r="Y573" s="624">
        <f t="shared" si="142"/>
        <v>0</v>
      </c>
      <c r="Z573" s="624">
        <f t="shared" si="142"/>
        <v>0</v>
      </c>
      <c r="AA573" s="624">
        <f t="shared" si="142"/>
        <v>0</v>
      </c>
      <c r="AB573" s="624">
        <f t="shared" si="142"/>
        <v>0</v>
      </c>
      <c r="AC573" s="624">
        <f t="shared" si="142"/>
        <v>0</v>
      </c>
      <c r="AD573" s="624">
        <f t="shared" si="142"/>
        <v>0</v>
      </c>
      <c r="AE573" s="624">
        <f t="shared" si="142"/>
        <v>0</v>
      </c>
      <c r="AF573" s="471"/>
      <c r="AG573" s="473"/>
      <c r="AH573" s="471"/>
      <c r="AI573" s="471"/>
      <c r="AJ573" s="471"/>
      <c r="AM573" s="404"/>
      <c r="AP573" s="404"/>
      <c r="AQ573" s="404"/>
    </row>
    <row r="574" spans="1:43" s="776" customFormat="1" ht="22.25" customHeight="1">
      <c r="A574" s="769"/>
      <c r="B574" s="770" t="s">
        <v>543</v>
      </c>
      <c r="C574" s="665"/>
      <c r="D574" s="665"/>
      <c r="E574" s="665"/>
      <c r="F574" s="751"/>
      <c r="G574" s="773"/>
      <c r="H574" s="778"/>
      <c r="I574" s="774"/>
      <c r="J574" s="778"/>
      <c r="K574" s="480"/>
      <c r="L574" s="774"/>
      <c r="M574" s="760"/>
      <c r="N574" s="781"/>
      <c r="O574" s="782"/>
      <c r="P574" s="781"/>
      <c r="Q574" s="756"/>
      <c r="R574" s="756"/>
      <c r="S574" s="757"/>
      <c r="T574" s="758"/>
      <c r="U574" s="759"/>
      <c r="V574" s="757"/>
      <c r="W574" s="757">
        <f t="shared" si="141"/>
        <v>0</v>
      </c>
      <c r="X574" s="757">
        <f t="shared" si="141"/>
        <v>0</v>
      </c>
      <c r="Y574" s="757">
        <f t="shared" si="141"/>
        <v>0</v>
      </c>
      <c r="Z574" s="757">
        <f t="shared" si="141"/>
        <v>0</v>
      </c>
      <c r="AA574" s="757">
        <f t="shared" si="141"/>
        <v>0</v>
      </c>
      <c r="AB574" s="757">
        <f t="shared" si="141"/>
        <v>0</v>
      </c>
      <c r="AC574" s="757">
        <f t="shared" si="141"/>
        <v>0</v>
      </c>
      <c r="AD574" s="757">
        <f t="shared" si="141"/>
        <v>0</v>
      </c>
      <c r="AE574" s="757">
        <f t="shared" si="141"/>
        <v>0</v>
      </c>
      <c r="AF574" s="772" t="e">
        <f>((#REF!+#REF!/12)-(1.5/12)*2)*4+0.25*2</f>
        <v>#REF!</v>
      </c>
      <c r="AI574" s="777"/>
      <c r="AL574" s="777"/>
      <c r="AM574" s="777"/>
    </row>
    <row r="575" spans="1:43" s="776" customFormat="1" ht="22.25" customHeight="1">
      <c r="A575" s="769"/>
      <c r="B575" s="770" t="s">
        <v>483</v>
      </c>
      <c r="C575" s="665"/>
      <c r="D575" s="665">
        <v>3</v>
      </c>
      <c r="E575" s="665">
        <f>E573</f>
        <v>1</v>
      </c>
      <c r="F575" s="751">
        <f>U575</f>
        <v>2.3102712587625724</v>
      </c>
      <c r="G575" s="773"/>
      <c r="H575" s="778"/>
      <c r="I575" s="774"/>
      <c r="J575" s="492">
        <f>IF(I575=0,1,I575)*IF(H575=0,1,H575)*IF(G575=0,1,G575)*IF(F575=0,1,F575)*IF(E575=0,1,E575)*IF(D575=0,1,D575)*IF(C575=0,1,C575)</f>
        <v>6.9308137762877173</v>
      </c>
      <c r="K575" s="480"/>
      <c r="L575" s="774"/>
      <c r="M575" s="760">
        <f>G573/3.281</f>
        <v>0.25297165498323682</v>
      </c>
      <c r="N575" s="781">
        <f>F573/3.281</f>
        <v>1.7768972874123743</v>
      </c>
      <c r="O575" s="768">
        <f>E575</f>
        <v>1</v>
      </c>
      <c r="P575" s="781">
        <f>(1.5/12)/3.281</f>
        <v>3.8098140810728431E-2</v>
      </c>
      <c r="Q575" s="756" t="s">
        <v>541</v>
      </c>
      <c r="R575" s="756">
        <v>16</v>
      </c>
      <c r="S575" s="757"/>
      <c r="T575" s="758">
        <f>D575</f>
        <v>3</v>
      </c>
      <c r="U575" s="759">
        <f>N575-2*P575+2*M576</f>
        <v>2.3102712587625724</v>
      </c>
      <c r="V575" s="757">
        <f>T575*U575*O575</f>
        <v>6.9308137762877173</v>
      </c>
      <c r="W575" s="757">
        <f t="shared" si="141"/>
        <v>0</v>
      </c>
      <c r="X575" s="757">
        <f t="shared" si="141"/>
        <v>0</v>
      </c>
      <c r="Y575" s="757">
        <f t="shared" si="141"/>
        <v>0</v>
      </c>
      <c r="Z575" s="757">
        <f t="shared" si="141"/>
        <v>0</v>
      </c>
      <c r="AA575" s="757">
        <f t="shared" si="141"/>
        <v>6.9308137762877173</v>
      </c>
      <c r="AB575" s="757">
        <f t="shared" si="141"/>
        <v>0</v>
      </c>
      <c r="AC575" s="757">
        <f t="shared" si="141"/>
        <v>0</v>
      </c>
      <c r="AD575" s="757">
        <f t="shared" si="141"/>
        <v>0</v>
      </c>
      <c r="AE575" s="757">
        <f t="shared" si="141"/>
        <v>0</v>
      </c>
      <c r="AF575" s="772" t="e">
        <f>(#REF!+#REF!/12)-0.25+0.5+0.25*2</f>
        <v>#REF!</v>
      </c>
      <c r="AI575" s="777"/>
      <c r="AL575" s="777"/>
      <c r="AM575" s="777"/>
    </row>
    <row r="576" spans="1:43" s="776" customFormat="1" ht="22.25" customHeight="1">
      <c r="A576" s="769"/>
      <c r="B576" s="770" t="s">
        <v>483</v>
      </c>
      <c r="C576" s="665"/>
      <c r="D576" s="665">
        <v>3</v>
      </c>
      <c r="E576" s="665">
        <f>E575</f>
        <v>1</v>
      </c>
      <c r="F576" s="751">
        <f>U576</f>
        <v>1.973486132276745</v>
      </c>
      <c r="G576" s="773"/>
      <c r="H576" s="778"/>
      <c r="I576" s="774"/>
      <c r="J576" s="492">
        <f>IF(I576=0,1,I576)*IF(H576=0,1,H576)*IF(G576=0,1,G576)*IF(F576=0,1,F576)*IF(E576=0,1,E576)*IF(D576=0,1,D576)*IF(C576=0,1,C576)</f>
        <v>5.9204583968302344</v>
      </c>
      <c r="K576" s="480"/>
      <c r="L576" s="774"/>
      <c r="M576" s="760">
        <f>H573/3.281</f>
        <v>0.30478512648582745</v>
      </c>
      <c r="N576" s="781"/>
      <c r="O576" s="768">
        <f>E576</f>
        <v>1</v>
      </c>
      <c r="P576" s="781">
        <f>(1.5/12)/3.281</f>
        <v>3.8098140810728431E-2</v>
      </c>
      <c r="Q576" s="756" t="s">
        <v>457</v>
      </c>
      <c r="R576" s="756">
        <v>16</v>
      </c>
      <c r="S576" s="757"/>
      <c r="T576" s="758">
        <f>D576</f>
        <v>3</v>
      </c>
      <c r="U576" s="759">
        <f>N575-2*P576-2*R576/1000+2*((M576/2))</f>
        <v>1.973486132276745</v>
      </c>
      <c r="V576" s="757">
        <f>T576*U576*O576</f>
        <v>5.9204583968302344</v>
      </c>
      <c r="W576" s="757">
        <f t="shared" si="141"/>
        <v>0</v>
      </c>
      <c r="X576" s="757">
        <f t="shared" si="141"/>
        <v>0</v>
      </c>
      <c r="Y576" s="757">
        <f t="shared" si="141"/>
        <v>0</v>
      </c>
      <c r="Z576" s="757">
        <f t="shared" si="141"/>
        <v>0</v>
      </c>
      <c r="AA576" s="757">
        <f t="shared" si="141"/>
        <v>5.9204583968302344</v>
      </c>
      <c r="AB576" s="757">
        <f t="shared" si="141"/>
        <v>0</v>
      </c>
      <c r="AC576" s="757">
        <f t="shared" si="141"/>
        <v>0</v>
      </c>
      <c r="AD576" s="757">
        <f t="shared" si="141"/>
        <v>0</v>
      </c>
      <c r="AE576" s="757">
        <f t="shared" si="141"/>
        <v>0</v>
      </c>
      <c r="AF576" s="772" t="e">
        <f>(#REF!+#REF!/12)-0.25+0.5+0.25*2</f>
        <v>#REF!</v>
      </c>
      <c r="AI576" s="777"/>
      <c r="AL576" s="777"/>
      <c r="AM576" s="777"/>
    </row>
    <row r="577" spans="1:43" s="776" customFormat="1" ht="22.25" customHeight="1">
      <c r="A577" s="769"/>
      <c r="B577" s="770" t="s">
        <v>542</v>
      </c>
      <c r="C577" s="665"/>
      <c r="D577" s="665"/>
      <c r="E577" s="665"/>
      <c r="F577" s="751"/>
      <c r="G577" s="773"/>
      <c r="H577" s="778"/>
      <c r="I577" s="774"/>
      <c r="J577" s="778"/>
      <c r="K577" s="480"/>
      <c r="L577" s="774"/>
      <c r="M577" s="760"/>
      <c r="N577" s="781"/>
      <c r="O577" s="782"/>
      <c r="P577" s="781"/>
      <c r="Q577" s="756"/>
      <c r="R577" s="756"/>
      <c r="S577" s="757"/>
      <c r="T577" s="758"/>
      <c r="U577" s="759"/>
      <c r="V577" s="757"/>
      <c r="W577" s="757">
        <f t="shared" si="141"/>
        <v>0</v>
      </c>
      <c r="X577" s="757">
        <f t="shared" si="141"/>
        <v>0</v>
      </c>
      <c r="Y577" s="757">
        <f t="shared" si="141"/>
        <v>0</v>
      </c>
      <c r="Z577" s="757">
        <f t="shared" si="141"/>
        <v>0</v>
      </c>
      <c r="AA577" s="757">
        <f t="shared" si="141"/>
        <v>0</v>
      </c>
      <c r="AB577" s="757">
        <f t="shared" si="141"/>
        <v>0</v>
      </c>
      <c r="AC577" s="757">
        <f t="shared" si="141"/>
        <v>0</v>
      </c>
      <c r="AD577" s="757">
        <f t="shared" si="141"/>
        <v>0</v>
      </c>
      <c r="AE577" s="757">
        <f t="shared" si="141"/>
        <v>0</v>
      </c>
      <c r="AF577" s="772" t="e">
        <f>((#REF!+#REF!/12)-(1.5/12)*2)*4+0.25*2</f>
        <v>#REF!</v>
      </c>
      <c r="AI577" s="777"/>
      <c r="AL577" s="777"/>
      <c r="AM577" s="777"/>
    </row>
    <row r="578" spans="1:43" s="776" customFormat="1" ht="22.25" customHeight="1">
      <c r="A578" s="769"/>
      <c r="B578" s="770" t="s">
        <v>484</v>
      </c>
      <c r="C578" s="665"/>
      <c r="D578" s="665">
        <f>T578</f>
        <v>13</v>
      </c>
      <c r="E578" s="665">
        <f>E575</f>
        <v>1</v>
      </c>
      <c r="F578" s="751">
        <f>U578</f>
        <v>0.97072843645230111</v>
      </c>
      <c r="G578" s="779"/>
      <c r="H578" s="780"/>
      <c r="I578" s="774"/>
      <c r="J578" s="492">
        <f>IF(I578=0,1,I578)*IF(H578=0,1,H578)*IF(G578=0,1,G578)*IF(F578=0,1,F578)*IF(E578=0,1,E578)*IF(D578=0,1,D578)*IF(C578=0,1,C578)</f>
        <v>12.619469673879914</v>
      </c>
      <c r="K578" s="480"/>
      <c r="L578" s="774"/>
      <c r="N578" s="781"/>
      <c r="O578" s="782">
        <f>O575</f>
        <v>1</v>
      </c>
      <c r="P578" s="781"/>
      <c r="Q578" s="756" t="s">
        <v>463</v>
      </c>
      <c r="R578" s="756">
        <v>10</v>
      </c>
      <c r="S578" s="757">
        <f>4/(12*3.281)</f>
        <v>0.1015950421619425</v>
      </c>
      <c r="T578" s="758">
        <f>2*(ROUND(2*M576/S578,0))+1</f>
        <v>13</v>
      </c>
      <c r="U578" s="759">
        <f>2*(M575+M576)-8*P575+2*8*R578/1000</f>
        <v>0.97072843645230111</v>
      </c>
      <c r="V578" s="757">
        <f>T578*U578*O578</f>
        <v>12.619469673879914</v>
      </c>
      <c r="W578" s="757">
        <f t="shared" si="141"/>
        <v>0</v>
      </c>
      <c r="X578" s="757">
        <f t="shared" si="141"/>
        <v>0</v>
      </c>
      <c r="Y578" s="757">
        <f t="shared" si="141"/>
        <v>12.619469673879914</v>
      </c>
      <c r="Z578" s="757">
        <f t="shared" si="141"/>
        <v>0</v>
      </c>
      <c r="AA578" s="757">
        <f t="shared" si="141"/>
        <v>0</v>
      </c>
      <c r="AB578" s="757">
        <f t="shared" si="141"/>
        <v>0</v>
      </c>
      <c r="AC578" s="757">
        <f t="shared" si="141"/>
        <v>0</v>
      </c>
      <c r="AD578" s="757">
        <f t="shared" si="141"/>
        <v>0</v>
      </c>
      <c r="AE578" s="757">
        <f t="shared" si="141"/>
        <v>0</v>
      </c>
      <c r="AF578" s="777"/>
      <c r="AI578" s="777"/>
      <c r="AL578" s="777"/>
      <c r="AM578" s="777"/>
    </row>
    <row r="579" spans="1:43" s="776" customFormat="1" ht="22.25" customHeight="1">
      <c r="A579" s="769"/>
      <c r="B579" s="770" t="s">
        <v>484</v>
      </c>
      <c r="C579" s="665"/>
      <c r="D579" s="665">
        <f>T579</f>
        <v>5</v>
      </c>
      <c r="E579" s="665">
        <f>E578</f>
        <v>1</v>
      </c>
      <c r="F579" s="751">
        <f>U579</f>
        <v>0.97072843645230111</v>
      </c>
      <c r="G579" s="779"/>
      <c r="H579" s="780"/>
      <c r="I579" s="774"/>
      <c r="J579" s="492">
        <f>IF(I579=0,1,I579)*IF(H579=0,1,H579)*IF(G579=0,1,G579)*IF(F579=0,1,F579)*IF(E579=0,1,E579)*IF(D579=0,1,D579)*IF(C579=0,1,C579)</f>
        <v>4.8536421822615052</v>
      </c>
      <c r="K579" s="480"/>
      <c r="L579" s="774"/>
      <c r="M579" s="760"/>
      <c r="N579" s="781"/>
      <c r="O579" s="782">
        <f>O578</f>
        <v>1</v>
      </c>
      <c r="P579" s="781"/>
      <c r="Q579" s="756" t="s">
        <v>463</v>
      </c>
      <c r="R579" s="756">
        <v>10</v>
      </c>
      <c r="S579" s="757">
        <f>6/(12*3.281)</f>
        <v>0.15239256324291375</v>
      </c>
      <c r="T579" s="758">
        <f>(ROUND((N575-4*M576)/S579,0))+1</f>
        <v>5</v>
      </c>
      <c r="U579" s="759">
        <f>2*(M575+M576)-8*P575+2*8*R579/1000</f>
        <v>0.97072843645230111</v>
      </c>
      <c r="V579" s="757">
        <f>T579*U579*O579</f>
        <v>4.8536421822615052</v>
      </c>
      <c r="W579" s="757">
        <f t="shared" si="141"/>
        <v>0</v>
      </c>
      <c r="X579" s="757">
        <f t="shared" si="141"/>
        <v>0</v>
      </c>
      <c r="Y579" s="757">
        <f t="shared" si="141"/>
        <v>4.8536421822615052</v>
      </c>
      <c r="Z579" s="757">
        <f t="shared" si="141"/>
        <v>0</v>
      </c>
      <c r="AA579" s="757">
        <f t="shared" si="141"/>
        <v>0</v>
      </c>
      <c r="AB579" s="757">
        <f t="shared" si="141"/>
        <v>0</v>
      </c>
      <c r="AC579" s="757">
        <f t="shared" si="141"/>
        <v>0</v>
      </c>
      <c r="AD579" s="757">
        <f t="shared" si="141"/>
        <v>0</v>
      </c>
      <c r="AE579" s="757">
        <f t="shared" si="141"/>
        <v>0</v>
      </c>
      <c r="AF579" s="777"/>
      <c r="AI579" s="777"/>
      <c r="AL579" s="777"/>
      <c r="AM579" s="777"/>
    </row>
    <row r="580" spans="1:43" s="390" customFormat="1" ht="22.25" customHeight="1">
      <c r="A580" s="454"/>
      <c r="B580" s="657" t="s">
        <v>472</v>
      </c>
      <c r="C580" s="662"/>
      <c r="D580" s="662"/>
      <c r="E580" s="662">
        <v>1</v>
      </c>
      <c r="F580" s="498">
        <f>15+0.83</f>
        <v>15.83</v>
      </c>
      <c r="G580" s="642">
        <f>G573</f>
        <v>0.83</v>
      </c>
      <c r="H580" s="642">
        <f>H573</f>
        <v>1</v>
      </c>
      <c r="I580" s="499"/>
      <c r="J580" s="507"/>
      <c r="K580" s="455"/>
      <c r="L580" s="312"/>
      <c r="M580" s="722"/>
      <c r="N580" s="722"/>
      <c r="O580" s="722"/>
      <c r="P580" s="722"/>
      <c r="Q580" s="611"/>
      <c r="R580" s="611"/>
      <c r="S580" s="611"/>
      <c r="T580" s="611"/>
      <c r="U580" s="611"/>
      <c r="V580" s="624"/>
      <c r="W580" s="624">
        <f t="shared" ref="W580:AE580" si="143">IF($R580=W$5,$V580,0)</f>
        <v>0</v>
      </c>
      <c r="X580" s="624">
        <f t="shared" si="143"/>
        <v>0</v>
      </c>
      <c r="Y580" s="624">
        <f t="shared" si="143"/>
        <v>0</v>
      </c>
      <c r="Z580" s="624">
        <f t="shared" si="143"/>
        <v>0</v>
      </c>
      <c r="AA580" s="624">
        <f t="shared" si="143"/>
        <v>0</v>
      </c>
      <c r="AB580" s="624">
        <f t="shared" si="143"/>
        <v>0</v>
      </c>
      <c r="AC580" s="624">
        <f t="shared" si="143"/>
        <v>0</v>
      </c>
      <c r="AD580" s="624">
        <f t="shared" si="143"/>
        <v>0</v>
      </c>
      <c r="AE580" s="624">
        <f t="shared" si="143"/>
        <v>0</v>
      </c>
      <c r="AF580" s="471">
        <f>14*0.75*1*2</f>
        <v>21</v>
      </c>
      <c r="AG580" s="473"/>
      <c r="AH580" s="471"/>
      <c r="AI580" s="471"/>
      <c r="AJ580" s="471"/>
      <c r="AM580" s="404"/>
      <c r="AP580" s="404"/>
      <c r="AQ580" s="404"/>
    </row>
    <row r="581" spans="1:43" s="776" customFormat="1" ht="22.25" customHeight="1">
      <c r="A581" s="769"/>
      <c r="B581" s="770" t="s">
        <v>543</v>
      </c>
      <c r="C581" s="665"/>
      <c r="D581" s="665"/>
      <c r="E581" s="665"/>
      <c r="F581" s="751"/>
      <c r="G581" s="773"/>
      <c r="H581" s="778"/>
      <c r="I581" s="774"/>
      <c r="J581" s="778"/>
      <c r="K581" s="480"/>
      <c r="L581" s="774"/>
      <c r="M581" s="760"/>
      <c r="N581" s="781"/>
      <c r="O581" s="782"/>
      <c r="P581" s="781"/>
      <c r="Q581" s="756"/>
      <c r="R581" s="756"/>
      <c r="S581" s="757"/>
      <c r="T581" s="758"/>
      <c r="U581" s="759"/>
      <c r="V581" s="757"/>
      <c r="W581" s="757">
        <f t="shared" si="141"/>
        <v>0</v>
      </c>
      <c r="X581" s="757">
        <f t="shared" si="141"/>
        <v>0</v>
      </c>
      <c r="Y581" s="757">
        <f t="shared" si="141"/>
        <v>0</v>
      </c>
      <c r="Z581" s="757">
        <f t="shared" si="141"/>
        <v>0</v>
      </c>
      <c r="AA581" s="757">
        <f t="shared" si="141"/>
        <v>0</v>
      </c>
      <c r="AB581" s="757">
        <f t="shared" si="141"/>
        <v>0</v>
      </c>
      <c r="AC581" s="757">
        <f t="shared" si="141"/>
        <v>0</v>
      </c>
      <c r="AD581" s="757">
        <f t="shared" si="141"/>
        <v>0</v>
      </c>
      <c r="AE581" s="757">
        <f t="shared" si="141"/>
        <v>0</v>
      </c>
      <c r="AF581" s="772" t="e">
        <f>((#REF!+#REF!/12)-(1.5/12)*2)*4+0.25*2</f>
        <v>#REF!</v>
      </c>
      <c r="AI581" s="777"/>
      <c r="AL581" s="777"/>
      <c r="AM581" s="777"/>
    </row>
    <row r="582" spans="1:43" s="776" customFormat="1" ht="22.25" customHeight="1">
      <c r="A582" s="769"/>
      <c r="B582" s="770" t="s">
        <v>483</v>
      </c>
      <c r="C582" s="665"/>
      <c r="D582" s="665">
        <v>3</v>
      </c>
      <c r="E582" s="665">
        <f>E580</f>
        <v>1</v>
      </c>
      <c r="F582" s="751">
        <f>U582</f>
        <v>5.358122523620847</v>
      </c>
      <c r="G582" s="773"/>
      <c r="H582" s="778"/>
      <c r="I582" s="774"/>
      <c r="J582" s="492">
        <f>IF(I582=0,1,I582)*IF(H582=0,1,H582)*IF(G582=0,1,G582)*IF(F582=0,1,F582)*IF(E582=0,1,E582)*IF(D582=0,1,D582)*IF(C582=0,1,C582)</f>
        <v>16.074367570862542</v>
      </c>
      <c r="K582" s="480"/>
      <c r="L582" s="774"/>
      <c r="M582" s="760">
        <f>G580/3.281</f>
        <v>0.25297165498323682</v>
      </c>
      <c r="N582" s="781">
        <f>F580/3.281</f>
        <v>4.8247485522706492</v>
      </c>
      <c r="O582" s="768">
        <f>E582</f>
        <v>1</v>
      </c>
      <c r="P582" s="781">
        <f>(1.5/12)/3.281</f>
        <v>3.8098140810728431E-2</v>
      </c>
      <c r="Q582" s="756" t="s">
        <v>541</v>
      </c>
      <c r="R582" s="756">
        <v>16</v>
      </c>
      <c r="S582" s="757"/>
      <c r="T582" s="758">
        <f>D582</f>
        <v>3</v>
      </c>
      <c r="U582" s="759">
        <f>N582-2*P582+2*M583</f>
        <v>5.358122523620847</v>
      </c>
      <c r="V582" s="757">
        <f>T582*U582*O582</f>
        <v>16.074367570862542</v>
      </c>
      <c r="W582" s="757">
        <f t="shared" si="141"/>
        <v>0</v>
      </c>
      <c r="X582" s="757">
        <f t="shared" si="141"/>
        <v>0</v>
      </c>
      <c r="Y582" s="757">
        <f t="shared" si="141"/>
        <v>0</v>
      </c>
      <c r="Z582" s="757">
        <f t="shared" si="141"/>
        <v>0</v>
      </c>
      <c r="AA582" s="757">
        <f t="shared" si="141"/>
        <v>16.074367570862542</v>
      </c>
      <c r="AB582" s="757">
        <f t="shared" si="141"/>
        <v>0</v>
      </c>
      <c r="AC582" s="757">
        <f t="shared" si="141"/>
        <v>0</v>
      </c>
      <c r="AD582" s="757">
        <f t="shared" si="141"/>
        <v>0</v>
      </c>
      <c r="AE582" s="757">
        <f t="shared" si="141"/>
        <v>0</v>
      </c>
      <c r="AF582" s="772" t="e">
        <f>(#REF!+#REF!/12)-0.25+0.5+0.25*2</f>
        <v>#REF!</v>
      </c>
      <c r="AI582" s="777"/>
      <c r="AL582" s="777"/>
      <c r="AM582" s="777"/>
    </row>
    <row r="583" spans="1:43" s="776" customFormat="1" ht="22.25" customHeight="1">
      <c r="A583" s="769"/>
      <c r="B583" s="770" t="s">
        <v>483</v>
      </c>
      <c r="C583" s="665"/>
      <c r="D583" s="665">
        <v>3</v>
      </c>
      <c r="E583" s="665">
        <f>E582</f>
        <v>1</v>
      </c>
      <c r="F583" s="751">
        <f>U583</f>
        <v>5.021337397135019</v>
      </c>
      <c r="G583" s="773"/>
      <c r="H583" s="778"/>
      <c r="I583" s="774"/>
      <c r="J583" s="492">
        <f>IF(I583=0,1,I583)*IF(H583=0,1,H583)*IF(G583=0,1,G583)*IF(F583=0,1,F583)*IF(E583=0,1,E583)*IF(D583=0,1,D583)*IF(C583=0,1,C583)</f>
        <v>15.064012191405057</v>
      </c>
      <c r="K583" s="480"/>
      <c r="L583" s="774"/>
      <c r="M583" s="760">
        <f>H580/3.281</f>
        <v>0.30478512648582745</v>
      </c>
      <c r="N583" s="781"/>
      <c r="O583" s="768">
        <f>E583</f>
        <v>1</v>
      </c>
      <c r="P583" s="781">
        <f>(1.5/12)/3.281</f>
        <v>3.8098140810728431E-2</v>
      </c>
      <c r="Q583" s="756" t="s">
        <v>457</v>
      </c>
      <c r="R583" s="756">
        <v>16</v>
      </c>
      <c r="S583" s="757"/>
      <c r="T583" s="758">
        <f>D583</f>
        <v>3</v>
      </c>
      <c r="U583" s="759">
        <f>N582-2*P583-2*R583/1000+2*((M583/2))</f>
        <v>5.021337397135019</v>
      </c>
      <c r="V583" s="757">
        <f>T583*U583*O583</f>
        <v>15.064012191405057</v>
      </c>
      <c r="W583" s="757">
        <f t="shared" ref="W583:AE586" si="144">IF($R583=W$5,$V583,0)</f>
        <v>0</v>
      </c>
      <c r="X583" s="757">
        <f t="shared" si="144"/>
        <v>0</v>
      </c>
      <c r="Y583" s="757">
        <f t="shared" si="144"/>
        <v>0</v>
      </c>
      <c r="Z583" s="757">
        <f t="shared" si="144"/>
        <v>0</v>
      </c>
      <c r="AA583" s="757">
        <f t="shared" si="144"/>
        <v>15.064012191405057</v>
      </c>
      <c r="AB583" s="757">
        <f t="shared" si="144"/>
        <v>0</v>
      </c>
      <c r="AC583" s="757">
        <f t="shared" si="144"/>
        <v>0</v>
      </c>
      <c r="AD583" s="757">
        <f t="shared" si="144"/>
        <v>0</v>
      </c>
      <c r="AE583" s="757">
        <f t="shared" si="144"/>
        <v>0</v>
      </c>
      <c r="AF583" s="772" t="e">
        <f>(#REF!+#REF!/12)-0.25+0.5+0.25*2</f>
        <v>#REF!</v>
      </c>
      <c r="AI583" s="777"/>
      <c r="AL583" s="777"/>
      <c r="AM583" s="777"/>
    </row>
    <row r="584" spans="1:43" s="776" customFormat="1" ht="22.25" customHeight="1">
      <c r="A584" s="769"/>
      <c r="B584" s="770" t="s">
        <v>542</v>
      </c>
      <c r="C584" s="665"/>
      <c r="D584" s="665"/>
      <c r="E584" s="665"/>
      <c r="F584" s="751"/>
      <c r="G584" s="773"/>
      <c r="H584" s="778"/>
      <c r="I584" s="774"/>
      <c r="J584" s="778"/>
      <c r="K584" s="480"/>
      <c r="L584" s="774"/>
      <c r="M584" s="760"/>
      <c r="N584" s="781"/>
      <c r="O584" s="782"/>
      <c r="P584" s="781"/>
      <c r="Q584" s="756"/>
      <c r="R584" s="756"/>
      <c r="S584" s="757"/>
      <c r="T584" s="758"/>
      <c r="U584" s="759"/>
      <c r="V584" s="757"/>
      <c r="W584" s="757">
        <f t="shared" si="144"/>
        <v>0</v>
      </c>
      <c r="X584" s="757">
        <f t="shared" si="144"/>
        <v>0</v>
      </c>
      <c r="Y584" s="757">
        <f t="shared" si="144"/>
        <v>0</v>
      </c>
      <c r="Z584" s="757">
        <f t="shared" si="144"/>
        <v>0</v>
      </c>
      <c r="AA584" s="757">
        <f t="shared" si="144"/>
        <v>0</v>
      </c>
      <c r="AB584" s="757">
        <f t="shared" si="144"/>
        <v>0</v>
      </c>
      <c r="AC584" s="757">
        <f t="shared" si="144"/>
        <v>0</v>
      </c>
      <c r="AD584" s="757">
        <f t="shared" si="144"/>
        <v>0</v>
      </c>
      <c r="AE584" s="757">
        <f t="shared" si="144"/>
        <v>0</v>
      </c>
      <c r="AF584" s="772" t="e">
        <f>((#REF!+#REF!/12)-(1.5/12)*2)*4+0.25*2</f>
        <v>#REF!</v>
      </c>
      <c r="AI584" s="777"/>
      <c r="AL584" s="777"/>
      <c r="AM584" s="777"/>
    </row>
    <row r="585" spans="1:43" s="776" customFormat="1" ht="22.25" customHeight="1">
      <c r="A585" s="769"/>
      <c r="B585" s="770" t="s">
        <v>484</v>
      </c>
      <c r="C585" s="665"/>
      <c r="D585" s="665">
        <f>T585</f>
        <v>13</v>
      </c>
      <c r="E585" s="665">
        <f>E582</f>
        <v>1</v>
      </c>
      <c r="F585" s="751">
        <f>U585</f>
        <v>0.97072843645230111</v>
      </c>
      <c r="G585" s="779"/>
      <c r="H585" s="780"/>
      <c r="I585" s="774"/>
      <c r="J585" s="492">
        <f>IF(I585=0,1,I585)*IF(H585=0,1,H585)*IF(G585=0,1,G585)*IF(F585=0,1,F585)*IF(E585=0,1,E585)*IF(D585=0,1,D585)*IF(C585=0,1,C585)</f>
        <v>12.619469673879914</v>
      </c>
      <c r="K585" s="480"/>
      <c r="L585" s="774"/>
      <c r="N585" s="781"/>
      <c r="O585" s="782">
        <f>O582</f>
        <v>1</v>
      </c>
      <c r="P585" s="781"/>
      <c r="Q585" s="756" t="s">
        <v>463</v>
      </c>
      <c r="R585" s="756">
        <v>10</v>
      </c>
      <c r="S585" s="757">
        <f>4/(12*3.281)</f>
        <v>0.1015950421619425</v>
      </c>
      <c r="T585" s="758">
        <f>2*(ROUND(2*M583/S585,0))+1</f>
        <v>13</v>
      </c>
      <c r="U585" s="759">
        <f>2*(M582+M583)-8*P582+2*8*R585/1000</f>
        <v>0.97072843645230111</v>
      </c>
      <c r="V585" s="757">
        <f>T585*U585*O585</f>
        <v>12.619469673879914</v>
      </c>
      <c r="W585" s="757">
        <f t="shared" si="144"/>
        <v>0</v>
      </c>
      <c r="X585" s="757">
        <f t="shared" si="144"/>
        <v>0</v>
      </c>
      <c r="Y585" s="757">
        <f t="shared" si="144"/>
        <v>12.619469673879914</v>
      </c>
      <c r="Z585" s="757">
        <f t="shared" si="144"/>
        <v>0</v>
      </c>
      <c r="AA585" s="757">
        <f t="shared" si="144"/>
        <v>0</v>
      </c>
      <c r="AB585" s="757">
        <f t="shared" si="144"/>
        <v>0</v>
      </c>
      <c r="AC585" s="757">
        <f t="shared" si="144"/>
        <v>0</v>
      </c>
      <c r="AD585" s="757">
        <f t="shared" si="144"/>
        <v>0</v>
      </c>
      <c r="AE585" s="757">
        <f t="shared" si="144"/>
        <v>0</v>
      </c>
      <c r="AF585" s="777"/>
      <c r="AI585" s="777"/>
      <c r="AL585" s="777"/>
      <c r="AM585" s="777"/>
    </row>
    <row r="586" spans="1:43" s="776" customFormat="1" ht="22.25" customHeight="1">
      <c r="A586" s="769"/>
      <c r="B586" s="770" t="s">
        <v>484</v>
      </c>
      <c r="C586" s="665"/>
      <c r="D586" s="665">
        <f>T586</f>
        <v>25</v>
      </c>
      <c r="E586" s="665">
        <f>E585</f>
        <v>1</v>
      </c>
      <c r="F586" s="751">
        <f>U586</f>
        <v>0.97072843645230111</v>
      </c>
      <c r="G586" s="779"/>
      <c r="H586" s="780"/>
      <c r="I586" s="774"/>
      <c r="J586" s="492">
        <f>IF(I586=0,1,I586)*IF(H586=0,1,H586)*IF(G586=0,1,G586)*IF(F586=0,1,F586)*IF(E586=0,1,E586)*IF(D586=0,1,D586)*IF(C586=0,1,C586)</f>
        <v>24.268210911307527</v>
      </c>
      <c r="K586" s="480"/>
      <c r="L586" s="774"/>
      <c r="M586" s="760"/>
      <c r="N586" s="781"/>
      <c r="O586" s="782">
        <f>O585</f>
        <v>1</v>
      </c>
      <c r="P586" s="781"/>
      <c r="Q586" s="756" t="s">
        <v>463</v>
      </c>
      <c r="R586" s="756">
        <v>10</v>
      </c>
      <c r="S586" s="757">
        <f>6/(12*3.281)</f>
        <v>0.15239256324291375</v>
      </c>
      <c r="T586" s="758">
        <f>(ROUND((N582-4*M583)/S586,0))+1</f>
        <v>25</v>
      </c>
      <c r="U586" s="759">
        <f>2*(M582+M583)-8*P582+2*8*R586/1000</f>
        <v>0.97072843645230111</v>
      </c>
      <c r="V586" s="757">
        <f>T586*U586*O586</f>
        <v>24.268210911307527</v>
      </c>
      <c r="W586" s="757">
        <f t="shared" si="144"/>
        <v>0</v>
      </c>
      <c r="X586" s="757">
        <f t="shared" si="144"/>
        <v>0</v>
      </c>
      <c r="Y586" s="757">
        <f t="shared" si="144"/>
        <v>24.268210911307527</v>
      </c>
      <c r="Z586" s="757">
        <f t="shared" si="144"/>
        <v>0</v>
      </c>
      <c r="AA586" s="757">
        <f t="shared" si="144"/>
        <v>0</v>
      </c>
      <c r="AB586" s="757">
        <f t="shared" si="144"/>
        <v>0</v>
      </c>
      <c r="AC586" s="757">
        <f t="shared" si="144"/>
        <v>0</v>
      </c>
      <c r="AD586" s="757">
        <f t="shared" si="144"/>
        <v>0</v>
      </c>
      <c r="AE586" s="757">
        <f t="shared" si="144"/>
        <v>0</v>
      </c>
      <c r="AF586" s="777"/>
      <c r="AI586" s="777"/>
      <c r="AL586" s="777"/>
      <c r="AM586" s="777"/>
    </row>
    <row r="587" spans="1:43" s="390" customFormat="1" ht="22.25" customHeight="1">
      <c r="A587" s="454"/>
      <c r="B587" s="657" t="s">
        <v>473</v>
      </c>
      <c r="C587" s="662"/>
      <c r="D587" s="662"/>
      <c r="E587" s="662">
        <v>1</v>
      </c>
      <c r="F587" s="498">
        <f>45+5</f>
        <v>50</v>
      </c>
      <c r="G587" s="642">
        <f>G580</f>
        <v>0.83</v>
      </c>
      <c r="H587" s="642">
        <f>H580</f>
        <v>1</v>
      </c>
      <c r="I587" s="499"/>
      <c r="J587" s="507"/>
      <c r="K587" s="455"/>
      <c r="L587" s="312"/>
      <c r="M587" s="722"/>
      <c r="N587" s="722"/>
      <c r="O587" s="722"/>
      <c r="P587" s="722"/>
      <c r="Q587" s="611"/>
      <c r="R587" s="611"/>
      <c r="S587" s="611"/>
      <c r="T587" s="611"/>
      <c r="U587" s="611"/>
      <c r="V587" s="624"/>
      <c r="W587" s="624">
        <f t="shared" ref="W587:AE596" si="145">IF($R587=W$5,$V587,0)</f>
        <v>0</v>
      </c>
      <c r="X587" s="624">
        <f t="shared" si="145"/>
        <v>0</v>
      </c>
      <c r="Y587" s="624">
        <f t="shared" si="145"/>
        <v>0</v>
      </c>
      <c r="Z587" s="624">
        <f t="shared" si="145"/>
        <v>0</v>
      </c>
      <c r="AA587" s="624">
        <f t="shared" si="145"/>
        <v>0</v>
      </c>
      <c r="AB587" s="624">
        <f t="shared" si="145"/>
        <v>0</v>
      </c>
      <c r="AC587" s="624">
        <f t="shared" si="145"/>
        <v>0</v>
      </c>
      <c r="AD587" s="624">
        <f t="shared" si="145"/>
        <v>0</v>
      </c>
      <c r="AE587" s="624">
        <f t="shared" si="145"/>
        <v>0</v>
      </c>
      <c r="AF587" s="471">
        <f>14*0.75*1*2</f>
        <v>21</v>
      </c>
      <c r="AG587" s="473"/>
      <c r="AH587" s="471"/>
      <c r="AI587" s="471"/>
      <c r="AJ587" s="471"/>
      <c r="AM587" s="404"/>
      <c r="AP587" s="404"/>
      <c r="AQ587" s="404"/>
    </row>
    <row r="588" spans="1:43" s="776" customFormat="1" ht="22.25" customHeight="1">
      <c r="A588" s="769"/>
      <c r="B588" s="770" t="s">
        <v>543</v>
      </c>
      <c r="C588" s="665"/>
      <c r="D588" s="665"/>
      <c r="E588" s="665"/>
      <c r="F588" s="751"/>
      <c r="G588" s="773"/>
      <c r="H588" s="778"/>
      <c r="I588" s="774"/>
      <c r="J588" s="778"/>
      <c r="K588" s="480"/>
      <c r="L588" s="774"/>
      <c r="M588" s="760"/>
      <c r="N588" s="781"/>
      <c r="O588" s="782"/>
      <c r="P588" s="781"/>
      <c r="Q588" s="756"/>
      <c r="R588" s="756"/>
      <c r="S588" s="757"/>
      <c r="T588" s="758"/>
      <c r="U588" s="759"/>
      <c r="V588" s="757"/>
      <c r="W588" s="757">
        <f t="shared" si="145"/>
        <v>0</v>
      </c>
      <c r="X588" s="757">
        <f t="shared" si="145"/>
        <v>0</v>
      </c>
      <c r="Y588" s="757">
        <f t="shared" si="145"/>
        <v>0</v>
      </c>
      <c r="Z588" s="757">
        <f t="shared" si="145"/>
        <v>0</v>
      </c>
      <c r="AA588" s="757">
        <f t="shared" si="145"/>
        <v>0</v>
      </c>
      <c r="AB588" s="757">
        <f t="shared" si="145"/>
        <v>0</v>
      </c>
      <c r="AC588" s="757">
        <f t="shared" si="145"/>
        <v>0</v>
      </c>
      <c r="AD588" s="757">
        <f t="shared" si="145"/>
        <v>0</v>
      </c>
      <c r="AE588" s="757">
        <f t="shared" si="145"/>
        <v>0</v>
      </c>
      <c r="AF588" s="772" t="e">
        <f>((#REF!+#REF!/12)-(1.5/12)*2)*4+0.25*2</f>
        <v>#REF!</v>
      </c>
      <c r="AI588" s="777"/>
      <c r="AL588" s="777"/>
      <c r="AM588" s="777"/>
    </row>
    <row r="589" spans="1:43" s="776" customFormat="1" ht="22.25" customHeight="1">
      <c r="A589" s="769"/>
      <c r="B589" s="770" t="s">
        <v>483</v>
      </c>
      <c r="C589" s="665"/>
      <c r="D589" s="665">
        <v>3</v>
      </c>
      <c r="E589" s="665">
        <f>E587</f>
        <v>1</v>
      </c>
      <c r="F589" s="751">
        <f>U589</f>
        <v>16.382200548613227</v>
      </c>
      <c r="G589" s="773"/>
      <c r="H589" s="778"/>
      <c r="I589" s="774"/>
      <c r="J589" s="492">
        <f>IF(I589=0,1,I589)*IF(H589=0,1,H589)*IF(G589=0,1,G589)*IF(F589=0,1,F589)*IF(E589=0,1,E589)*IF(D589=0,1,D589)*IF(C589=0,1,C589)</f>
        <v>49.146601645839681</v>
      </c>
      <c r="K589" s="480"/>
      <c r="L589" s="774"/>
      <c r="M589" s="760">
        <f>G587/3.281</f>
        <v>0.25297165498323682</v>
      </c>
      <c r="N589" s="781">
        <f>F587/3.281</f>
        <v>15.239256324291373</v>
      </c>
      <c r="O589" s="768">
        <f>E589</f>
        <v>1</v>
      </c>
      <c r="P589" s="781">
        <f>(1.5/12)/3.281</f>
        <v>3.8098140810728431E-2</v>
      </c>
      <c r="Q589" s="756" t="s">
        <v>541</v>
      </c>
      <c r="R589" s="756">
        <v>16</v>
      </c>
      <c r="S589" s="757"/>
      <c r="T589" s="758">
        <f>D589</f>
        <v>3</v>
      </c>
      <c r="U589" s="759">
        <f>N589-2*P589+2*M590+2/3.281</f>
        <v>16.382200548613227</v>
      </c>
      <c r="V589" s="757">
        <f>T589*U589*O589</f>
        <v>49.146601645839681</v>
      </c>
      <c r="W589" s="757">
        <f t="shared" si="145"/>
        <v>0</v>
      </c>
      <c r="X589" s="757">
        <f t="shared" si="145"/>
        <v>0</v>
      </c>
      <c r="Y589" s="757">
        <f t="shared" si="145"/>
        <v>0</v>
      </c>
      <c r="Z589" s="757">
        <f t="shared" si="145"/>
        <v>0</v>
      </c>
      <c r="AA589" s="757">
        <f t="shared" si="145"/>
        <v>49.146601645839681</v>
      </c>
      <c r="AB589" s="757">
        <f t="shared" si="145"/>
        <v>0</v>
      </c>
      <c r="AC589" s="757">
        <f t="shared" si="145"/>
        <v>0</v>
      </c>
      <c r="AD589" s="757">
        <f t="shared" si="145"/>
        <v>0</v>
      </c>
      <c r="AE589" s="757">
        <f t="shared" si="145"/>
        <v>0</v>
      </c>
      <c r="AF589" s="772" t="e">
        <f>(#REF!+#REF!/12)-0.25+0.5+0.25*2</f>
        <v>#REF!</v>
      </c>
      <c r="AI589" s="777"/>
      <c r="AL589" s="777"/>
      <c r="AM589" s="777"/>
    </row>
    <row r="590" spans="1:43" s="776" customFormat="1" ht="22.25" customHeight="1">
      <c r="A590" s="769"/>
      <c r="B590" s="770" t="s">
        <v>483</v>
      </c>
      <c r="C590" s="665"/>
      <c r="D590" s="665">
        <v>3</v>
      </c>
      <c r="E590" s="665">
        <f>E589</f>
        <v>1</v>
      </c>
      <c r="F590" s="751">
        <f>U590</f>
        <v>16.045415422127398</v>
      </c>
      <c r="G590" s="773"/>
      <c r="H590" s="778"/>
      <c r="I590" s="774"/>
      <c r="J590" s="492">
        <f>IF(I590=0,1,I590)*IF(H590=0,1,H590)*IF(G590=0,1,G590)*IF(F590=0,1,F590)*IF(E590=0,1,E590)*IF(D590=0,1,D590)*IF(C590=0,1,C590)</f>
        <v>48.136246266382194</v>
      </c>
      <c r="K590" s="480"/>
      <c r="L590" s="774"/>
      <c r="M590" s="760">
        <f>H587/3.281</f>
        <v>0.30478512648582745</v>
      </c>
      <c r="N590" s="781"/>
      <c r="O590" s="768">
        <f>E590</f>
        <v>1</v>
      </c>
      <c r="P590" s="781">
        <f>(1.5/12)/3.281</f>
        <v>3.8098140810728431E-2</v>
      </c>
      <c r="Q590" s="756" t="s">
        <v>457</v>
      </c>
      <c r="R590" s="756">
        <v>16</v>
      </c>
      <c r="S590" s="757"/>
      <c r="T590" s="758">
        <f>D590</f>
        <v>3</v>
      </c>
      <c r="U590" s="759">
        <f>N589-2*P590-2*R590/1000+2*((M590/2))+2/3.281</f>
        <v>16.045415422127398</v>
      </c>
      <c r="V590" s="757">
        <f>T590*U590*O590</f>
        <v>48.136246266382194</v>
      </c>
      <c r="W590" s="757">
        <f t="shared" si="145"/>
        <v>0</v>
      </c>
      <c r="X590" s="757">
        <f t="shared" si="145"/>
        <v>0</v>
      </c>
      <c r="Y590" s="757">
        <f t="shared" si="145"/>
        <v>0</v>
      </c>
      <c r="Z590" s="757">
        <f t="shared" si="145"/>
        <v>0</v>
      </c>
      <c r="AA590" s="757">
        <f t="shared" si="145"/>
        <v>48.136246266382194</v>
      </c>
      <c r="AB590" s="757">
        <f t="shared" si="145"/>
        <v>0</v>
      </c>
      <c r="AC590" s="757">
        <f t="shared" si="145"/>
        <v>0</v>
      </c>
      <c r="AD590" s="757">
        <f t="shared" si="145"/>
        <v>0</v>
      </c>
      <c r="AE590" s="757">
        <f t="shared" si="145"/>
        <v>0</v>
      </c>
      <c r="AF590" s="772" t="e">
        <f>(#REF!+#REF!/12)-0.25+0.5+0.25*2</f>
        <v>#REF!</v>
      </c>
      <c r="AI590" s="777"/>
      <c r="AL590" s="777"/>
      <c r="AM590" s="777"/>
    </row>
    <row r="591" spans="1:43" s="776" customFormat="1" ht="22.25" customHeight="1">
      <c r="A591" s="769"/>
      <c r="B591" s="770" t="s">
        <v>542</v>
      </c>
      <c r="C591" s="665"/>
      <c r="D591" s="665"/>
      <c r="E591" s="665"/>
      <c r="F591" s="751"/>
      <c r="G591" s="773"/>
      <c r="H591" s="778"/>
      <c r="I591" s="774"/>
      <c r="J591" s="778"/>
      <c r="K591" s="480"/>
      <c r="L591" s="774"/>
      <c r="M591" s="760"/>
      <c r="N591" s="781"/>
      <c r="O591" s="782"/>
      <c r="P591" s="781"/>
      <c r="Q591" s="756"/>
      <c r="R591" s="756"/>
      <c r="S591" s="757"/>
      <c r="T591" s="758"/>
      <c r="U591" s="759"/>
      <c r="V591" s="757"/>
      <c r="W591" s="757">
        <f t="shared" si="145"/>
        <v>0</v>
      </c>
      <c r="X591" s="757">
        <f t="shared" si="145"/>
        <v>0</v>
      </c>
      <c r="Y591" s="757">
        <f t="shared" si="145"/>
        <v>0</v>
      </c>
      <c r="Z591" s="757">
        <f t="shared" si="145"/>
        <v>0</v>
      </c>
      <c r="AA591" s="757">
        <f t="shared" si="145"/>
        <v>0</v>
      </c>
      <c r="AB591" s="757">
        <f t="shared" si="145"/>
        <v>0</v>
      </c>
      <c r="AC591" s="757">
        <f t="shared" si="145"/>
        <v>0</v>
      </c>
      <c r="AD591" s="757">
        <f t="shared" si="145"/>
        <v>0</v>
      </c>
      <c r="AE591" s="757">
        <f t="shared" si="145"/>
        <v>0</v>
      </c>
      <c r="AF591" s="772" t="e">
        <f>((#REF!+#REF!/12)-(1.5/12)*2)*4+0.25*2</f>
        <v>#REF!</v>
      </c>
      <c r="AI591" s="777"/>
      <c r="AL591" s="777"/>
      <c r="AM591" s="777"/>
    </row>
    <row r="592" spans="1:43" s="776" customFormat="1" ht="22.25" customHeight="1">
      <c r="A592" s="769"/>
      <c r="B592" s="770" t="s">
        <v>484</v>
      </c>
      <c r="C592" s="665"/>
      <c r="D592" s="665">
        <f>T592</f>
        <v>13</v>
      </c>
      <c r="E592" s="665">
        <f>E589</f>
        <v>1</v>
      </c>
      <c r="F592" s="751">
        <f>U592</f>
        <v>0.97072843645230111</v>
      </c>
      <c r="G592" s="779"/>
      <c r="H592" s="780"/>
      <c r="I592" s="774"/>
      <c r="J592" s="492">
        <f>IF(I592=0,1,I592)*IF(H592=0,1,H592)*IF(G592=0,1,G592)*IF(F592=0,1,F592)*IF(E592=0,1,E592)*IF(D592=0,1,D592)*IF(C592=0,1,C592)</f>
        <v>12.619469673879914</v>
      </c>
      <c r="K592" s="480"/>
      <c r="L592" s="774"/>
      <c r="N592" s="781"/>
      <c r="O592" s="782">
        <f>O589</f>
        <v>1</v>
      </c>
      <c r="P592" s="781"/>
      <c r="Q592" s="756" t="s">
        <v>463</v>
      </c>
      <c r="R592" s="756">
        <v>10</v>
      </c>
      <c r="S592" s="757">
        <f>4/(12*3.281)</f>
        <v>0.1015950421619425</v>
      </c>
      <c r="T592" s="758">
        <f>2*(ROUND(2*M590/S592,0))+1</f>
        <v>13</v>
      </c>
      <c r="U592" s="759">
        <f>2*(M589+M590)-8*P589+2*8*R592/1000</f>
        <v>0.97072843645230111</v>
      </c>
      <c r="V592" s="757">
        <f>T592*U592*O592</f>
        <v>12.619469673879914</v>
      </c>
      <c r="W592" s="757">
        <f t="shared" si="145"/>
        <v>0</v>
      </c>
      <c r="X592" s="757">
        <f t="shared" si="145"/>
        <v>0</v>
      </c>
      <c r="Y592" s="757">
        <f t="shared" si="145"/>
        <v>12.619469673879914</v>
      </c>
      <c r="Z592" s="757">
        <f t="shared" si="145"/>
        <v>0</v>
      </c>
      <c r="AA592" s="757">
        <f t="shared" si="145"/>
        <v>0</v>
      </c>
      <c r="AB592" s="757">
        <f t="shared" si="145"/>
        <v>0</v>
      </c>
      <c r="AC592" s="757">
        <f t="shared" si="145"/>
        <v>0</v>
      </c>
      <c r="AD592" s="757">
        <f t="shared" si="145"/>
        <v>0</v>
      </c>
      <c r="AE592" s="757">
        <f t="shared" si="145"/>
        <v>0</v>
      </c>
      <c r="AF592" s="777"/>
      <c r="AI592" s="777"/>
      <c r="AL592" s="777"/>
      <c r="AM592" s="777"/>
    </row>
    <row r="593" spans="1:43" s="776" customFormat="1" ht="22.25" customHeight="1">
      <c r="A593" s="769"/>
      <c r="B593" s="770" t="s">
        <v>484</v>
      </c>
      <c r="C593" s="665"/>
      <c r="D593" s="665">
        <f>T593</f>
        <v>93</v>
      </c>
      <c r="E593" s="665">
        <f>E592</f>
        <v>1</v>
      </c>
      <c r="F593" s="751">
        <f>U593</f>
        <v>0.97072843645230111</v>
      </c>
      <c r="G593" s="779"/>
      <c r="H593" s="780"/>
      <c r="I593" s="774"/>
      <c r="J593" s="492">
        <f>IF(I593=0,1,I593)*IF(H593=0,1,H593)*IF(G593=0,1,G593)*IF(F593=0,1,F593)*IF(E593=0,1,E593)*IF(D593=0,1,D593)*IF(C593=0,1,C593)</f>
        <v>90.277744590064003</v>
      </c>
      <c r="K593" s="480"/>
      <c r="L593" s="774"/>
      <c r="M593" s="760"/>
      <c r="N593" s="781"/>
      <c r="O593" s="782">
        <f>O592</f>
        <v>1</v>
      </c>
      <c r="P593" s="781"/>
      <c r="Q593" s="756" t="s">
        <v>463</v>
      </c>
      <c r="R593" s="756">
        <v>10</v>
      </c>
      <c r="S593" s="757">
        <f>6/(12*3.281)</f>
        <v>0.15239256324291375</v>
      </c>
      <c r="T593" s="758">
        <f>(ROUND((N589-4*M590)/S593,0))+1</f>
        <v>93</v>
      </c>
      <c r="U593" s="759">
        <f>2*(M589+M590)-8*P589+2*8*R593/1000</f>
        <v>0.97072843645230111</v>
      </c>
      <c r="V593" s="757">
        <f>T593*U593*O593</f>
        <v>90.277744590064003</v>
      </c>
      <c r="W593" s="757">
        <f t="shared" si="145"/>
        <v>0</v>
      </c>
      <c r="X593" s="757">
        <f t="shared" si="145"/>
        <v>0</v>
      </c>
      <c r="Y593" s="757">
        <f t="shared" si="145"/>
        <v>90.277744590064003</v>
      </c>
      <c r="Z593" s="757">
        <f t="shared" si="145"/>
        <v>0</v>
      </c>
      <c r="AA593" s="757">
        <f t="shared" si="145"/>
        <v>0</v>
      </c>
      <c r="AB593" s="757">
        <f t="shared" si="145"/>
        <v>0</v>
      </c>
      <c r="AC593" s="757">
        <f t="shared" si="145"/>
        <v>0</v>
      </c>
      <c r="AD593" s="757">
        <f t="shared" si="145"/>
        <v>0</v>
      </c>
      <c r="AE593" s="757">
        <f t="shared" si="145"/>
        <v>0</v>
      </c>
      <c r="AF593" s="777"/>
      <c r="AI593" s="777"/>
      <c r="AL593" s="777"/>
      <c r="AM593" s="777"/>
    </row>
    <row r="594" spans="1:43" s="390" customFormat="1" ht="22.25" customHeight="1">
      <c r="A594" s="454"/>
      <c r="B594" s="657" t="s">
        <v>609</v>
      </c>
      <c r="C594" s="662"/>
      <c r="D594" s="662"/>
      <c r="E594" s="662">
        <v>1</v>
      </c>
      <c r="F594" s="498">
        <f>15+0.83</f>
        <v>15.83</v>
      </c>
      <c r="G594" s="642">
        <f>G587</f>
        <v>0.83</v>
      </c>
      <c r="H594" s="642">
        <f>H587</f>
        <v>1</v>
      </c>
      <c r="I594" s="499"/>
      <c r="J594" s="507"/>
      <c r="K594" s="455"/>
      <c r="L594" s="312"/>
      <c r="M594" s="722"/>
      <c r="N594" s="722"/>
      <c r="O594" s="722"/>
      <c r="P594" s="722"/>
      <c r="Q594" s="611"/>
      <c r="R594" s="611"/>
      <c r="S594" s="611"/>
      <c r="T594" s="611"/>
      <c r="U594" s="611"/>
      <c r="V594" s="624"/>
      <c r="W594" s="624">
        <f t="shared" si="145"/>
        <v>0</v>
      </c>
      <c r="X594" s="624">
        <f t="shared" si="145"/>
        <v>0</v>
      </c>
      <c r="Y594" s="624">
        <f t="shared" si="145"/>
        <v>0</v>
      </c>
      <c r="Z594" s="624">
        <f t="shared" si="145"/>
        <v>0</v>
      </c>
      <c r="AA594" s="624">
        <f t="shared" si="145"/>
        <v>0</v>
      </c>
      <c r="AB594" s="624">
        <f t="shared" si="145"/>
        <v>0</v>
      </c>
      <c r="AC594" s="624">
        <f t="shared" si="145"/>
        <v>0</v>
      </c>
      <c r="AD594" s="624">
        <f t="shared" si="145"/>
        <v>0</v>
      </c>
      <c r="AE594" s="624">
        <f t="shared" si="145"/>
        <v>0</v>
      </c>
      <c r="AF594" s="471">
        <f>14*0.75*1*2</f>
        <v>21</v>
      </c>
      <c r="AG594" s="473"/>
      <c r="AH594" s="471"/>
      <c r="AI594" s="471"/>
      <c r="AJ594" s="471"/>
      <c r="AM594" s="404"/>
      <c r="AP594" s="404"/>
      <c r="AQ594" s="404"/>
    </row>
    <row r="595" spans="1:43" s="776" customFormat="1" ht="22.25" customHeight="1">
      <c r="A595" s="769"/>
      <c r="B595" s="770" t="s">
        <v>543</v>
      </c>
      <c r="C595" s="665"/>
      <c r="D595" s="665"/>
      <c r="E595" s="665"/>
      <c r="F595" s="751"/>
      <c r="G595" s="773"/>
      <c r="H595" s="778"/>
      <c r="I595" s="774"/>
      <c r="J595" s="778"/>
      <c r="K595" s="480"/>
      <c r="L595" s="774"/>
      <c r="M595" s="760"/>
      <c r="N595" s="781"/>
      <c r="O595" s="782"/>
      <c r="P595" s="781"/>
      <c r="Q595" s="756"/>
      <c r="R595" s="756"/>
      <c r="S595" s="757"/>
      <c r="T595" s="758"/>
      <c r="U595" s="759"/>
      <c r="V595" s="757"/>
      <c r="W595" s="757">
        <f t="shared" si="145"/>
        <v>0</v>
      </c>
      <c r="X595" s="757">
        <f t="shared" si="145"/>
        <v>0</v>
      </c>
      <c r="Y595" s="757">
        <f t="shared" si="145"/>
        <v>0</v>
      </c>
      <c r="Z595" s="757">
        <f t="shared" si="145"/>
        <v>0</v>
      </c>
      <c r="AA595" s="757">
        <f t="shared" si="145"/>
        <v>0</v>
      </c>
      <c r="AB595" s="757">
        <f t="shared" si="145"/>
        <v>0</v>
      </c>
      <c r="AC595" s="757">
        <f t="shared" si="145"/>
        <v>0</v>
      </c>
      <c r="AD595" s="757">
        <f t="shared" si="145"/>
        <v>0</v>
      </c>
      <c r="AE595" s="757">
        <f t="shared" si="145"/>
        <v>0</v>
      </c>
      <c r="AF595" s="772" t="e">
        <f>((#REF!+#REF!/12)-(1.5/12)*2)*4+0.25*2</f>
        <v>#REF!</v>
      </c>
      <c r="AI595" s="777"/>
      <c r="AL595" s="777"/>
      <c r="AM595" s="777"/>
    </row>
    <row r="596" spans="1:43" s="776" customFormat="1" ht="22.25" customHeight="1">
      <c r="A596" s="769"/>
      <c r="B596" s="770" t="s">
        <v>483</v>
      </c>
      <c r="C596" s="665"/>
      <c r="D596" s="665">
        <v>3</v>
      </c>
      <c r="E596" s="665">
        <f>E594</f>
        <v>1</v>
      </c>
      <c r="F596" s="751">
        <f>U596</f>
        <v>5.358122523620847</v>
      </c>
      <c r="G596" s="773"/>
      <c r="H596" s="778"/>
      <c r="I596" s="774"/>
      <c r="J596" s="492">
        <f>IF(I596=0,1,I596)*IF(H596=0,1,H596)*IF(G596=0,1,G596)*IF(F596=0,1,F596)*IF(E596=0,1,E596)*IF(D596=0,1,D596)*IF(C596=0,1,C596)</f>
        <v>16.074367570862542</v>
      </c>
      <c r="K596" s="480"/>
      <c r="L596" s="774"/>
      <c r="M596" s="760">
        <f>G594/3.281</f>
        <v>0.25297165498323682</v>
      </c>
      <c r="N596" s="781">
        <f>F594/3.281</f>
        <v>4.8247485522706492</v>
      </c>
      <c r="O596" s="768">
        <f>E596</f>
        <v>1</v>
      </c>
      <c r="P596" s="781">
        <f>(1.5/12)/3.281</f>
        <v>3.8098140810728431E-2</v>
      </c>
      <c r="Q596" s="756" t="s">
        <v>541</v>
      </c>
      <c r="R596" s="756">
        <v>16</v>
      </c>
      <c r="S596" s="757"/>
      <c r="T596" s="758">
        <f>D596</f>
        <v>3</v>
      </c>
      <c r="U596" s="759">
        <f>N596-2*P596+2*M597</f>
        <v>5.358122523620847</v>
      </c>
      <c r="V596" s="757">
        <f>T596*U596*O596</f>
        <v>16.074367570862542</v>
      </c>
      <c r="W596" s="757">
        <f t="shared" si="145"/>
        <v>0</v>
      </c>
      <c r="X596" s="757">
        <f t="shared" si="145"/>
        <v>0</v>
      </c>
      <c r="Y596" s="757">
        <f t="shared" si="145"/>
        <v>0</v>
      </c>
      <c r="Z596" s="757">
        <f t="shared" si="145"/>
        <v>0</v>
      </c>
      <c r="AA596" s="757">
        <f t="shared" si="145"/>
        <v>16.074367570862542</v>
      </c>
      <c r="AB596" s="757">
        <f t="shared" si="145"/>
        <v>0</v>
      </c>
      <c r="AC596" s="757">
        <f t="shared" si="145"/>
        <v>0</v>
      </c>
      <c r="AD596" s="757">
        <f t="shared" si="145"/>
        <v>0</v>
      </c>
      <c r="AE596" s="757">
        <f t="shared" si="145"/>
        <v>0</v>
      </c>
      <c r="AF596" s="772" t="e">
        <f>(#REF!+#REF!/12)-0.25+0.5+0.25*2</f>
        <v>#REF!</v>
      </c>
      <c r="AI596" s="777"/>
      <c r="AL596" s="777"/>
      <c r="AM596" s="777"/>
    </row>
    <row r="597" spans="1:43" s="776" customFormat="1" ht="22.25" customHeight="1">
      <c r="A597" s="769"/>
      <c r="B597" s="770" t="s">
        <v>483</v>
      </c>
      <c r="C597" s="665"/>
      <c r="D597" s="665">
        <v>3</v>
      </c>
      <c r="E597" s="665">
        <f>E596</f>
        <v>1</v>
      </c>
      <c r="F597" s="751">
        <f>U597</f>
        <v>5.021337397135019</v>
      </c>
      <c r="G597" s="773"/>
      <c r="H597" s="778"/>
      <c r="I597" s="774"/>
      <c r="J597" s="492">
        <f>IF(I597=0,1,I597)*IF(H597=0,1,H597)*IF(G597=0,1,G597)*IF(F597=0,1,F597)*IF(E597=0,1,E597)*IF(D597=0,1,D597)*IF(C597=0,1,C597)</f>
        <v>15.064012191405057</v>
      </c>
      <c r="K597" s="480"/>
      <c r="L597" s="774"/>
      <c r="M597" s="760">
        <f>H594/3.281</f>
        <v>0.30478512648582745</v>
      </c>
      <c r="N597" s="781"/>
      <c r="O597" s="768">
        <f>E597</f>
        <v>1</v>
      </c>
      <c r="P597" s="781">
        <f>(1.5/12)/3.281</f>
        <v>3.8098140810728431E-2</v>
      </c>
      <c r="Q597" s="756" t="s">
        <v>457</v>
      </c>
      <c r="R597" s="756">
        <v>16</v>
      </c>
      <c r="S597" s="757"/>
      <c r="T597" s="758">
        <f>D597</f>
        <v>3</v>
      </c>
      <c r="U597" s="759">
        <f>N596-2*P597-2*R597/1000+2*((M597/2))</f>
        <v>5.021337397135019</v>
      </c>
      <c r="V597" s="757">
        <f>T597*U597*O597</f>
        <v>15.064012191405057</v>
      </c>
      <c r="W597" s="757">
        <f t="shared" ref="W597:AE608" si="146">IF($R597=W$5,$V597,0)</f>
        <v>0</v>
      </c>
      <c r="X597" s="757">
        <f t="shared" si="146"/>
        <v>0</v>
      </c>
      <c r="Y597" s="757">
        <f t="shared" si="146"/>
        <v>0</v>
      </c>
      <c r="Z597" s="757">
        <f t="shared" si="146"/>
        <v>0</v>
      </c>
      <c r="AA597" s="757">
        <f t="shared" si="146"/>
        <v>15.064012191405057</v>
      </c>
      <c r="AB597" s="757">
        <f t="shared" si="146"/>
        <v>0</v>
      </c>
      <c r="AC597" s="757">
        <f t="shared" si="146"/>
        <v>0</v>
      </c>
      <c r="AD597" s="757">
        <f t="shared" si="146"/>
        <v>0</v>
      </c>
      <c r="AE597" s="757">
        <f t="shared" si="146"/>
        <v>0</v>
      </c>
      <c r="AF597" s="772" t="e">
        <f>(#REF!+#REF!/12)-0.25+0.5+0.25*2</f>
        <v>#REF!</v>
      </c>
      <c r="AI597" s="777"/>
      <c r="AL597" s="777"/>
      <c r="AM597" s="777"/>
    </row>
    <row r="598" spans="1:43" s="776" customFormat="1" ht="22.25" customHeight="1">
      <c r="A598" s="769"/>
      <c r="B598" s="770" t="s">
        <v>542</v>
      </c>
      <c r="C598" s="665"/>
      <c r="D598" s="665"/>
      <c r="E598" s="665"/>
      <c r="F598" s="751"/>
      <c r="G598" s="773"/>
      <c r="H598" s="778"/>
      <c r="I598" s="774"/>
      <c r="J598" s="778"/>
      <c r="K598" s="480"/>
      <c r="L598" s="774"/>
      <c r="M598" s="760"/>
      <c r="N598" s="781"/>
      <c r="O598" s="782"/>
      <c r="P598" s="781"/>
      <c r="Q598" s="756"/>
      <c r="R598" s="756"/>
      <c r="S598" s="757"/>
      <c r="T598" s="758"/>
      <c r="U598" s="759"/>
      <c r="V598" s="757"/>
      <c r="W598" s="757">
        <f t="shared" si="146"/>
        <v>0</v>
      </c>
      <c r="X598" s="757">
        <f t="shared" si="146"/>
        <v>0</v>
      </c>
      <c r="Y598" s="757">
        <f t="shared" si="146"/>
        <v>0</v>
      </c>
      <c r="Z598" s="757">
        <f t="shared" si="146"/>
        <v>0</v>
      </c>
      <c r="AA598" s="757">
        <f t="shared" si="146"/>
        <v>0</v>
      </c>
      <c r="AB598" s="757">
        <f t="shared" si="146"/>
        <v>0</v>
      </c>
      <c r="AC598" s="757">
        <f t="shared" si="146"/>
        <v>0</v>
      </c>
      <c r="AD598" s="757">
        <f t="shared" si="146"/>
        <v>0</v>
      </c>
      <c r="AE598" s="757">
        <f t="shared" si="146"/>
        <v>0</v>
      </c>
      <c r="AF598" s="772" t="e">
        <f>((#REF!+#REF!/12)-(1.5/12)*2)*4+0.25*2</f>
        <v>#REF!</v>
      </c>
      <c r="AI598" s="777"/>
      <c r="AL598" s="777"/>
      <c r="AM598" s="777"/>
    </row>
    <row r="599" spans="1:43" s="776" customFormat="1" ht="22.25" customHeight="1">
      <c r="A599" s="769"/>
      <c r="B599" s="770" t="s">
        <v>484</v>
      </c>
      <c r="C599" s="665"/>
      <c r="D599" s="665">
        <f>T599</f>
        <v>13</v>
      </c>
      <c r="E599" s="665">
        <f>E596</f>
        <v>1</v>
      </c>
      <c r="F599" s="751">
        <f>U599</f>
        <v>0.97072843645230111</v>
      </c>
      <c r="G599" s="779"/>
      <c r="H599" s="780"/>
      <c r="I599" s="774"/>
      <c r="J599" s="492">
        <f>IF(I599=0,1,I599)*IF(H599=0,1,H599)*IF(G599=0,1,G599)*IF(F599=0,1,F599)*IF(E599=0,1,E599)*IF(D599=0,1,D599)*IF(C599=0,1,C599)</f>
        <v>12.619469673879914</v>
      </c>
      <c r="K599" s="480"/>
      <c r="L599" s="774"/>
      <c r="N599" s="781"/>
      <c r="O599" s="782">
        <f>O596</f>
        <v>1</v>
      </c>
      <c r="P599" s="781"/>
      <c r="Q599" s="756" t="s">
        <v>463</v>
      </c>
      <c r="R599" s="756">
        <v>10</v>
      </c>
      <c r="S599" s="757">
        <f>4/(12*3.281)</f>
        <v>0.1015950421619425</v>
      </c>
      <c r="T599" s="758">
        <f>2*(ROUND(2*M597/S599,0))+1</f>
        <v>13</v>
      </c>
      <c r="U599" s="759">
        <f>2*(M596+M597)-8*P596+2*8*R599/1000</f>
        <v>0.97072843645230111</v>
      </c>
      <c r="V599" s="757">
        <f>T599*U599*O599</f>
        <v>12.619469673879914</v>
      </c>
      <c r="W599" s="757">
        <f t="shared" si="146"/>
        <v>0</v>
      </c>
      <c r="X599" s="757">
        <f t="shared" si="146"/>
        <v>0</v>
      </c>
      <c r="Y599" s="757">
        <f t="shared" si="146"/>
        <v>12.619469673879914</v>
      </c>
      <c r="Z599" s="757">
        <f t="shared" si="146"/>
        <v>0</v>
      </c>
      <c r="AA599" s="757">
        <f t="shared" si="146"/>
        <v>0</v>
      </c>
      <c r="AB599" s="757">
        <f t="shared" si="146"/>
        <v>0</v>
      </c>
      <c r="AC599" s="757">
        <f t="shared" si="146"/>
        <v>0</v>
      </c>
      <c r="AD599" s="757">
        <f t="shared" si="146"/>
        <v>0</v>
      </c>
      <c r="AE599" s="757">
        <f t="shared" si="146"/>
        <v>0</v>
      </c>
      <c r="AF599" s="777"/>
      <c r="AI599" s="777"/>
      <c r="AL599" s="777"/>
      <c r="AM599" s="777"/>
    </row>
    <row r="600" spans="1:43" s="776" customFormat="1" ht="22.25" customHeight="1">
      <c r="A600" s="769"/>
      <c r="B600" s="770" t="s">
        <v>484</v>
      </c>
      <c r="C600" s="665"/>
      <c r="D600" s="665">
        <f>T600</f>
        <v>25</v>
      </c>
      <c r="E600" s="665">
        <f>E599</f>
        <v>1</v>
      </c>
      <c r="F600" s="751">
        <f>U600</f>
        <v>0.97072843645230111</v>
      </c>
      <c r="G600" s="779"/>
      <c r="H600" s="780"/>
      <c r="I600" s="774"/>
      <c r="J600" s="492">
        <f>IF(I600=0,1,I600)*IF(H600=0,1,H600)*IF(G600=0,1,G600)*IF(F600=0,1,F600)*IF(E600=0,1,E600)*IF(D600=0,1,D600)*IF(C600=0,1,C600)</f>
        <v>24.268210911307527</v>
      </c>
      <c r="K600" s="480"/>
      <c r="L600" s="774"/>
      <c r="M600" s="760"/>
      <c r="N600" s="781"/>
      <c r="O600" s="782">
        <f>O599</f>
        <v>1</v>
      </c>
      <c r="P600" s="781"/>
      <c r="Q600" s="756" t="s">
        <v>463</v>
      </c>
      <c r="R600" s="756">
        <v>10</v>
      </c>
      <c r="S600" s="757">
        <f>6/(12*3.281)</f>
        <v>0.15239256324291375</v>
      </c>
      <c r="T600" s="758">
        <f>(ROUND((N596-4*M597)/S600,0))+1</f>
        <v>25</v>
      </c>
      <c r="U600" s="759">
        <f>2*(M596+M597)-8*P596+2*8*R600/1000</f>
        <v>0.97072843645230111</v>
      </c>
      <c r="V600" s="757">
        <f>T600*U600*O600</f>
        <v>24.268210911307527</v>
      </c>
      <c r="W600" s="757">
        <f t="shared" si="146"/>
        <v>0</v>
      </c>
      <c r="X600" s="757">
        <f t="shared" si="146"/>
        <v>0</v>
      </c>
      <c r="Y600" s="757">
        <f t="shared" si="146"/>
        <v>24.268210911307527</v>
      </c>
      <c r="Z600" s="757">
        <f t="shared" si="146"/>
        <v>0</v>
      </c>
      <c r="AA600" s="757">
        <f t="shared" si="146"/>
        <v>0</v>
      </c>
      <c r="AB600" s="757">
        <f t="shared" si="146"/>
        <v>0</v>
      </c>
      <c r="AC600" s="757">
        <f t="shared" si="146"/>
        <v>0</v>
      </c>
      <c r="AD600" s="757">
        <f t="shared" si="146"/>
        <v>0</v>
      </c>
      <c r="AE600" s="757">
        <f t="shared" si="146"/>
        <v>0</v>
      </c>
      <c r="AF600" s="777"/>
      <c r="AI600" s="777"/>
      <c r="AL600" s="777"/>
      <c r="AM600" s="777"/>
    </row>
    <row r="601" spans="1:43" s="390" customFormat="1" ht="21.9" customHeight="1">
      <c r="A601" s="454"/>
      <c r="B601" s="659" t="s">
        <v>748</v>
      </c>
      <c r="C601" s="662"/>
      <c r="D601" s="662"/>
      <c r="E601" s="662"/>
      <c r="F601" s="498"/>
      <c r="G601" s="642"/>
      <c r="H601" s="647"/>
      <c r="I601" s="499"/>
      <c r="J601" s="455"/>
      <c r="K601" s="455"/>
      <c r="L601" s="312"/>
      <c r="M601" s="726"/>
      <c r="N601" s="726"/>
      <c r="O601" s="726"/>
      <c r="P601" s="726"/>
      <c r="Q601" s="611"/>
      <c r="R601" s="611"/>
      <c r="S601" s="624"/>
      <c r="T601" s="625"/>
      <c r="U601" s="626"/>
      <c r="V601" s="624"/>
      <c r="W601" s="624">
        <f t="shared" si="146"/>
        <v>0</v>
      </c>
      <c r="X601" s="624">
        <f t="shared" si="146"/>
        <v>0</v>
      </c>
      <c r="Y601" s="624">
        <f t="shared" si="146"/>
        <v>0</v>
      </c>
      <c r="Z601" s="624">
        <f t="shared" si="146"/>
        <v>0</v>
      </c>
      <c r="AA601" s="624">
        <f t="shared" si="146"/>
        <v>0</v>
      </c>
      <c r="AB601" s="624">
        <f t="shared" si="146"/>
        <v>0</v>
      </c>
      <c r="AC601" s="624">
        <f t="shared" si="146"/>
        <v>0</v>
      </c>
      <c r="AD601" s="624">
        <f t="shared" si="146"/>
        <v>0</v>
      </c>
      <c r="AE601" s="624">
        <f t="shared" si="146"/>
        <v>0</v>
      </c>
      <c r="AF601" s="404"/>
      <c r="AG601" s="471"/>
      <c r="AH601" s="471"/>
      <c r="AI601" s="471"/>
      <c r="AJ601" s="471"/>
      <c r="AM601" s="404"/>
      <c r="AP601" s="404"/>
      <c r="AQ601" s="404"/>
    </row>
    <row r="602" spans="1:43" s="390" customFormat="1" ht="22.25" customHeight="1">
      <c r="A602" s="454"/>
      <c r="B602" s="657" t="s">
        <v>474</v>
      </c>
      <c r="C602" s="662"/>
      <c r="D602" s="662"/>
      <c r="E602" s="662">
        <v>1</v>
      </c>
      <c r="F602" s="498">
        <f>14.5</f>
        <v>14.5</v>
      </c>
      <c r="G602" s="642">
        <v>0.83</v>
      </c>
      <c r="H602" s="642">
        <v>1.17</v>
      </c>
      <c r="I602" s="499"/>
      <c r="J602" s="507"/>
      <c r="K602" s="455"/>
      <c r="L602" s="312"/>
      <c r="M602" s="722"/>
      <c r="N602" s="722"/>
      <c r="O602" s="722"/>
      <c r="P602" s="722"/>
      <c r="Q602" s="611"/>
      <c r="R602" s="611"/>
      <c r="S602" s="611"/>
      <c r="T602" s="611"/>
      <c r="U602" s="611"/>
      <c r="V602" s="624"/>
      <c r="W602" s="624">
        <f t="shared" si="146"/>
        <v>0</v>
      </c>
      <c r="X602" s="624">
        <f t="shared" si="146"/>
        <v>0</v>
      </c>
      <c r="Y602" s="624">
        <f t="shared" si="146"/>
        <v>0</v>
      </c>
      <c r="Z602" s="624">
        <f t="shared" si="146"/>
        <v>0</v>
      </c>
      <c r="AA602" s="624">
        <f t="shared" si="146"/>
        <v>0</v>
      </c>
      <c r="AB602" s="624">
        <f t="shared" si="146"/>
        <v>0</v>
      </c>
      <c r="AC602" s="624">
        <f t="shared" si="146"/>
        <v>0</v>
      </c>
      <c r="AD602" s="624">
        <f t="shared" si="146"/>
        <v>0</v>
      </c>
      <c r="AE602" s="624">
        <f t="shared" si="146"/>
        <v>0</v>
      </c>
      <c r="AF602" s="471">
        <f>14*0.75*1*2</f>
        <v>21</v>
      </c>
      <c r="AG602" s="473"/>
      <c r="AH602" s="471"/>
      <c r="AI602" s="471"/>
      <c r="AJ602" s="471"/>
      <c r="AM602" s="404"/>
      <c r="AP602" s="404"/>
      <c r="AQ602" s="404"/>
    </row>
    <row r="603" spans="1:43" s="776" customFormat="1" ht="22.25" customHeight="1">
      <c r="A603" s="769"/>
      <c r="B603" s="770" t="s">
        <v>787</v>
      </c>
      <c r="C603" s="665"/>
      <c r="D603" s="665"/>
      <c r="E603" s="665"/>
      <c r="F603" s="751"/>
      <c r="G603" s="773"/>
      <c r="H603" s="778"/>
      <c r="I603" s="774"/>
      <c r="J603" s="778"/>
      <c r="K603" s="480"/>
      <c r="L603" s="774"/>
      <c r="M603" s="760"/>
      <c r="N603" s="781"/>
      <c r="O603" s="782"/>
      <c r="P603" s="781"/>
      <c r="Q603" s="756"/>
      <c r="R603" s="756"/>
      <c r="S603" s="757"/>
      <c r="T603" s="758"/>
      <c r="U603" s="759"/>
      <c r="V603" s="757"/>
      <c r="W603" s="757">
        <f t="shared" si="146"/>
        <v>0</v>
      </c>
      <c r="X603" s="757">
        <f t="shared" si="146"/>
        <v>0</v>
      </c>
      <c r="Y603" s="757">
        <f t="shared" si="146"/>
        <v>0</v>
      </c>
      <c r="Z603" s="757">
        <f t="shared" si="146"/>
        <v>0</v>
      </c>
      <c r="AA603" s="757">
        <f t="shared" si="146"/>
        <v>0</v>
      </c>
      <c r="AB603" s="757">
        <f t="shared" si="146"/>
        <v>0</v>
      </c>
      <c r="AC603" s="757">
        <f t="shared" si="146"/>
        <v>0</v>
      </c>
      <c r="AD603" s="757">
        <f t="shared" si="146"/>
        <v>0</v>
      </c>
      <c r="AE603" s="757">
        <f t="shared" si="146"/>
        <v>0</v>
      </c>
      <c r="AF603" s="772" t="e">
        <f>((#REF!+#REF!/12)-(1.5/12)*2)*4+0.25*2</f>
        <v>#REF!</v>
      </c>
      <c r="AI603" s="777"/>
      <c r="AL603" s="777"/>
      <c r="AM603" s="777"/>
    </row>
    <row r="604" spans="1:43" s="776" customFormat="1" ht="22.25" customHeight="1">
      <c r="A604" s="769"/>
      <c r="B604" s="770" t="s">
        <v>483</v>
      </c>
      <c r="C604" s="665"/>
      <c r="D604" s="665">
        <v>3</v>
      </c>
      <c r="E604" s="665">
        <f>E602</f>
        <v>1</v>
      </c>
      <c r="F604" s="751">
        <f>U604</f>
        <v>5.0563852483998781</v>
      </c>
      <c r="G604" s="773"/>
      <c r="H604" s="778"/>
      <c r="I604" s="774"/>
      <c r="J604" s="492">
        <f>IF(I604=0,1,I604)*IF(H604=0,1,H604)*IF(G604=0,1,G604)*IF(F604=0,1,F604)*IF(E604=0,1,E604)*IF(D604=0,1,D604)*IF(C604=0,1,C604)</f>
        <v>15.169155745199635</v>
      </c>
      <c r="K604" s="480"/>
      <c r="L604" s="774"/>
      <c r="M604" s="760">
        <f>G602/3.281</f>
        <v>0.25297165498323682</v>
      </c>
      <c r="N604" s="781">
        <f>F602/3.281</f>
        <v>4.4193843340444987</v>
      </c>
      <c r="O604" s="768">
        <f>E604</f>
        <v>1</v>
      </c>
      <c r="P604" s="781">
        <f>(1.5/12)/3.281</f>
        <v>3.8098140810728431E-2</v>
      </c>
      <c r="Q604" s="756" t="s">
        <v>541</v>
      </c>
      <c r="R604" s="756">
        <v>16</v>
      </c>
      <c r="S604" s="757"/>
      <c r="T604" s="758">
        <f>D604</f>
        <v>3</v>
      </c>
      <c r="U604" s="759">
        <f>N604-2*P604+2*M605</f>
        <v>5.0563852483998781</v>
      </c>
      <c r="V604" s="757">
        <f>T604*U604*O604</f>
        <v>15.169155745199635</v>
      </c>
      <c r="W604" s="757">
        <f t="shared" si="146"/>
        <v>0</v>
      </c>
      <c r="X604" s="757">
        <f t="shared" si="146"/>
        <v>0</v>
      </c>
      <c r="Y604" s="757">
        <f t="shared" si="146"/>
        <v>0</v>
      </c>
      <c r="Z604" s="757">
        <f t="shared" si="146"/>
        <v>0</v>
      </c>
      <c r="AA604" s="757">
        <f t="shared" si="146"/>
        <v>15.169155745199635</v>
      </c>
      <c r="AB604" s="757">
        <f t="shared" si="146"/>
        <v>0</v>
      </c>
      <c r="AC604" s="757">
        <f t="shared" si="146"/>
        <v>0</v>
      </c>
      <c r="AD604" s="757">
        <f t="shared" si="146"/>
        <v>0</v>
      </c>
      <c r="AE604" s="757">
        <f t="shared" si="146"/>
        <v>0</v>
      </c>
      <c r="AF604" s="772" t="e">
        <f>(#REF!+#REF!/12)-0.25+0.5+0.25*2</f>
        <v>#REF!</v>
      </c>
      <c r="AI604" s="777"/>
      <c r="AL604" s="777"/>
      <c r="AM604" s="777"/>
    </row>
    <row r="605" spans="1:43" s="776" customFormat="1" ht="22.25" customHeight="1">
      <c r="A605" s="769"/>
      <c r="B605" s="770" t="s">
        <v>483</v>
      </c>
      <c r="C605" s="665"/>
      <c r="D605" s="665">
        <v>4</v>
      </c>
      <c r="E605" s="665">
        <f>E604</f>
        <v>1</v>
      </c>
      <c r="F605" s="751">
        <f>U605</f>
        <v>4.6677866504114593</v>
      </c>
      <c r="G605" s="773"/>
      <c r="H605" s="778"/>
      <c r="I605" s="774"/>
      <c r="J605" s="492">
        <f>IF(I605=0,1,I605)*IF(H605=0,1,H605)*IF(G605=0,1,G605)*IF(F605=0,1,F605)*IF(E605=0,1,E605)*IF(D605=0,1,D605)*IF(C605=0,1,C605)</f>
        <v>18.671146601645837</v>
      </c>
      <c r="K605" s="480"/>
      <c r="L605" s="774"/>
      <c r="M605" s="760">
        <f>H602/3.281</f>
        <v>0.35659859798841814</v>
      </c>
      <c r="N605" s="781"/>
      <c r="O605" s="768">
        <f>E605</f>
        <v>1</v>
      </c>
      <c r="P605" s="781">
        <f>(1.5/12)/3.281</f>
        <v>3.8098140810728431E-2</v>
      </c>
      <c r="Q605" s="756" t="s">
        <v>457</v>
      </c>
      <c r="R605" s="756">
        <v>16</v>
      </c>
      <c r="S605" s="757"/>
      <c r="T605" s="758">
        <f>D605</f>
        <v>4</v>
      </c>
      <c r="U605" s="759">
        <f>N604-2*P605-2*R605/1000+2*((M605/2))</f>
        <v>4.6677866504114593</v>
      </c>
      <c r="V605" s="757">
        <f>T605*U605*O605</f>
        <v>18.671146601645837</v>
      </c>
      <c r="W605" s="757">
        <f t="shared" si="146"/>
        <v>0</v>
      </c>
      <c r="X605" s="757">
        <f t="shared" si="146"/>
        <v>0</v>
      </c>
      <c r="Y605" s="757">
        <f t="shared" si="146"/>
        <v>0</v>
      </c>
      <c r="Z605" s="757">
        <f t="shared" si="146"/>
        <v>0</v>
      </c>
      <c r="AA605" s="757">
        <f t="shared" si="146"/>
        <v>18.671146601645837</v>
      </c>
      <c r="AB605" s="757">
        <f t="shared" si="146"/>
        <v>0</v>
      </c>
      <c r="AC605" s="757">
        <f t="shared" si="146"/>
        <v>0</v>
      </c>
      <c r="AD605" s="757">
        <f t="shared" si="146"/>
        <v>0</v>
      </c>
      <c r="AE605" s="757">
        <f t="shared" si="146"/>
        <v>0</v>
      </c>
      <c r="AF605" s="772" t="e">
        <f>(#REF!+#REF!/12)-0.25+0.5+0.25*2</f>
        <v>#REF!</v>
      </c>
      <c r="AI605" s="777"/>
      <c r="AL605" s="777"/>
      <c r="AM605" s="777"/>
    </row>
    <row r="606" spans="1:43" s="776" customFormat="1" ht="22.25" customHeight="1">
      <c r="A606" s="769"/>
      <c r="B606" s="770" t="s">
        <v>483</v>
      </c>
      <c r="C606" s="665"/>
      <c r="D606" s="665">
        <v>2</v>
      </c>
      <c r="E606" s="665">
        <f>E605</f>
        <v>1</v>
      </c>
      <c r="F606" s="751">
        <f>U606</f>
        <v>4.1714534186731687</v>
      </c>
      <c r="G606" s="773"/>
      <c r="H606" s="778"/>
      <c r="I606" s="774"/>
      <c r="J606" s="492">
        <f>IF(I606=0,1,I606)*IF(H606=0,1,H606)*IF(G606=0,1,G606)*IF(F606=0,1,F606)*IF(E606=0,1,E606)*IF(D606=0,1,D606)*IF(C606=0,1,C606)</f>
        <v>8.3429068373463373</v>
      </c>
      <c r="K606" s="480"/>
      <c r="L606" s="774"/>
      <c r="M606" s="760"/>
      <c r="N606" s="781"/>
      <c r="O606" s="768">
        <f>E606</f>
        <v>1</v>
      </c>
      <c r="P606" s="781">
        <f>(1.5/12)/3.281</f>
        <v>3.8098140810728431E-2</v>
      </c>
      <c r="Q606" s="756" t="s">
        <v>786</v>
      </c>
      <c r="R606" s="756">
        <v>16</v>
      </c>
      <c r="S606" s="757"/>
      <c r="T606" s="758">
        <f>D606</f>
        <v>2</v>
      </c>
      <c r="U606" s="759">
        <f>(N604/3+M605+2*8*R606/1000)*2</f>
        <v>4.1714534186731687</v>
      </c>
      <c r="V606" s="757">
        <f>T606*U606*O606</f>
        <v>8.3429068373463373</v>
      </c>
      <c r="W606" s="757">
        <f t="shared" si="146"/>
        <v>0</v>
      </c>
      <c r="X606" s="757">
        <f t="shared" si="146"/>
        <v>0</v>
      </c>
      <c r="Y606" s="757">
        <f t="shared" si="146"/>
        <v>0</v>
      </c>
      <c r="Z606" s="757">
        <f t="shared" si="146"/>
        <v>0</v>
      </c>
      <c r="AA606" s="757">
        <f t="shared" si="146"/>
        <v>8.3429068373463373</v>
      </c>
      <c r="AB606" s="757">
        <f t="shared" si="146"/>
        <v>0</v>
      </c>
      <c r="AC606" s="757">
        <f t="shared" si="146"/>
        <v>0</v>
      </c>
      <c r="AD606" s="757">
        <f t="shared" si="146"/>
        <v>0</v>
      </c>
      <c r="AE606" s="757">
        <f t="shared" si="146"/>
        <v>0</v>
      </c>
      <c r="AF606" s="772" t="e">
        <f>(#REF!+#REF!/12)-0.25+0.5+0.25*2</f>
        <v>#REF!</v>
      </c>
      <c r="AI606" s="777"/>
      <c r="AL606" s="777"/>
      <c r="AM606" s="777"/>
    </row>
    <row r="607" spans="1:43" s="776" customFormat="1" ht="22.25" customHeight="1">
      <c r="A607" s="769"/>
      <c r="B607" s="770" t="s">
        <v>542</v>
      </c>
      <c r="C607" s="665"/>
      <c r="D607" s="665"/>
      <c r="E607" s="665"/>
      <c r="F607" s="751"/>
      <c r="G607" s="773"/>
      <c r="H607" s="778"/>
      <c r="I607" s="774"/>
      <c r="J607" s="778"/>
      <c r="K607" s="480"/>
      <c r="L607" s="774"/>
      <c r="M607" s="760"/>
      <c r="N607" s="781"/>
      <c r="O607" s="782"/>
      <c r="P607" s="781"/>
      <c r="Q607" s="756"/>
      <c r="R607" s="756"/>
      <c r="S607" s="757"/>
      <c r="T607" s="758"/>
      <c r="U607" s="759"/>
      <c r="V607" s="757"/>
      <c r="W607" s="757">
        <f t="shared" si="146"/>
        <v>0</v>
      </c>
      <c r="X607" s="757">
        <f t="shared" si="146"/>
        <v>0</v>
      </c>
      <c r="Y607" s="757">
        <f t="shared" si="146"/>
        <v>0</v>
      </c>
      <c r="Z607" s="757">
        <f t="shared" si="146"/>
        <v>0</v>
      </c>
      <c r="AA607" s="757">
        <f t="shared" si="146"/>
        <v>0</v>
      </c>
      <c r="AB607" s="757">
        <f t="shared" si="146"/>
        <v>0</v>
      </c>
      <c r="AC607" s="757">
        <f t="shared" si="146"/>
        <v>0</v>
      </c>
      <c r="AD607" s="757">
        <f t="shared" si="146"/>
        <v>0</v>
      </c>
      <c r="AE607" s="757">
        <f t="shared" si="146"/>
        <v>0</v>
      </c>
      <c r="AF607" s="772" t="e">
        <f>((#REF!+#REF!/12)-(1.5/12)*2)*4+0.25*2</f>
        <v>#REF!</v>
      </c>
      <c r="AI607" s="777"/>
      <c r="AL607" s="777"/>
      <c r="AM607" s="777"/>
    </row>
    <row r="608" spans="1:43" s="776" customFormat="1" ht="22.25" customHeight="1">
      <c r="A608" s="769"/>
      <c r="B608" s="770" t="s">
        <v>484</v>
      </c>
      <c r="C608" s="665"/>
      <c r="D608" s="665">
        <f>T608</f>
        <v>15</v>
      </c>
      <c r="E608" s="665">
        <f>E604</f>
        <v>1</v>
      </c>
      <c r="F608" s="751">
        <f>U608</f>
        <v>1.0743553794574823</v>
      </c>
      <c r="G608" s="779"/>
      <c r="H608" s="780"/>
      <c r="I608" s="774"/>
      <c r="J608" s="492">
        <f>IF(I608=0,1,I608)*IF(H608=0,1,H608)*IF(G608=0,1,G608)*IF(F608=0,1,F608)*IF(E608=0,1,E608)*IF(D608=0,1,D608)*IF(C608=0,1,C608)</f>
        <v>16.115330691862233</v>
      </c>
      <c r="K608" s="480"/>
      <c r="L608" s="774"/>
      <c r="N608" s="781"/>
      <c r="O608" s="782">
        <f>O604</f>
        <v>1</v>
      </c>
      <c r="P608" s="781"/>
      <c r="Q608" s="756" t="s">
        <v>463</v>
      </c>
      <c r="R608" s="756">
        <v>10</v>
      </c>
      <c r="S608" s="757">
        <f>4/(12*3.281)</f>
        <v>0.1015950421619425</v>
      </c>
      <c r="T608" s="758">
        <f>2*(ROUND(2*M605/S608,0))+1</f>
        <v>15</v>
      </c>
      <c r="U608" s="759">
        <f>2*(M604+M605)-8*P604+2*8*R608/1000</f>
        <v>1.0743553794574823</v>
      </c>
      <c r="V608" s="757">
        <f>T608*U608*O608</f>
        <v>16.115330691862233</v>
      </c>
      <c r="W608" s="757">
        <f t="shared" si="146"/>
        <v>0</v>
      </c>
      <c r="X608" s="757">
        <f t="shared" si="146"/>
        <v>0</v>
      </c>
      <c r="Y608" s="757">
        <f t="shared" si="146"/>
        <v>16.115330691862233</v>
      </c>
      <c r="Z608" s="757">
        <f t="shared" si="146"/>
        <v>0</v>
      </c>
      <c r="AA608" s="757">
        <f t="shared" si="146"/>
        <v>0</v>
      </c>
      <c r="AB608" s="757">
        <f t="shared" si="146"/>
        <v>0</v>
      </c>
      <c r="AC608" s="757">
        <f t="shared" si="146"/>
        <v>0</v>
      </c>
      <c r="AD608" s="757">
        <f t="shared" si="146"/>
        <v>0</v>
      </c>
      <c r="AE608" s="757">
        <f t="shared" si="146"/>
        <v>0</v>
      </c>
      <c r="AF608" s="777"/>
      <c r="AI608" s="777"/>
      <c r="AL608" s="777"/>
      <c r="AM608" s="777"/>
    </row>
    <row r="609" spans="1:43" s="776" customFormat="1" ht="22.25" customHeight="1">
      <c r="A609" s="769"/>
      <c r="B609" s="770" t="s">
        <v>484</v>
      </c>
      <c r="C609" s="665"/>
      <c r="D609" s="665">
        <f>T609</f>
        <v>21</v>
      </c>
      <c r="E609" s="665">
        <f>E608</f>
        <v>1</v>
      </c>
      <c r="F609" s="751">
        <f>U609</f>
        <v>1.0743553794574823</v>
      </c>
      <c r="G609" s="779"/>
      <c r="H609" s="780"/>
      <c r="I609" s="774"/>
      <c r="J609" s="492">
        <f>IF(I609=0,1,I609)*IF(H609=0,1,H609)*IF(G609=0,1,G609)*IF(F609=0,1,F609)*IF(E609=0,1,E609)*IF(D609=0,1,D609)*IF(C609=0,1,C609)</f>
        <v>22.561462968607128</v>
      </c>
      <c r="K609" s="480"/>
      <c r="L609" s="774"/>
      <c r="M609" s="760"/>
      <c r="N609" s="781"/>
      <c r="O609" s="782">
        <f>O608</f>
        <v>1</v>
      </c>
      <c r="P609" s="781"/>
      <c r="Q609" s="756" t="s">
        <v>463</v>
      </c>
      <c r="R609" s="756">
        <v>10</v>
      </c>
      <c r="S609" s="757">
        <f>6/(12*3.281)</f>
        <v>0.15239256324291375</v>
      </c>
      <c r="T609" s="758">
        <f>(ROUND((N604-4*M605)/S609,0))+1</f>
        <v>21</v>
      </c>
      <c r="U609" s="759">
        <f>2*(M604+M605)-8*P604+2*8*R609/1000</f>
        <v>1.0743553794574823</v>
      </c>
      <c r="V609" s="757">
        <f>T609*U609*O609</f>
        <v>22.561462968607128</v>
      </c>
      <c r="W609" s="757">
        <f>IF($R609=W$5,$V609,0)</f>
        <v>0</v>
      </c>
      <c r="X609" s="757">
        <f>IF($R609=X$5,$V609,0)</f>
        <v>0</v>
      </c>
      <c r="Y609" s="757">
        <f t="shared" ref="Y609:AE609" si="147">IF($R609=Y$5,$V609,0)</f>
        <v>22.561462968607128</v>
      </c>
      <c r="Z609" s="757">
        <f t="shared" si="147"/>
        <v>0</v>
      </c>
      <c r="AA609" s="757">
        <f t="shared" si="147"/>
        <v>0</v>
      </c>
      <c r="AB609" s="757">
        <f t="shared" si="147"/>
        <v>0</v>
      </c>
      <c r="AC609" s="757">
        <f t="shared" si="147"/>
        <v>0</v>
      </c>
      <c r="AD609" s="757">
        <f t="shared" si="147"/>
        <v>0</v>
      </c>
      <c r="AE609" s="757">
        <f t="shared" si="147"/>
        <v>0</v>
      </c>
      <c r="AF609" s="777"/>
      <c r="AI609" s="777"/>
      <c r="AL609" s="777"/>
      <c r="AM609" s="777"/>
    </row>
    <row r="610" spans="1:43" s="390" customFormat="1" ht="22.25" customHeight="1">
      <c r="A610" s="454"/>
      <c r="B610" s="657" t="s">
        <v>749</v>
      </c>
      <c r="C610" s="662"/>
      <c r="D610" s="662"/>
      <c r="E610" s="662">
        <v>2</v>
      </c>
      <c r="F610" s="498">
        <f>30</f>
        <v>30</v>
      </c>
      <c r="G610" s="642">
        <f>G602</f>
        <v>0.83</v>
      </c>
      <c r="H610" s="642">
        <v>1.17</v>
      </c>
      <c r="I610" s="499"/>
      <c r="J610" s="507"/>
      <c r="K610" s="455"/>
      <c r="L610" s="312"/>
      <c r="M610" s="722"/>
      <c r="N610" s="722"/>
      <c r="O610" s="722"/>
      <c r="P610" s="722"/>
      <c r="Q610" s="611"/>
      <c r="R610" s="611"/>
      <c r="S610" s="611"/>
      <c r="T610" s="611"/>
      <c r="U610" s="611"/>
      <c r="V610" s="624"/>
      <c r="W610" s="624"/>
      <c r="X610" s="624"/>
      <c r="Y610" s="624"/>
      <c r="Z610" s="624"/>
      <c r="AA610" s="624"/>
      <c r="AB610" s="624"/>
      <c r="AC610" s="624"/>
      <c r="AD610" s="624"/>
      <c r="AE610" s="624"/>
      <c r="AF610" s="471"/>
      <c r="AG610" s="473"/>
      <c r="AH610" s="471"/>
      <c r="AI610" s="471"/>
      <c r="AJ610" s="471"/>
      <c r="AM610" s="404"/>
      <c r="AP610" s="404"/>
      <c r="AQ610" s="404"/>
    </row>
    <row r="611" spans="1:43" s="776" customFormat="1" ht="22.25" customHeight="1">
      <c r="A611" s="769"/>
      <c r="B611" s="770" t="s">
        <v>787</v>
      </c>
      <c r="C611" s="665"/>
      <c r="D611" s="665"/>
      <c r="E611" s="665"/>
      <c r="F611" s="751"/>
      <c r="G611" s="773"/>
      <c r="H611" s="778"/>
      <c r="I611" s="774"/>
      <c r="J611" s="778"/>
      <c r="K611" s="480"/>
      <c r="L611" s="774"/>
      <c r="M611" s="760"/>
      <c r="N611" s="781"/>
      <c r="O611" s="782"/>
      <c r="P611" s="781"/>
      <c r="Q611" s="756"/>
      <c r="R611" s="756"/>
      <c r="S611" s="757"/>
      <c r="T611" s="758"/>
      <c r="U611" s="759"/>
      <c r="V611" s="757"/>
      <c r="W611" s="757">
        <f t="shared" ref="W611:AE617" si="148">IF($R611=W$5,$V611,0)</f>
        <v>0</v>
      </c>
      <c r="X611" s="757">
        <f t="shared" si="148"/>
        <v>0</v>
      </c>
      <c r="Y611" s="757">
        <f t="shared" si="148"/>
        <v>0</v>
      </c>
      <c r="Z611" s="757">
        <f t="shared" si="148"/>
        <v>0</v>
      </c>
      <c r="AA611" s="757">
        <f t="shared" si="148"/>
        <v>0</v>
      </c>
      <c r="AB611" s="757">
        <f t="shared" si="148"/>
        <v>0</v>
      </c>
      <c r="AC611" s="757">
        <f t="shared" si="148"/>
        <v>0</v>
      </c>
      <c r="AD611" s="757">
        <f t="shared" si="148"/>
        <v>0</v>
      </c>
      <c r="AE611" s="757">
        <f t="shared" si="148"/>
        <v>0</v>
      </c>
      <c r="AF611" s="772" t="e">
        <f>((#REF!+#REF!/12)-(1.5/12)*2)*4+0.25*2</f>
        <v>#REF!</v>
      </c>
      <c r="AI611" s="777"/>
      <c r="AL611" s="777"/>
      <c r="AM611" s="777"/>
    </row>
    <row r="612" spans="1:43" s="776" customFormat="1" ht="22.25" customHeight="1">
      <c r="A612" s="769"/>
      <c r="B612" s="770" t="s">
        <v>483</v>
      </c>
      <c r="C612" s="665"/>
      <c r="D612" s="665">
        <v>3</v>
      </c>
      <c r="E612" s="665">
        <f>E610</f>
        <v>2</v>
      </c>
      <c r="F612" s="751">
        <f>U612</f>
        <v>9.7805547089302038</v>
      </c>
      <c r="G612" s="773"/>
      <c r="H612" s="778"/>
      <c r="I612" s="774"/>
      <c r="J612" s="492">
        <f>IF(I612=0,1,I612)*IF(H612=0,1,H612)*IF(G612=0,1,G612)*IF(F612=0,1,F612)*IF(E612=0,1,E612)*IF(D612=0,1,D612)*IF(C612=0,1,C612)</f>
        <v>58.683328253581223</v>
      </c>
      <c r="K612" s="480"/>
      <c r="L612" s="774"/>
      <c r="M612" s="760">
        <f>G610/3.281</f>
        <v>0.25297165498323682</v>
      </c>
      <c r="N612" s="781">
        <f>F610/3.281</f>
        <v>9.1435537945748244</v>
      </c>
      <c r="O612" s="768">
        <f>E612</f>
        <v>2</v>
      </c>
      <c r="P612" s="781">
        <f>(1.5/12)/3.281</f>
        <v>3.8098140810728431E-2</v>
      </c>
      <c r="Q612" s="756" t="s">
        <v>541</v>
      </c>
      <c r="R612" s="756">
        <v>16</v>
      </c>
      <c r="S612" s="757"/>
      <c r="T612" s="758">
        <f>D612</f>
        <v>3</v>
      </c>
      <c r="U612" s="759">
        <f>N612-2*P612+2*M613</f>
        <v>9.7805547089302038</v>
      </c>
      <c r="V612" s="757">
        <f>T612*U612*O612</f>
        <v>58.683328253581223</v>
      </c>
      <c r="W612" s="757">
        <f t="shared" si="148"/>
        <v>0</v>
      </c>
      <c r="X612" s="757">
        <f t="shared" si="148"/>
        <v>0</v>
      </c>
      <c r="Y612" s="757">
        <f t="shared" si="148"/>
        <v>0</v>
      </c>
      <c r="Z612" s="757">
        <f t="shared" si="148"/>
        <v>0</v>
      </c>
      <c r="AA612" s="757">
        <f t="shared" si="148"/>
        <v>58.683328253581223</v>
      </c>
      <c r="AB612" s="757">
        <f t="shared" si="148"/>
        <v>0</v>
      </c>
      <c r="AC612" s="757">
        <f t="shared" si="148"/>
        <v>0</v>
      </c>
      <c r="AD612" s="757">
        <f t="shared" si="148"/>
        <v>0</v>
      </c>
      <c r="AE612" s="757">
        <f t="shared" si="148"/>
        <v>0</v>
      </c>
      <c r="AF612" s="772" t="e">
        <f>(#REF!+#REF!/12)-0.25+0.5+0.25*2</f>
        <v>#REF!</v>
      </c>
      <c r="AI612" s="777"/>
      <c r="AL612" s="777"/>
      <c r="AM612" s="777"/>
    </row>
    <row r="613" spans="1:43" s="776" customFormat="1" ht="22.25" customHeight="1">
      <c r="A613" s="769"/>
      <c r="B613" s="770" t="s">
        <v>483</v>
      </c>
      <c r="C613" s="665"/>
      <c r="D613" s="665">
        <v>4</v>
      </c>
      <c r="E613" s="665">
        <f>E612</f>
        <v>2</v>
      </c>
      <c r="F613" s="751">
        <f>U613</f>
        <v>9.391956110941786</v>
      </c>
      <c r="G613" s="773"/>
      <c r="H613" s="778"/>
      <c r="I613" s="774"/>
      <c r="J613" s="492">
        <f>IF(I613=0,1,I613)*IF(H613=0,1,H613)*IF(G613=0,1,G613)*IF(F613=0,1,F613)*IF(E613=0,1,E613)*IF(D613=0,1,D613)*IF(C613=0,1,C613)</f>
        <v>75.135648887534288</v>
      </c>
      <c r="K613" s="480"/>
      <c r="L613" s="774"/>
      <c r="M613" s="760">
        <f>H610/3.281</f>
        <v>0.35659859798841814</v>
      </c>
      <c r="N613" s="781"/>
      <c r="O613" s="768">
        <f>E613</f>
        <v>2</v>
      </c>
      <c r="P613" s="781">
        <f>(1.5/12)/3.281</f>
        <v>3.8098140810728431E-2</v>
      </c>
      <c r="Q613" s="756" t="s">
        <v>457</v>
      </c>
      <c r="R613" s="756">
        <v>16</v>
      </c>
      <c r="S613" s="757"/>
      <c r="T613" s="758">
        <f>D613</f>
        <v>4</v>
      </c>
      <c r="U613" s="759">
        <f>N612-2*P613-2*R613/1000+2*((M613/2))</f>
        <v>9.391956110941786</v>
      </c>
      <c r="V613" s="757">
        <f>T613*U613*O613</f>
        <v>75.135648887534288</v>
      </c>
      <c r="W613" s="757">
        <f t="shared" si="148"/>
        <v>0</v>
      </c>
      <c r="X613" s="757">
        <f t="shared" si="148"/>
        <v>0</v>
      </c>
      <c r="Y613" s="757">
        <f t="shared" si="148"/>
        <v>0</v>
      </c>
      <c r="Z613" s="757">
        <f t="shared" si="148"/>
        <v>0</v>
      </c>
      <c r="AA613" s="757">
        <f t="shared" si="148"/>
        <v>75.135648887534288</v>
      </c>
      <c r="AB613" s="757">
        <f t="shared" si="148"/>
        <v>0</v>
      </c>
      <c r="AC613" s="757">
        <f t="shared" si="148"/>
        <v>0</v>
      </c>
      <c r="AD613" s="757">
        <f t="shared" si="148"/>
        <v>0</v>
      </c>
      <c r="AE613" s="757">
        <f t="shared" si="148"/>
        <v>0</v>
      </c>
      <c r="AF613" s="772" t="e">
        <f>(#REF!+#REF!/12)-0.25+0.5+0.25*2</f>
        <v>#REF!</v>
      </c>
      <c r="AI613" s="777"/>
      <c r="AL613" s="777"/>
      <c r="AM613" s="777"/>
    </row>
    <row r="614" spans="1:43" s="776" customFormat="1" ht="22.25" customHeight="1">
      <c r="A614" s="769"/>
      <c r="B614" s="770" t="s">
        <v>483</v>
      </c>
      <c r="C614" s="665"/>
      <c r="D614" s="665">
        <v>2</v>
      </c>
      <c r="E614" s="665">
        <f>E613</f>
        <v>2</v>
      </c>
      <c r="F614" s="751">
        <f>U614</f>
        <v>7.320899725693387</v>
      </c>
      <c r="G614" s="773"/>
      <c r="H614" s="778"/>
      <c r="I614" s="774"/>
      <c r="J614" s="492">
        <f>IF(I614=0,1,I614)*IF(H614=0,1,H614)*IF(G614=0,1,G614)*IF(F614=0,1,F614)*IF(E614=0,1,E614)*IF(D614=0,1,D614)*IF(C614=0,1,C614)</f>
        <v>29.283598902773548</v>
      </c>
      <c r="K614" s="480"/>
      <c r="L614" s="774"/>
      <c r="M614" s="760"/>
      <c r="N614" s="781"/>
      <c r="O614" s="768">
        <f>E614</f>
        <v>2</v>
      </c>
      <c r="P614" s="781">
        <f>(1.5/12)/3.281</f>
        <v>3.8098140810728431E-2</v>
      </c>
      <c r="Q614" s="756" t="s">
        <v>786</v>
      </c>
      <c r="R614" s="756">
        <v>16</v>
      </c>
      <c r="S614" s="757"/>
      <c r="T614" s="758">
        <f>D614</f>
        <v>2</v>
      </c>
      <c r="U614" s="759">
        <f>(N612/3+M613+2*8*R614/1000)*2</f>
        <v>7.320899725693387</v>
      </c>
      <c r="V614" s="757">
        <f>T614*U614*O614</f>
        <v>29.283598902773548</v>
      </c>
      <c r="W614" s="757">
        <f t="shared" si="148"/>
        <v>0</v>
      </c>
      <c r="X614" s="757">
        <f t="shared" si="148"/>
        <v>0</v>
      </c>
      <c r="Y614" s="757">
        <f t="shared" si="148"/>
        <v>0</v>
      </c>
      <c r="Z614" s="757">
        <f t="shared" si="148"/>
        <v>0</v>
      </c>
      <c r="AA614" s="757">
        <f t="shared" si="148"/>
        <v>29.283598902773548</v>
      </c>
      <c r="AB614" s="757">
        <f t="shared" si="148"/>
        <v>0</v>
      </c>
      <c r="AC614" s="757">
        <f t="shared" si="148"/>
        <v>0</v>
      </c>
      <c r="AD614" s="757">
        <f t="shared" si="148"/>
        <v>0</v>
      </c>
      <c r="AE614" s="757">
        <f t="shared" si="148"/>
        <v>0</v>
      </c>
      <c r="AF614" s="772" t="e">
        <f>(#REF!+#REF!/12)-0.25+0.5+0.25*2</f>
        <v>#REF!</v>
      </c>
      <c r="AI614" s="777"/>
      <c r="AL614" s="777"/>
      <c r="AM614" s="777"/>
    </row>
    <row r="615" spans="1:43" s="776" customFormat="1" ht="22.25" customHeight="1">
      <c r="A615" s="769"/>
      <c r="B615" s="770" t="s">
        <v>542</v>
      </c>
      <c r="C615" s="665"/>
      <c r="D615" s="665"/>
      <c r="E615" s="665"/>
      <c r="F615" s="751"/>
      <c r="G615" s="773"/>
      <c r="H615" s="778"/>
      <c r="I615" s="774"/>
      <c r="J615" s="778"/>
      <c r="K615" s="480"/>
      <c r="L615" s="774"/>
      <c r="M615" s="760"/>
      <c r="N615" s="781"/>
      <c r="O615" s="782"/>
      <c r="P615" s="781"/>
      <c r="Q615" s="756"/>
      <c r="R615" s="756"/>
      <c r="S615" s="757"/>
      <c r="T615" s="758"/>
      <c r="U615" s="759"/>
      <c r="V615" s="757"/>
      <c r="W615" s="757">
        <f t="shared" si="148"/>
        <v>0</v>
      </c>
      <c r="X615" s="757">
        <f t="shared" si="148"/>
        <v>0</v>
      </c>
      <c r="Y615" s="757">
        <f t="shared" si="148"/>
        <v>0</v>
      </c>
      <c r="Z615" s="757">
        <f t="shared" si="148"/>
        <v>0</v>
      </c>
      <c r="AA615" s="757">
        <f t="shared" si="148"/>
        <v>0</v>
      </c>
      <c r="AB615" s="757">
        <f t="shared" si="148"/>
        <v>0</v>
      </c>
      <c r="AC615" s="757">
        <f t="shared" si="148"/>
        <v>0</v>
      </c>
      <c r="AD615" s="757">
        <f t="shared" si="148"/>
        <v>0</v>
      </c>
      <c r="AE615" s="757">
        <f t="shared" si="148"/>
        <v>0</v>
      </c>
      <c r="AF615" s="772" t="e">
        <f>((#REF!+#REF!/12)-(1.5/12)*2)*4+0.25*2</f>
        <v>#REF!</v>
      </c>
      <c r="AI615" s="777"/>
      <c r="AL615" s="777"/>
      <c r="AM615" s="777"/>
    </row>
    <row r="616" spans="1:43" s="776" customFormat="1" ht="22.25" customHeight="1">
      <c r="A616" s="769"/>
      <c r="B616" s="770" t="s">
        <v>484</v>
      </c>
      <c r="C616" s="665"/>
      <c r="D616" s="665">
        <f>T616</f>
        <v>15</v>
      </c>
      <c r="E616" s="665">
        <f>E612</f>
        <v>2</v>
      </c>
      <c r="F616" s="751">
        <f>U616</f>
        <v>1.0743553794574823</v>
      </c>
      <c r="G616" s="779"/>
      <c r="H616" s="780"/>
      <c r="I616" s="774"/>
      <c r="J616" s="492">
        <f>IF(I616=0,1,I616)*IF(H616=0,1,H616)*IF(G616=0,1,G616)*IF(F616=0,1,F616)*IF(E616=0,1,E616)*IF(D616=0,1,D616)*IF(C616=0,1,C616)</f>
        <v>32.230661383724467</v>
      </c>
      <c r="K616" s="480"/>
      <c r="L616" s="774"/>
      <c r="N616" s="781"/>
      <c r="O616" s="782">
        <f>O612</f>
        <v>2</v>
      </c>
      <c r="P616" s="781"/>
      <c r="Q616" s="756" t="s">
        <v>463</v>
      </c>
      <c r="R616" s="756">
        <v>10</v>
      </c>
      <c r="S616" s="757">
        <f>4/(12*3.281)</f>
        <v>0.1015950421619425</v>
      </c>
      <c r="T616" s="758">
        <f>2*(ROUND(2*M613/S616,0))+1</f>
        <v>15</v>
      </c>
      <c r="U616" s="759">
        <f>2*(M612+M613)-8*P612+2*8*R616/1000</f>
        <v>1.0743553794574823</v>
      </c>
      <c r="V616" s="757">
        <f>T616*U616*O616</f>
        <v>32.230661383724467</v>
      </c>
      <c r="W616" s="757">
        <f t="shared" si="148"/>
        <v>0</v>
      </c>
      <c r="X616" s="757">
        <f t="shared" si="148"/>
        <v>0</v>
      </c>
      <c r="Y616" s="757">
        <f t="shared" si="148"/>
        <v>32.230661383724467</v>
      </c>
      <c r="Z616" s="757">
        <f t="shared" si="148"/>
        <v>0</v>
      </c>
      <c r="AA616" s="757">
        <f t="shared" si="148"/>
        <v>0</v>
      </c>
      <c r="AB616" s="757">
        <f t="shared" si="148"/>
        <v>0</v>
      </c>
      <c r="AC616" s="757">
        <f t="shared" si="148"/>
        <v>0</v>
      </c>
      <c r="AD616" s="757">
        <f t="shared" si="148"/>
        <v>0</v>
      </c>
      <c r="AE616" s="757">
        <f t="shared" si="148"/>
        <v>0</v>
      </c>
      <c r="AF616" s="777"/>
      <c r="AI616" s="777"/>
      <c r="AL616" s="777"/>
      <c r="AM616" s="777"/>
    </row>
    <row r="617" spans="1:43" s="776" customFormat="1" ht="22.25" customHeight="1">
      <c r="A617" s="769"/>
      <c r="B617" s="770" t="s">
        <v>484</v>
      </c>
      <c r="C617" s="665"/>
      <c r="D617" s="665">
        <f>T617</f>
        <v>52</v>
      </c>
      <c r="E617" s="665">
        <f>E616</f>
        <v>2</v>
      </c>
      <c r="F617" s="751">
        <f>U617</f>
        <v>1.0743553794574823</v>
      </c>
      <c r="G617" s="779"/>
      <c r="H617" s="780"/>
      <c r="I617" s="774"/>
      <c r="J617" s="492">
        <f>IF(I617=0,1,I617)*IF(H617=0,1,H617)*IF(G617=0,1,G617)*IF(F617=0,1,F617)*IF(E617=0,1,E617)*IF(D617=0,1,D617)*IF(C617=0,1,C617)</f>
        <v>111.73295946357815</v>
      </c>
      <c r="K617" s="480"/>
      <c r="L617" s="774"/>
      <c r="M617" s="760"/>
      <c r="N617" s="781"/>
      <c r="O617" s="782">
        <f>O616</f>
        <v>2</v>
      </c>
      <c r="P617" s="781"/>
      <c r="Q617" s="756" t="s">
        <v>463</v>
      </c>
      <c r="R617" s="756">
        <v>10</v>
      </c>
      <c r="S617" s="757">
        <f>6/(12*3.281)</f>
        <v>0.15239256324291375</v>
      </c>
      <c r="T617" s="758">
        <f>(ROUND((N612-4*M613)/S617,0))+1</f>
        <v>52</v>
      </c>
      <c r="U617" s="759">
        <f>2*(M612+M613)-8*P612+2*8*R617/1000</f>
        <v>1.0743553794574823</v>
      </c>
      <c r="V617" s="757">
        <f>T617*U617*O617</f>
        <v>111.73295946357815</v>
      </c>
      <c r="W617" s="757">
        <f t="shared" si="148"/>
        <v>0</v>
      </c>
      <c r="X617" s="757">
        <f t="shared" si="148"/>
        <v>0</v>
      </c>
      <c r="Y617" s="757">
        <f t="shared" si="148"/>
        <v>111.73295946357815</v>
      </c>
      <c r="Z617" s="757">
        <f t="shared" si="148"/>
        <v>0</v>
      </c>
      <c r="AA617" s="757">
        <f t="shared" si="148"/>
        <v>0</v>
      </c>
      <c r="AB617" s="757">
        <f t="shared" si="148"/>
        <v>0</v>
      </c>
      <c r="AC617" s="757">
        <f t="shared" si="148"/>
        <v>0</v>
      </c>
      <c r="AD617" s="757">
        <f t="shared" si="148"/>
        <v>0</v>
      </c>
      <c r="AE617" s="757">
        <f t="shared" si="148"/>
        <v>0</v>
      </c>
      <c r="AF617" s="777"/>
      <c r="AI617" s="777"/>
      <c r="AL617" s="777"/>
      <c r="AM617" s="777"/>
    </row>
    <row r="618" spans="1:43" s="390" customFormat="1" ht="21.9" customHeight="1">
      <c r="A618" s="454"/>
      <c r="B618" s="659" t="s">
        <v>750</v>
      </c>
      <c r="C618" s="662"/>
      <c r="D618" s="662"/>
      <c r="E618" s="662"/>
      <c r="F618" s="498"/>
      <c r="G618" s="642"/>
      <c r="H618" s="647"/>
      <c r="I618" s="499"/>
      <c r="J618" s="455"/>
      <c r="K618" s="455"/>
      <c r="L618" s="312"/>
      <c r="M618" s="726"/>
      <c r="N618" s="726"/>
      <c r="O618" s="726"/>
      <c r="P618" s="726"/>
      <c r="Q618" s="611"/>
      <c r="R618" s="611"/>
      <c r="S618" s="624"/>
      <c r="T618" s="625"/>
      <c r="U618" s="626"/>
      <c r="V618" s="624"/>
      <c r="W618" s="624">
        <f t="shared" ref="W618:AE619" si="149">IF($R618=W$5,$V618,0)</f>
        <v>0</v>
      </c>
      <c r="X618" s="624">
        <f t="shared" si="149"/>
        <v>0</v>
      </c>
      <c r="Y618" s="624">
        <f t="shared" si="149"/>
        <v>0</v>
      </c>
      <c r="Z618" s="624">
        <f t="shared" si="149"/>
        <v>0</v>
      </c>
      <c r="AA618" s="624">
        <f t="shared" si="149"/>
        <v>0</v>
      </c>
      <c r="AB618" s="624">
        <f t="shared" si="149"/>
        <v>0</v>
      </c>
      <c r="AC618" s="624">
        <f t="shared" si="149"/>
        <v>0</v>
      </c>
      <c r="AD618" s="624">
        <f t="shared" si="149"/>
        <v>0</v>
      </c>
      <c r="AE618" s="624">
        <f t="shared" si="149"/>
        <v>0</v>
      </c>
      <c r="AF618" s="404"/>
      <c r="AG618" s="471"/>
      <c r="AH618" s="471"/>
      <c r="AI618" s="471"/>
      <c r="AJ618" s="471"/>
      <c r="AM618" s="404"/>
      <c r="AP618" s="404"/>
      <c r="AQ618" s="404"/>
    </row>
    <row r="619" spans="1:43" s="390" customFormat="1" ht="22.25" customHeight="1">
      <c r="A619" s="454"/>
      <c r="B619" s="657" t="s">
        <v>471</v>
      </c>
      <c r="C619" s="662"/>
      <c r="D619" s="662"/>
      <c r="E619" s="662">
        <v>1</v>
      </c>
      <c r="F619" s="498">
        <f>14.5</f>
        <v>14.5</v>
      </c>
      <c r="G619" s="642">
        <v>0.83</v>
      </c>
      <c r="H619" s="642">
        <v>1.5</v>
      </c>
      <c r="I619" s="499"/>
      <c r="J619" s="507"/>
      <c r="K619" s="455"/>
      <c r="L619" s="312"/>
      <c r="M619" s="722"/>
      <c r="N619" s="722"/>
      <c r="O619" s="722"/>
      <c r="P619" s="722"/>
      <c r="Q619" s="611"/>
      <c r="R619" s="611"/>
      <c r="S619" s="611"/>
      <c r="T619" s="611"/>
      <c r="U619" s="611"/>
      <c r="V619" s="624"/>
      <c r="W619" s="624">
        <f t="shared" si="149"/>
        <v>0</v>
      </c>
      <c r="X619" s="624">
        <f t="shared" si="149"/>
        <v>0</v>
      </c>
      <c r="Y619" s="624">
        <f t="shared" si="149"/>
        <v>0</v>
      </c>
      <c r="Z619" s="624">
        <f t="shared" si="149"/>
        <v>0</v>
      </c>
      <c r="AA619" s="624">
        <f t="shared" si="149"/>
        <v>0</v>
      </c>
      <c r="AB619" s="624">
        <f t="shared" si="149"/>
        <v>0</v>
      </c>
      <c r="AC619" s="624">
        <f t="shared" si="149"/>
        <v>0</v>
      </c>
      <c r="AD619" s="624">
        <f t="shared" si="149"/>
        <v>0</v>
      </c>
      <c r="AE619" s="624">
        <f t="shared" si="149"/>
        <v>0</v>
      </c>
      <c r="AF619" s="471">
        <f>14*0.75*1*2</f>
        <v>21</v>
      </c>
      <c r="AG619" s="473"/>
      <c r="AH619" s="471"/>
      <c r="AI619" s="471"/>
      <c r="AJ619" s="471"/>
      <c r="AM619" s="404"/>
      <c r="AP619" s="404"/>
      <c r="AQ619" s="404"/>
    </row>
    <row r="620" spans="1:43" s="776" customFormat="1" ht="22.25" customHeight="1">
      <c r="A620" s="769"/>
      <c r="B620" s="770" t="s">
        <v>788</v>
      </c>
      <c r="C620" s="665"/>
      <c r="D620" s="665"/>
      <c r="E620" s="665"/>
      <c r="F620" s="751"/>
      <c r="G620" s="773"/>
      <c r="H620" s="778"/>
      <c r="I620" s="774"/>
      <c r="J620" s="778"/>
      <c r="K620" s="480"/>
      <c r="L620" s="774"/>
      <c r="M620" s="760"/>
      <c r="N620" s="781"/>
      <c r="O620" s="782"/>
      <c r="P620" s="781"/>
      <c r="Q620" s="756"/>
      <c r="R620" s="756"/>
      <c r="S620" s="757"/>
      <c r="T620" s="758"/>
      <c r="U620" s="759"/>
      <c r="V620" s="757"/>
      <c r="W620" s="757">
        <f t="shared" ref="W620:AE626" si="150">IF($R620=W$5,$V620,0)</f>
        <v>0</v>
      </c>
      <c r="X620" s="757">
        <f t="shared" si="150"/>
        <v>0</v>
      </c>
      <c r="Y620" s="757">
        <f t="shared" si="150"/>
        <v>0</v>
      </c>
      <c r="Z620" s="757">
        <f t="shared" si="150"/>
        <v>0</v>
      </c>
      <c r="AA620" s="757">
        <f t="shared" si="150"/>
        <v>0</v>
      </c>
      <c r="AB620" s="757">
        <f t="shared" si="150"/>
        <v>0</v>
      </c>
      <c r="AC620" s="757">
        <f t="shared" si="150"/>
        <v>0</v>
      </c>
      <c r="AD620" s="757">
        <f t="shared" si="150"/>
        <v>0</v>
      </c>
      <c r="AE620" s="757">
        <f t="shared" si="150"/>
        <v>0</v>
      </c>
      <c r="AF620" s="772" t="e">
        <f>((#REF!+#REF!/12)-(1.5/12)*2)*4+0.25*2</f>
        <v>#REF!</v>
      </c>
      <c r="AI620" s="777"/>
      <c r="AL620" s="777"/>
      <c r="AM620" s="777"/>
    </row>
    <row r="621" spans="1:43" s="776" customFormat="1" ht="22.25" customHeight="1">
      <c r="A621" s="769"/>
      <c r="B621" s="770" t="s">
        <v>483</v>
      </c>
      <c r="C621" s="665"/>
      <c r="D621" s="665">
        <v>4</v>
      </c>
      <c r="E621" s="665">
        <f>E619</f>
        <v>1</v>
      </c>
      <c r="F621" s="751">
        <f>U621</f>
        <v>5.2575434318805243</v>
      </c>
      <c r="G621" s="773"/>
      <c r="H621" s="778"/>
      <c r="I621" s="774"/>
      <c r="J621" s="492">
        <f>IF(I621=0,1,I621)*IF(H621=0,1,H621)*IF(G621=0,1,G621)*IF(F621=0,1,F621)*IF(E621=0,1,E621)*IF(D621=0,1,D621)*IF(C621=0,1,C621)</f>
        <v>21.030173727522097</v>
      </c>
      <c r="K621" s="480"/>
      <c r="L621" s="774"/>
      <c r="M621" s="760">
        <f>G619/3.281</f>
        <v>0.25297165498323682</v>
      </c>
      <c r="N621" s="781">
        <f>F619/3.281</f>
        <v>4.4193843340444987</v>
      </c>
      <c r="O621" s="768">
        <f>E621</f>
        <v>1</v>
      </c>
      <c r="P621" s="781">
        <f>(1.5/12)/3.281</f>
        <v>3.8098140810728431E-2</v>
      </c>
      <c r="Q621" s="756" t="s">
        <v>541</v>
      </c>
      <c r="R621" s="756">
        <v>16</v>
      </c>
      <c r="S621" s="757"/>
      <c r="T621" s="758">
        <f>D621</f>
        <v>4</v>
      </c>
      <c r="U621" s="759">
        <f>N621-2*P621+2*M622</f>
        <v>5.2575434318805243</v>
      </c>
      <c r="V621" s="757">
        <f>T621*U621*O621</f>
        <v>21.030173727522097</v>
      </c>
      <c r="W621" s="757">
        <f t="shared" si="150"/>
        <v>0</v>
      </c>
      <c r="X621" s="757">
        <f t="shared" si="150"/>
        <v>0</v>
      </c>
      <c r="Y621" s="757">
        <f t="shared" si="150"/>
        <v>0</v>
      </c>
      <c r="Z621" s="757">
        <f t="shared" si="150"/>
        <v>0</v>
      </c>
      <c r="AA621" s="757">
        <f t="shared" si="150"/>
        <v>21.030173727522097</v>
      </c>
      <c r="AB621" s="757">
        <f t="shared" si="150"/>
        <v>0</v>
      </c>
      <c r="AC621" s="757">
        <f t="shared" si="150"/>
        <v>0</v>
      </c>
      <c r="AD621" s="757">
        <f t="shared" si="150"/>
        <v>0</v>
      </c>
      <c r="AE621" s="757">
        <f t="shared" si="150"/>
        <v>0</v>
      </c>
      <c r="AF621" s="772" t="e">
        <f>(#REF!+#REF!/12)-0.25+0.5+0.25*2</f>
        <v>#REF!</v>
      </c>
      <c r="AI621" s="777"/>
      <c r="AL621" s="777"/>
      <c r="AM621" s="777"/>
    </row>
    <row r="622" spans="1:43" s="776" customFormat="1" ht="22.25" customHeight="1">
      <c r="A622" s="769"/>
      <c r="B622" s="770" t="s">
        <v>483</v>
      </c>
      <c r="C622" s="665"/>
      <c r="D622" s="665">
        <v>4</v>
      </c>
      <c r="E622" s="665">
        <f>E621</f>
        <v>1</v>
      </c>
      <c r="F622" s="751">
        <f>U622</f>
        <v>4.7683657421517829</v>
      </c>
      <c r="G622" s="773"/>
      <c r="H622" s="778"/>
      <c r="I622" s="774"/>
      <c r="J622" s="492">
        <f>IF(I622=0,1,I622)*IF(H622=0,1,H622)*IF(G622=0,1,G622)*IF(F622=0,1,F622)*IF(E622=0,1,E622)*IF(D622=0,1,D622)*IF(C622=0,1,C622)</f>
        <v>19.073462968607132</v>
      </c>
      <c r="K622" s="480"/>
      <c r="L622" s="774"/>
      <c r="M622" s="760">
        <f>H619/3.281</f>
        <v>0.45717768972874123</v>
      </c>
      <c r="N622" s="781"/>
      <c r="O622" s="768">
        <f>E622</f>
        <v>1</v>
      </c>
      <c r="P622" s="781">
        <f>(1.5/12)/3.281</f>
        <v>3.8098140810728431E-2</v>
      </c>
      <c r="Q622" s="756" t="s">
        <v>457</v>
      </c>
      <c r="R622" s="756">
        <v>16</v>
      </c>
      <c r="S622" s="757"/>
      <c r="T622" s="758">
        <f>D622</f>
        <v>4</v>
      </c>
      <c r="U622" s="759">
        <f>N621-2*P622-2*R622/1000+2*((M622/2))</f>
        <v>4.7683657421517829</v>
      </c>
      <c r="V622" s="757">
        <f>T622*U622*O622</f>
        <v>19.073462968607132</v>
      </c>
      <c r="W622" s="757">
        <f t="shared" si="150"/>
        <v>0</v>
      </c>
      <c r="X622" s="757">
        <f t="shared" si="150"/>
        <v>0</v>
      </c>
      <c r="Y622" s="757">
        <f t="shared" si="150"/>
        <v>0</v>
      </c>
      <c r="Z622" s="757">
        <f t="shared" si="150"/>
        <v>0</v>
      </c>
      <c r="AA622" s="757">
        <f t="shared" si="150"/>
        <v>19.073462968607132</v>
      </c>
      <c r="AB622" s="757">
        <f t="shared" si="150"/>
        <v>0</v>
      </c>
      <c r="AC622" s="757">
        <f t="shared" si="150"/>
        <v>0</v>
      </c>
      <c r="AD622" s="757">
        <f t="shared" si="150"/>
        <v>0</v>
      </c>
      <c r="AE622" s="757">
        <f t="shared" si="150"/>
        <v>0</v>
      </c>
      <c r="AF622" s="772" t="e">
        <f>(#REF!+#REF!/12)-0.25+0.5+0.25*2</f>
        <v>#REF!</v>
      </c>
      <c r="AI622" s="777"/>
      <c r="AL622" s="777"/>
      <c r="AM622" s="777"/>
    </row>
    <row r="623" spans="1:43" s="776" customFormat="1" ht="22.25" customHeight="1">
      <c r="A623" s="769"/>
      <c r="B623" s="770" t="s">
        <v>545</v>
      </c>
      <c r="C623" s="665"/>
      <c r="D623" s="665">
        <v>2</v>
      </c>
      <c r="E623" s="665">
        <f>E622</f>
        <v>1</v>
      </c>
      <c r="F623" s="751">
        <f>U623</f>
        <v>4.5351880524230417</v>
      </c>
      <c r="G623" s="773"/>
      <c r="H623" s="778"/>
      <c r="I623" s="774"/>
      <c r="J623" s="492">
        <f>IF(I623=0,1,I623)*IF(H623=0,1,H623)*IF(G623=0,1,G623)*IF(F623=0,1,F623)*IF(E623=0,1,E623)*IF(D623=0,1,D623)*IF(C623=0,1,C623)</f>
        <v>9.0703761048460834</v>
      </c>
      <c r="K623" s="480"/>
      <c r="L623" s="774"/>
      <c r="M623" s="760"/>
      <c r="N623" s="781"/>
      <c r="O623" s="768">
        <f>E623</f>
        <v>1</v>
      </c>
      <c r="P623" s="781">
        <f>(1.5/12)/3.281</f>
        <v>3.8098140810728431E-2</v>
      </c>
      <c r="Q623" s="756" t="s">
        <v>789</v>
      </c>
      <c r="R623" s="756">
        <v>12</v>
      </c>
      <c r="S623" s="757"/>
      <c r="T623" s="758">
        <f>D623</f>
        <v>2</v>
      </c>
      <c r="U623" s="759">
        <f>N621-2*P623+2*8*R623/1000</f>
        <v>4.5351880524230417</v>
      </c>
      <c r="V623" s="757">
        <f>T623*U623*O623</f>
        <v>9.0703761048460834</v>
      </c>
      <c r="W623" s="757">
        <f t="shared" si="150"/>
        <v>0</v>
      </c>
      <c r="X623" s="757">
        <f t="shared" si="150"/>
        <v>0</v>
      </c>
      <c r="Y623" s="757">
        <f t="shared" si="150"/>
        <v>0</v>
      </c>
      <c r="Z623" s="757">
        <f t="shared" si="150"/>
        <v>9.0703761048460834</v>
      </c>
      <c r="AA623" s="757">
        <f t="shared" si="150"/>
        <v>0</v>
      </c>
      <c r="AB623" s="757">
        <f t="shared" si="150"/>
        <v>0</v>
      </c>
      <c r="AC623" s="757">
        <f t="shared" si="150"/>
        <v>0</v>
      </c>
      <c r="AD623" s="757">
        <f t="shared" si="150"/>
        <v>0</v>
      </c>
      <c r="AE623" s="757">
        <f t="shared" si="150"/>
        <v>0</v>
      </c>
      <c r="AF623" s="772" t="e">
        <f>(#REF!+#REF!/12)-0.25+0.5+0.25*2</f>
        <v>#REF!</v>
      </c>
      <c r="AI623" s="777"/>
      <c r="AL623" s="777"/>
      <c r="AM623" s="777"/>
    </row>
    <row r="624" spans="1:43" s="776" customFormat="1" ht="22.25" customHeight="1">
      <c r="A624" s="769"/>
      <c r="B624" s="770" t="s">
        <v>542</v>
      </c>
      <c r="C624" s="665"/>
      <c r="D624" s="665"/>
      <c r="E624" s="665"/>
      <c r="F624" s="751"/>
      <c r="G624" s="773"/>
      <c r="H624" s="778"/>
      <c r="I624" s="774"/>
      <c r="J624" s="778"/>
      <c r="K624" s="480"/>
      <c r="L624" s="774"/>
      <c r="M624" s="760"/>
      <c r="N624" s="781"/>
      <c r="O624" s="782"/>
      <c r="P624" s="781"/>
      <c r="Q624" s="756"/>
      <c r="R624" s="756"/>
      <c r="S624" s="757"/>
      <c r="T624" s="758"/>
      <c r="U624" s="759"/>
      <c r="V624" s="757"/>
      <c r="W624" s="757">
        <f t="shared" si="150"/>
        <v>0</v>
      </c>
      <c r="X624" s="757">
        <f t="shared" si="150"/>
        <v>0</v>
      </c>
      <c r="Y624" s="757">
        <f t="shared" si="150"/>
        <v>0</v>
      </c>
      <c r="Z624" s="757">
        <f t="shared" si="150"/>
        <v>0</v>
      </c>
      <c r="AA624" s="757">
        <f t="shared" si="150"/>
        <v>0</v>
      </c>
      <c r="AB624" s="757">
        <f t="shared" si="150"/>
        <v>0</v>
      </c>
      <c r="AC624" s="757">
        <f t="shared" si="150"/>
        <v>0</v>
      </c>
      <c r="AD624" s="757">
        <f t="shared" si="150"/>
        <v>0</v>
      </c>
      <c r="AE624" s="757">
        <f t="shared" si="150"/>
        <v>0</v>
      </c>
      <c r="AF624" s="772" t="e">
        <f>((#REF!+#REF!/12)-(1.5/12)*2)*4+0.25*2</f>
        <v>#REF!</v>
      </c>
      <c r="AI624" s="777"/>
      <c r="AL624" s="777"/>
      <c r="AM624" s="777"/>
    </row>
    <row r="625" spans="1:43" s="776" customFormat="1" ht="22.25" customHeight="1">
      <c r="A625" s="769"/>
      <c r="B625" s="770" t="s">
        <v>484</v>
      </c>
      <c r="C625" s="665"/>
      <c r="D625" s="665">
        <f>T625</f>
        <v>19</v>
      </c>
      <c r="E625" s="665">
        <f>E621</f>
        <v>1</v>
      </c>
      <c r="F625" s="751">
        <f>U625</f>
        <v>1.2755135629381285</v>
      </c>
      <c r="G625" s="779"/>
      <c r="H625" s="780"/>
      <c r="I625" s="774"/>
      <c r="J625" s="492">
        <f>IF(I625=0,1,I625)*IF(H625=0,1,H625)*IF(G625=0,1,G625)*IF(F625=0,1,F625)*IF(E625=0,1,E625)*IF(D625=0,1,D625)*IF(C625=0,1,C625)</f>
        <v>24.234757695824442</v>
      </c>
      <c r="K625" s="480"/>
      <c r="L625" s="774"/>
      <c r="N625" s="781"/>
      <c r="O625" s="782">
        <f>O621</f>
        <v>1</v>
      </c>
      <c r="P625" s="781"/>
      <c r="Q625" s="756" t="s">
        <v>463</v>
      </c>
      <c r="R625" s="756">
        <v>10</v>
      </c>
      <c r="S625" s="757">
        <f>4/(12*3.281)</f>
        <v>0.1015950421619425</v>
      </c>
      <c r="T625" s="758">
        <f>2*(ROUND(2*M622/S625,0))+1</f>
        <v>19</v>
      </c>
      <c r="U625" s="759">
        <f>2*(M621+M622)-8*P621+2*8*R625/1000</f>
        <v>1.2755135629381285</v>
      </c>
      <c r="V625" s="757">
        <f>T625*U625*O625</f>
        <v>24.234757695824442</v>
      </c>
      <c r="W625" s="757">
        <f t="shared" si="150"/>
        <v>0</v>
      </c>
      <c r="X625" s="757">
        <f t="shared" si="150"/>
        <v>0</v>
      </c>
      <c r="Y625" s="757">
        <f t="shared" si="150"/>
        <v>24.234757695824442</v>
      </c>
      <c r="Z625" s="757">
        <f t="shared" si="150"/>
        <v>0</v>
      </c>
      <c r="AA625" s="757">
        <f t="shared" si="150"/>
        <v>0</v>
      </c>
      <c r="AB625" s="757">
        <f t="shared" si="150"/>
        <v>0</v>
      </c>
      <c r="AC625" s="757">
        <f t="shared" si="150"/>
        <v>0</v>
      </c>
      <c r="AD625" s="757">
        <f t="shared" si="150"/>
        <v>0</v>
      </c>
      <c r="AE625" s="757">
        <f t="shared" si="150"/>
        <v>0</v>
      </c>
      <c r="AF625" s="777"/>
      <c r="AI625" s="777"/>
      <c r="AL625" s="777"/>
      <c r="AM625" s="777"/>
    </row>
    <row r="626" spans="1:43" s="776" customFormat="1" ht="22.25" customHeight="1">
      <c r="A626" s="769"/>
      <c r="B626" s="770" t="s">
        <v>484</v>
      </c>
      <c r="C626" s="665"/>
      <c r="D626" s="665">
        <f>T626</f>
        <v>18</v>
      </c>
      <c r="E626" s="665">
        <f>E625</f>
        <v>1</v>
      </c>
      <c r="F626" s="751">
        <f>U626</f>
        <v>1.2755135629381285</v>
      </c>
      <c r="G626" s="779"/>
      <c r="H626" s="780"/>
      <c r="I626" s="774"/>
      <c r="J626" s="492">
        <f>IF(I626=0,1,I626)*IF(H626=0,1,H626)*IF(G626=0,1,G626)*IF(F626=0,1,F626)*IF(E626=0,1,E626)*IF(D626=0,1,D626)*IF(C626=0,1,C626)</f>
        <v>22.959244132886312</v>
      </c>
      <c r="K626" s="480"/>
      <c r="L626" s="774"/>
      <c r="M626" s="760"/>
      <c r="N626" s="781"/>
      <c r="O626" s="782">
        <f>O625</f>
        <v>1</v>
      </c>
      <c r="P626" s="781"/>
      <c r="Q626" s="756" t="s">
        <v>463</v>
      </c>
      <c r="R626" s="756">
        <v>10</v>
      </c>
      <c r="S626" s="757">
        <f>6/(12*3.281)</f>
        <v>0.15239256324291375</v>
      </c>
      <c r="T626" s="758">
        <f>(ROUND((N621-4*M622)/S626,0))+1</f>
        <v>18</v>
      </c>
      <c r="U626" s="759">
        <f>2*(M621+M622)-8*P621+2*8*R626/1000</f>
        <v>1.2755135629381285</v>
      </c>
      <c r="V626" s="757">
        <f>T626*U626*O626</f>
        <v>22.959244132886312</v>
      </c>
      <c r="W626" s="757">
        <f t="shared" si="150"/>
        <v>0</v>
      </c>
      <c r="X626" s="757">
        <f t="shared" si="150"/>
        <v>0</v>
      </c>
      <c r="Y626" s="757">
        <f t="shared" si="150"/>
        <v>22.959244132886312</v>
      </c>
      <c r="Z626" s="757">
        <f t="shared" si="150"/>
        <v>0</v>
      </c>
      <c r="AA626" s="757">
        <f t="shared" si="150"/>
        <v>0</v>
      </c>
      <c r="AB626" s="757">
        <f t="shared" si="150"/>
        <v>0</v>
      </c>
      <c r="AC626" s="757">
        <f t="shared" si="150"/>
        <v>0</v>
      </c>
      <c r="AD626" s="757">
        <f t="shared" si="150"/>
        <v>0</v>
      </c>
      <c r="AE626" s="757">
        <f t="shared" si="150"/>
        <v>0</v>
      </c>
      <c r="AF626" s="777"/>
      <c r="AI626" s="777"/>
      <c r="AL626" s="777"/>
      <c r="AM626" s="777"/>
    </row>
    <row r="627" spans="1:43" s="390" customFormat="1" ht="21.9" customHeight="1">
      <c r="A627" s="454"/>
      <c r="B627" s="659" t="s">
        <v>751</v>
      </c>
      <c r="C627" s="662"/>
      <c r="D627" s="662"/>
      <c r="E627" s="662"/>
      <c r="F627" s="498"/>
      <c r="G627" s="642"/>
      <c r="H627" s="647"/>
      <c r="I627" s="499"/>
      <c r="J627" s="455"/>
      <c r="K627" s="455"/>
      <c r="L627" s="312"/>
      <c r="M627" s="726"/>
      <c r="N627" s="726"/>
      <c r="O627" s="726"/>
      <c r="P627" s="726"/>
      <c r="Q627" s="611"/>
      <c r="R627" s="611"/>
      <c r="S627" s="624"/>
      <c r="T627" s="625"/>
      <c r="U627" s="626"/>
      <c r="V627" s="624"/>
      <c r="W627" s="624">
        <f t="shared" ref="W627:AE628" si="151">IF($R627=W$5,$V627,0)</f>
        <v>0</v>
      </c>
      <c r="X627" s="624">
        <f t="shared" si="151"/>
        <v>0</v>
      </c>
      <c r="Y627" s="624">
        <f t="shared" si="151"/>
        <v>0</v>
      </c>
      <c r="Z627" s="624">
        <f t="shared" si="151"/>
        <v>0</v>
      </c>
      <c r="AA627" s="624">
        <f t="shared" si="151"/>
        <v>0</v>
      </c>
      <c r="AB627" s="624">
        <f t="shared" si="151"/>
        <v>0</v>
      </c>
      <c r="AC627" s="624">
        <f t="shared" si="151"/>
        <v>0</v>
      </c>
      <c r="AD627" s="624">
        <f t="shared" si="151"/>
        <v>0</v>
      </c>
      <c r="AE627" s="624">
        <f t="shared" si="151"/>
        <v>0</v>
      </c>
      <c r="AF627" s="404"/>
      <c r="AG627" s="471"/>
      <c r="AH627" s="471"/>
      <c r="AI627" s="471"/>
      <c r="AJ627" s="471"/>
      <c r="AM627" s="404"/>
      <c r="AP627" s="404"/>
      <c r="AQ627" s="404"/>
    </row>
    <row r="628" spans="1:43" s="390" customFormat="1" ht="22.25" customHeight="1">
      <c r="A628" s="454"/>
      <c r="B628" s="657" t="s">
        <v>733</v>
      </c>
      <c r="C628" s="662"/>
      <c r="D628" s="662"/>
      <c r="E628" s="662">
        <v>1</v>
      </c>
      <c r="F628" s="498">
        <f>14.5+6-2*1</f>
        <v>18.5</v>
      </c>
      <c r="G628" s="642">
        <v>1</v>
      </c>
      <c r="H628" s="642">
        <v>1.33</v>
      </c>
      <c r="I628" s="499"/>
      <c r="J628" s="507"/>
      <c r="K628" s="455"/>
      <c r="L628" s="312"/>
      <c r="M628" s="722"/>
      <c r="N628" s="722"/>
      <c r="O628" s="722"/>
      <c r="P628" s="722"/>
      <c r="Q628" s="611"/>
      <c r="R628" s="611"/>
      <c r="S628" s="624"/>
      <c r="T628" s="625"/>
      <c r="U628" s="626"/>
      <c r="V628" s="624"/>
      <c r="W628" s="624">
        <f t="shared" si="151"/>
        <v>0</v>
      </c>
      <c r="X628" s="624">
        <f t="shared" si="151"/>
        <v>0</v>
      </c>
      <c r="Y628" s="624">
        <f t="shared" si="151"/>
        <v>0</v>
      </c>
      <c r="Z628" s="624">
        <f t="shared" si="151"/>
        <v>0</v>
      </c>
      <c r="AA628" s="624">
        <f t="shared" si="151"/>
        <v>0</v>
      </c>
      <c r="AB628" s="624">
        <f t="shared" si="151"/>
        <v>0</v>
      </c>
      <c r="AC628" s="624">
        <f t="shared" si="151"/>
        <v>0</v>
      </c>
      <c r="AD628" s="624">
        <f t="shared" si="151"/>
        <v>0</v>
      </c>
      <c r="AE628" s="624">
        <f t="shared" si="151"/>
        <v>0</v>
      </c>
      <c r="AF628" s="471"/>
      <c r="AG628" s="473"/>
      <c r="AH628" s="471"/>
      <c r="AI628" s="471"/>
      <c r="AJ628" s="471"/>
      <c r="AM628" s="404"/>
      <c r="AP628" s="404"/>
      <c r="AQ628" s="404"/>
    </row>
    <row r="629" spans="1:43" s="776" customFormat="1" ht="22.25" customHeight="1">
      <c r="A629" s="769"/>
      <c r="B629" s="770" t="s">
        <v>562</v>
      </c>
      <c r="C629" s="665"/>
      <c r="D629" s="665"/>
      <c r="E629" s="665"/>
      <c r="F629" s="751"/>
      <c r="G629" s="773"/>
      <c r="H629" s="778"/>
      <c r="I629" s="774"/>
      <c r="J629" s="778"/>
      <c r="K629" s="480"/>
      <c r="L629" s="774"/>
      <c r="M629" s="760"/>
      <c r="N629" s="781"/>
      <c r="O629" s="782"/>
      <c r="P629" s="781"/>
      <c r="Q629" s="756"/>
      <c r="R629" s="756"/>
      <c r="S629" s="757"/>
      <c r="T629" s="758"/>
      <c r="U629" s="759"/>
      <c r="V629" s="757"/>
      <c r="W629" s="757">
        <f t="shared" ref="W629:AE634" si="152">IF($R629=W$5,$V629,0)</f>
        <v>0</v>
      </c>
      <c r="X629" s="757">
        <f t="shared" si="152"/>
        <v>0</v>
      </c>
      <c r="Y629" s="757">
        <f t="shared" si="152"/>
        <v>0</v>
      </c>
      <c r="Z629" s="757">
        <f t="shared" si="152"/>
        <v>0</v>
      </c>
      <c r="AA629" s="757">
        <f t="shared" si="152"/>
        <v>0</v>
      </c>
      <c r="AB629" s="757">
        <f t="shared" si="152"/>
        <v>0</v>
      </c>
      <c r="AC629" s="757">
        <f t="shared" si="152"/>
        <v>0</v>
      </c>
      <c r="AD629" s="757">
        <f t="shared" si="152"/>
        <v>0</v>
      </c>
      <c r="AE629" s="757">
        <f t="shared" si="152"/>
        <v>0</v>
      </c>
      <c r="AF629" s="772" t="e">
        <f>((#REF!+#REF!/12)-(1.5/12)*2)*4+0.25*2</f>
        <v>#REF!</v>
      </c>
      <c r="AI629" s="777"/>
      <c r="AL629" s="777"/>
      <c r="AM629" s="777"/>
    </row>
    <row r="630" spans="1:43" s="776" customFormat="1" ht="22.25" customHeight="1">
      <c r="A630" s="769"/>
      <c r="B630" s="770" t="s">
        <v>483</v>
      </c>
      <c r="C630" s="665"/>
      <c r="D630" s="665">
        <v>4</v>
      </c>
      <c r="E630" s="665">
        <f>E628</f>
        <v>1</v>
      </c>
      <c r="F630" s="751">
        <f>U630</f>
        <v>6.3730569948186524</v>
      </c>
      <c r="G630" s="773"/>
      <c r="H630" s="778"/>
      <c r="I630" s="774"/>
      <c r="J630" s="492">
        <f>IF(I630=0,1,I630)*IF(H630=0,1,H630)*IF(G630=0,1,G630)*IF(F630=0,1,F630)*IF(E630=0,1,E630)*IF(D630=0,1,D630)*IF(C630=0,1,C630)</f>
        <v>25.49222797927461</v>
      </c>
      <c r="K630" s="480"/>
      <c r="L630" s="774"/>
      <c r="M630" s="760">
        <f>G628/3.281</f>
        <v>0.30478512648582745</v>
      </c>
      <c r="N630" s="781">
        <f>F628/3.281</f>
        <v>5.6385248399878085</v>
      </c>
      <c r="O630" s="768">
        <f>E630</f>
        <v>1</v>
      </c>
      <c r="P630" s="781">
        <f>(1.5/12)/3.281</f>
        <v>3.8098140810728431E-2</v>
      </c>
      <c r="Q630" s="756" t="s">
        <v>541</v>
      </c>
      <c r="R630" s="756">
        <v>16</v>
      </c>
      <c r="S630" s="757"/>
      <c r="T630" s="758">
        <f>D630</f>
        <v>4</v>
      </c>
      <c r="U630" s="759">
        <f>N630-2*P630+2*M631</f>
        <v>6.3730569948186524</v>
      </c>
      <c r="V630" s="757">
        <f>T630*U630*O630</f>
        <v>25.49222797927461</v>
      </c>
      <c r="W630" s="757">
        <f t="shared" si="152"/>
        <v>0</v>
      </c>
      <c r="X630" s="757">
        <f t="shared" si="152"/>
        <v>0</v>
      </c>
      <c r="Y630" s="757">
        <f t="shared" si="152"/>
        <v>0</v>
      </c>
      <c r="Z630" s="757">
        <f t="shared" si="152"/>
        <v>0</v>
      </c>
      <c r="AA630" s="757">
        <f t="shared" si="152"/>
        <v>25.49222797927461</v>
      </c>
      <c r="AB630" s="757">
        <f t="shared" si="152"/>
        <v>0</v>
      </c>
      <c r="AC630" s="757">
        <f t="shared" si="152"/>
        <v>0</v>
      </c>
      <c r="AD630" s="757">
        <f t="shared" si="152"/>
        <v>0</v>
      </c>
      <c r="AE630" s="757">
        <f t="shared" si="152"/>
        <v>0</v>
      </c>
      <c r="AF630" s="772" t="e">
        <f>(#REF!+#REF!/12)-0.25+0.5+0.25*2</f>
        <v>#REF!</v>
      </c>
      <c r="AI630" s="777"/>
      <c r="AL630" s="777"/>
      <c r="AM630" s="777"/>
    </row>
    <row r="631" spans="1:43" s="776" customFormat="1" ht="22.25" customHeight="1">
      <c r="A631" s="769"/>
      <c r="B631" s="770" t="s">
        <v>483</v>
      </c>
      <c r="C631" s="665"/>
      <c r="D631" s="665">
        <v>4</v>
      </c>
      <c r="E631" s="665">
        <f>E630</f>
        <v>1</v>
      </c>
      <c r="F631" s="751">
        <f>U631</f>
        <v>5.9356927765925018</v>
      </c>
      <c r="G631" s="773"/>
      <c r="H631" s="778"/>
      <c r="I631" s="774"/>
      <c r="J631" s="492">
        <f>IF(I631=0,1,I631)*IF(H631=0,1,H631)*IF(G631=0,1,G631)*IF(F631=0,1,F631)*IF(E631=0,1,E631)*IF(D631=0,1,D631)*IF(C631=0,1,C631)</f>
        <v>23.742771106370007</v>
      </c>
      <c r="K631" s="480"/>
      <c r="L631" s="774"/>
      <c r="M631" s="760">
        <f>H628/3.281</f>
        <v>0.40536421822615054</v>
      </c>
      <c r="N631" s="781"/>
      <c r="O631" s="768">
        <f>E631</f>
        <v>1</v>
      </c>
      <c r="P631" s="781">
        <f>(1.5/12)/3.281</f>
        <v>3.8098140810728431E-2</v>
      </c>
      <c r="Q631" s="756" t="s">
        <v>457</v>
      </c>
      <c r="R631" s="756">
        <v>16</v>
      </c>
      <c r="S631" s="757"/>
      <c r="T631" s="758">
        <f>D631</f>
        <v>4</v>
      </c>
      <c r="U631" s="759">
        <f>N630-2*P631-2*R631/1000+2*((M631/2))</f>
        <v>5.9356927765925018</v>
      </c>
      <c r="V631" s="757">
        <f>T631*U631*O631</f>
        <v>23.742771106370007</v>
      </c>
      <c r="W631" s="757">
        <f t="shared" si="152"/>
        <v>0</v>
      </c>
      <c r="X631" s="757">
        <f t="shared" si="152"/>
        <v>0</v>
      </c>
      <c r="Y631" s="757">
        <f t="shared" si="152"/>
        <v>0</v>
      </c>
      <c r="Z631" s="757">
        <f t="shared" si="152"/>
        <v>0</v>
      </c>
      <c r="AA631" s="757">
        <f t="shared" si="152"/>
        <v>23.742771106370007</v>
      </c>
      <c r="AB631" s="757">
        <f t="shared" si="152"/>
        <v>0</v>
      </c>
      <c r="AC631" s="757">
        <f t="shared" si="152"/>
        <v>0</v>
      </c>
      <c r="AD631" s="757">
        <f t="shared" si="152"/>
        <v>0</v>
      </c>
      <c r="AE631" s="757">
        <f t="shared" si="152"/>
        <v>0</v>
      </c>
      <c r="AF631" s="772" t="e">
        <f>(#REF!+#REF!/12)-0.25+0.5+0.25*2</f>
        <v>#REF!</v>
      </c>
      <c r="AI631" s="777"/>
      <c r="AL631" s="777"/>
      <c r="AM631" s="777"/>
    </row>
    <row r="632" spans="1:43" s="776" customFormat="1" ht="22.25" customHeight="1">
      <c r="A632" s="769"/>
      <c r="B632" s="770" t="s">
        <v>542</v>
      </c>
      <c r="C632" s="665"/>
      <c r="D632" s="665"/>
      <c r="E632" s="665"/>
      <c r="F632" s="751"/>
      <c r="G632" s="773"/>
      <c r="H632" s="778"/>
      <c r="I632" s="774"/>
      <c r="J632" s="778"/>
      <c r="K632" s="480"/>
      <c r="L632" s="774"/>
      <c r="M632" s="760"/>
      <c r="N632" s="781"/>
      <c r="O632" s="782"/>
      <c r="P632" s="781"/>
      <c r="Q632" s="756"/>
      <c r="R632" s="756"/>
      <c r="S632" s="757"/>
      <c r="T632" s="758"/>
      <c r="U632" s="759"/>
      <c r="V632" s="757"/>
      <c r="W632" s="757">
        <f t="shared" si="152"/>
        <v>0</v>
      </c>
      <c r="X632" s="757">
        <f t="shared" si="152"/>
        <v>0</v>
      </c>
      <c r="Y632" s="757">
        <f t="shared" si="152"/>
        <v>0</v>
      </c>
      <c r="Z632" s="757">
        <f t="shared" si="152"/>
        <v>0</v>
      </c>
      <c r="AA632" s="757">
        <f t="shared" si="152"/>
        <v>0</v>
      </c>
      <c r="AB632" s="757">
        <f t="shared" si="152"/>
        <v>0</v>
      </c>
      <c r="AC632" s="757">
        <f t="shared" si="152"/>
        <v>0</v>
      </c>
      <c r="AD632" s="757">
        <f t="shared" si="152"/>
        <v>0</v>
      </c>
      <c r="AE632" s="757">
        <f t="shared" si="152"/>
        <v>0</v>
      </c>
      <c r="AF632" s="772" t="e">
        <f>((#REF!+#REF!/12)-(1.5/12)*2)*4+0.25*2</f>
        <v>#REF!</v>
      </c>
      <c r="AI632" s="777"/>
      <c r="AL632" s="777"/>
      <c r="AM632" s="777"/>
    </row>
    <row r="633" spans="1:43" s="776" customFormat="1" ht="22.25" customHeight="1">
      <c r="A633" s="769"/>
      <c r="B633" s="770" t="s">
        <v>484</v>
      </c>
      <c r="C633" s="665"/>
      <c r="D633" s="665">
        <f>T633</f>
        <v>17</v>
      </c>
      <c r="E633" s="665">
        <f>E630</f>
        <v>1</v>
      </c>
      <c r="F633" s="751">
        <f>U633</f>
        <v>1.2755135629381285</v>
      </c>
      <c r="G633" s="779"/>
      <c r="H633" s="780"/>
      <c r="I633" s="774"/>
      <c r="J633" s="492">
        <f>IF(I633=0,1,I633)*IF(H633=0,1,H633)*IF(G633=0,1,G633)*IF(F633=0,1,F633)*IF(E633=0,1,E633)*IF(D633=0,1,D633)*IF(C633=0,1,C633)</f>
        <v>21.683730569948185</v>
      </c>
      <c r="K633" s="480"/>
      <c r="L633" s="774"/>
      <c r="N633" s="781"/>
      <c r="O633" s="782">
        <f>O630</f>
        <v>1</v>
      </c>
      <c r="P633" s="781"/>
      <c r="Q633" s="756" t="s">
        <v>463</v>
      </c>
      <c r="R633" s="756">
        <v>10</v>
      </c>
      <c r="S633" s="757">
        <f>4/(12*3.281)</f>
        <v>0.1015950421619425</v>
      </c>
      <c r="T633" s="758">
        <f>2*(ROUND(2*M631/S633,0))+1</f>
        <v>17</v>
      </c>
      <c r="U633" s="759">
        <f>2*(M630+M631)-8*P630+2*8*R633/1000</f>
        <v>1.2755135629381285</v>
      </c>
      <c r="V633" s="757">
        <f>T633*U633*O633</f>
        <v>21.683730569948185</v>
      </c>
      <c r="W633" s="757">
        <f t="shared" si="152"/>
        <v>0</v>
      </c>
      <c r="X633" s="757">
        <f t="shared" si="152"/>
        <v>0</v>
      </c>
      <c r="Y633" s="757">
        <f t="shared" si="152"/>
        <v>21.683730569948185</v>
      </c>
      <c r="Z633" s="757">
        <f t="shared" si="152"/>
        <v>0</v>
      </c>
      <c r="AA633" s="757">
        <f t="shared" si="152"/>
        <v>0</v>
      </c>
      <c r="AB633" s="757">
        <f t="shared" si="152"/>
        <v>0</v>
      </c>
      <c r="AC633" s="757">
        <f t="shared" si="152"/>
        <v>0</v>
      </c>
      <c r="AD633" s="757">
        <f t="shared" si="152"/>
        <v>0</v>
      </c>
      <c r="AE633" s="757">
        <f t="shared" si="152"/>
        <v>0</v>
      </c>
      <c r="AF633" s="777"/>
      <c r="AI633" s="777"/>
      <c r="AL633" s="777"/>
      <c r="AM633" s="777"/>
    </row>
    <row r="634" spans="1:43" s="776" customFormat="1" ht="22.25" customHeight="1">
      <c r="A634" s="769"/>
      <c r="B634" s="770" t="s">
        <v>484</v>
      </c>
      <c r="C634" s="665"/>
      <c r="D634" s="665">
        <f>T634</f>
        <v>27</v>
      </c>
      <c r="E634" s="665">
        <f>E633</f>
        <v>1</v>
      </c>
      <c r="F634" s="751">
        <f>U634</f>
        <v>1.2755135629381285</v>
      </c>
      <c r="G634" s="779"/>
      <c r="H634" s="780"/>
      <c r="I634" s="774"/>
      <c r="J634" s="492">
        <f>IF(I634=0,1,I634)*IF(H634=0,1,H634)*IF(G634=0,1,G634)*IF(F634=0,1,F634)*IF(E634=0,1,E634)*IF(D634=0,1,D634)*IF(C634=0,1,C634)</f>
        <v>34.438866199329468</v>
      </c>
      <c r="K634" s="480"/>
      <c r="L634" s="774"/>
      <c r="M634" s="760"/>
      <c r="N634" s="781"/>
      <c r="O634" s="782">
        <f>O633</f>
        <v>1</v>
      </c>
      <c r="P634" s="781"/>
      <c r="Q634" s="756" t="s">
        <v>463</v>
      </c>
      <c r="R634" s="756">
        <v>10</v>
      </c>
      <c r="S634" s="757">
        <f>6/(12*3.281)</f>
        <v>0.15239256324291375</v>
      </c>
      <c r="T634" s="758">
        <f>(ROUND((N630-4*M631)/S634,0))+1</f>
        <v>27</v>
      </c>
      <c r="U634" s="759">
        <f>2*(M630+M631)-8*P630+2*8*R634/1000</f>
        <v>1.2755135629381285</v>
      </c>
      <c r="V634" s="757">
        <f>T634*U634*O634</f>
        <v>34.438866199329468</v>
      </c>
      <c r="W634" s="757">
        <f t="shared" si="152"/>
        <v>0</v>
      </c>
      <c r="X634" s="757">
        <f t="shared" si="152"/>
        <v>0</v>
      </c>
      <c r="Y634" s="757">
        <f t="shared" si="152"/>
        <v>34.438866199329468</v>
      </c>
      <c r="Z634" s="757">
        <f t="shared" si="152"/>
        <v>0</v>
      </c>
      <c r="AA634" s="757">
        <f t="shared" si="152"/>
        <v>0</v>
      </c>
      <c r="AB634" s="757">
        <f t="shared" si="152"/>
        <v>0</v>
      </c>
      <c r="AC634" s="757">
        <f t="shared" si="152"/>
        <v>0</v>
      </c>
      <c r="AD634" s="757">
        <f t="shared" si="152"/>
        <v>0</v>
      </c>
      <c r="AE634" s="757">
        <f t="shared" si="152"/>
        <v>0</v>
      </c>
      <c r="AF634" s="777"/>
      <c r="AI634" s="777"/>
      <c r="AL634" s="777"/>
      <c r="AM634" s="777"/>
    </row>
    <row r="635" spans="1:43" s="390" customFormat="1" ht="21.9" customHeight="1">
      <c r="A635" s="454"/>
      <c r="B635" s="659" t="s">
        <v>752</v>
      </c>
      <c r="C635" s="662"/>
      <c r="D635" s="662"/>
      <c r="E635" s="662"/>
      <c r="F635" s="498"/>
      <c r="G635" s="642"/>
      <c r="H635" s="647"/>
      <c r="I635" s="499"/>
      <c r="J635" s="455"/>
      <c r="K635" s="455"/>
      <c r="L635" s="312"/>
      <c r="M635" s="726"/>
      <c r="N635" s="726"/>
      <c r="O635" s="726"/>
      <c r="P635" s="726"/>
      <c r="Q635" s="611"/>
      <c r="R635" s="611"/>
      <c r="S635" s="624"/>
      <c r="T635" s="625"/>
      <c r="U635" s="626"/>
      <c r="V635" s="624"/>
      <c r="W635" s="624">
        <f t="shared" ref="W635:AE636" si="153">IF($R635=W$5,$V635,0)</f>
        <v>0</v>
      </c>
      <c r="X635" s="624">
        <f t="shared" si="153"/>
        <v>0</v>
      </c>
      <c r="Y635" s="624">
        <f t="shared" si="153"/>
        <v>0</v>
      </c>
      <c r="Z635" s="624">
        <f t="shared" si="153"/>
        <v>0</v>
      </c>
      <c r="AA635" s="624">
        <f t="shared" si="153"/>
        <v>0</v>
      </c>
      <c r="AB635" s="624">
        <f t="shared" si="153"/>
        <v>0</v>
      </c>
      <c r="AC635" s="624">
        <f t="shared" si="153"/>
        <v>0</v>
      </c>
      <c r="AD635" s="624">
        <f t="shared" si="153"/>
        <v>0</v>
      </c>
      <c r="AE635" s="624">
        <f t="shared" si="153"/>
        <v>0</v>
      </c>
      <c r="AF635" s="404"/>
      <c r="AG635" s="471"/>
      <c r="AH635" s="471"/>
      <c r="AI635" s="471"/>
      <c r="AJ635" s="471"/>
      <c r="AM635" s="404"/>
      <c r="AP635" s="404"/>
      <c r="AQ635" s="404"/>
    </row>
    <row r="636" spans="1:43" s="390" customFormat="1" ht="22.25" customHeight="1">
      <c r="A636" s="454"/>
      <c r="B636" s="657" t="s">
        <v>474</v>
      </c>
      <c r="C636" s="662"/>
      <c r="D636" s="662"/>
      <c r="E636" s="662">
        <v>1</v>
      </c>
      <c r="F636" s="498">
        <f>14.5-2*0.83</f>
        <v>12.84</v>
      </c>
      <c r="G636" s="642">
        <v>1</v>
      </c>
      <c r="H636" s="642">
        <v>1.17</v>
      </c>
      <c r="I636" s="499"/>
      <c r="J636" s="507"/>
      <c r="K636" s="455"/>
      <c r="L636" s="312"/>
      <c r="M636" s="722"/>
      <c r="N636" s="722"/>
      <c r="O636" s="722"/>
      <c r="P636" s="722"/>
      <c r="Q636" s="611"/>
      <c r="R636" s="611"/>
      <c r="S636" s="624"/>
      <c r="T636" s="625"/>
      <c r="U636" s="626"/>
      <c r="V636" s="624"/>
      <c r="W636" s="624">
        <f t="shared" si="153"/>
        <v>0</v>
      </c>
      <c r="X636" s="624">
        <f t="shared" si="153"/>
        <v>0</v>
      </c>
      <c r="Y636" s="624">
        <f t="shared" si="153"/>
        <v>0</v>
      </c>
      <c r="Z636" s="624">
        <f t="shared" si="153"/>
        <v>0</v>
      </c>
      <c r="AA636" s="624">
        <f t="shared" si="153"/>
        <v>0</v>
      </c>
      <c r="AB636" s="624">
        <f t="shared" si="153"/>
        <v>0</v>
      </c>
      <c r="AC636" s="624">
        <f t="shared" si="153"/>
        <v>0</v>
      </c>
      <c r="AD636" s="624">
        <f t="shared" si="153"/>
        <v>0</v>
      </c>
      <c r="AE636" s="624">
        <f t="shared" si="153"/>
        <v>0</v>
      </c>
      <c r="AF636" s="471"/>
      <c r="AG636" s="473"/>
      <c r="AH636" s="471"/>
      <c r="AI636" s="471"/>
      <c r="AJ636" s="471"/>
      <c r="AM636" s="404"/>
      <c r="AP636" s="404"/>
      <c r="AQ636" s="404"/>
    </row>
    <row r="637" spans="1:43" s="776" customFormat="1" ht="22.25" customHeight="1">
      <c r="A637" s="769"/>
      <c r="B637" s="770" t="s">
        <v>562</v>
      </c>
      <c r="C637" s="665"/>
      <c r="D637" s="665"/>
      <c r="E637" s="665"/>
      <c r="F637" s="751"/>
      <c r="G637" s="773"/>
      <c r="H637" s="778"/>
      <c r="I637" s="774"/>
      <c r="J637" s="778"/>
      <c r="K637" s="480"/>
      <c r="L637" s="774"/>
      <c r="M637" s="760"/>
      <c r="N637" s="781"/>
      <c r="O637" s="782"/>
      <c r="P637" s="781"/>
      <c r="Q637" s="756"/>
      <c r="R637" s="756"/>
      <c r="S637" s="757"/>
      <c r="T637" s="758"/>
      <c r="U637" s="759"/>
      <c r="V637" s="757"/>
      <c r="W637" s="757">
        <f t="shared" ref="W637:AE642" si="154">IF($R637=W$5,$V637,0)</f>
        <v>0</v>
      </c>
      <c r="X637" s="757">
        <f t="shared" si="154"/>
        <v>0</v>
      </c>
      <c r="Y637" s="757">
        <f t="shared" si="154"/>
        <v>0</v>
      </c>
      <c r="Z637" s="757">
        <f t="shared" si="154"/>
        <v>0</v>
      </c>
      <c r="AA637" s="757">
        <f t="shared" si="154"/>
        <v>0</v>
      </c>
      <c r="AB637" s="757">
        <f t="shared" si="154"/>
        <v>0</v>
      </c>
      <c r="AC637" s="757">
        <f t="shared" si="154"/>
        <v>0</v>
      </c>
      <c r="AD637" s="757">
        <f t="shared" si="154"/>
        <v>0</v>
      </c>
      <c r="AE637" s="757">
        <f t="shared" si="154"/>
        <v>0</v>
      </c>
      <c r="AF637" s="772" t="e">
        <f>((#REF!+#REF!/12)-(1.5/12)*2)*4+0.25*2</f>
        <v>#REF!</v>
      </c>
      <c r="AI637" s="777"/>
      <c r="AL637" s="777"/>
      <c r="AM637" s="777"/>
    </row>
    <row r="638" spans="1:43" s="776" customFormat="1" ht="22.25" customHeight="1">
      <c r="A638" s="769"/>
      <c r="B638" s="770" t="s">
        <v>483</v>
      </c>
      <c r="C638" s="665"/>
      <c r="D638" s="665">
        <v>4</v>
      </c>
      <c r="E638" s="665">
        <f>E636</f>
        <v>1</v>
      </c>
      <c r="F638" s="751">
        <f>U638</f>
        <v>4.5504419384334041</v>
      </c>
      <c r="G638" s="773"/>
      <c r="H638" s="778"/>
      <c r="I638" s="774"/>
      <c r="J638" s="492">
        <f>IF(I638=0,1,I638)*IF(H638=0,1,H638)*IF(G638=0,1,G638)*IF(F638=0,1,F638)*IF(E638=0,1,E638)*IF(D638=0,1,D638)*IF(C638=0,1,C638)</f>
        <v>18.201767753733616</v>
      </c>
      <c r="K638" s="480"/>
      <c r="L638" s="774"/>
      <c r="M638" s="760">
        <f>G636/3.281</f>
        <v>0.30478512648582745</v>
      </c>
      <c r="N638" s="781">
        <f>F636/3.281</f>
        <v>3.9134410240780246</v>
      </c>
      <c r="O638" s="768">
        <f>E638</f>
        <v>1</v>
      </c>
      <c r="P638" s="781">
        <f>(1.5/12)/3.281</f>
        <v>3.8098140810728431E-2</v>
      </c>
      <c r="Q638" s="756" t="s">
        <v>541</v>
      </c>
      <c r="R638" s="756">
        <v>16</v>
      </c>
      <c r="S638" s="757"/>
      <c r="T638" s="758">
        <f>D638</f>
        <v>4</v>
      </c>
      <c r="U638" s="759">
        <f>N638-2*P638+2*M639</f>
        <v>4.5504419384334041</v>
      </c>
      <c r="V638" s="757">
        <f>T638*U638*O638</f>
        <v>18.201767753733616</v>
      </c>
      <c r="W638" s="757">
        <f t="shared" si="154"/>
        <v>0</v>
      </c>
      <c r="X638" s="757">
        <f t="shared" si="154"/>
        <v>0</v>
      </c>
      <c r="Y638" s="757">
        <f t="shared" si="154"/>
        <v>0</v>
      </c>
      <c r="Z638" s="757">
        <f t="shared" si="154"/>
        <v>0</v>
      </c>
      <c r="AA638" s="757">
        <f t="shared" si="154"/>
        <v>18.201767753733616</v>
      </c>
      <c r="AB638" s="757">
        <f t="shared" si="154"/>
        <v>0</v>
      </c>
      <c r="AC638" s="757">
        <f t="shared" si="154"/>
        <v>0</v>
      </c>
      <c r="AD638" s="757">
        <f t="shared" si="154"/>
        <v>0</v>
      </c>
      <c r="AE638" s="757">
        <f t="shared" si="154"/>
        <v>0</v>
      </c>
      <c r="AF638" s="772" t="e">
        <f>(#REF!+#REF!/12)-0.25+0.5+0.25*2</f>
        <v>#REF!</v>
      </c>
      <c r="AI638" s="777"/>
      <c r="AL638" s="777"/>
      <c r="AM638" s="777"/>
    </row>
    <row r="639" spans="1:43" s="776" customFormat="1" ht="22.25" customHeight="1">
      <c r="A639" s="769"/>
      <c r="B639" s="770" t="s">
        <v>483</v>
      </c>
      <c r="C639" s="665"/>
      <c r="D639" s="665">
        <v>4</v>
      </c>
      <c r="E639" s="665">
        <f>E638</f>
        <v>1</v>
      </c>
      <c r="F639" s="751">
        <f>U639</f>
        <v>4.1618433404449862</v>
      </c>
      <c r="G639" s="773"/>
      <c r="H639" s="778"/>
      <c r="I639" s="774"/>
      <c r="J639" s="492">
        <f>IF(I639=0,1,I639)*IF(H639=0,1,H639)*IF(G639=0,1,G639)*IF(F639=0,1,F639)*IF(E639=0,1,E639)*IF(D639=0,1,D639)*IF(C639=0,1,C639)</f>
        <v>16.647373361779945</v>
      </c>
      <c r="K639" s="480"/>
      <c r="L639" s="774"/>
      <c r="M639" s="760">
        <f>H636/3.281</f>
        <v>0.35659859798841814</v>
      </c>
      <c r="N639" s="781"/>
      <c r="O639" s="768">
        <f>E639</f>
        <v>1</v>
      </c>
      <c r="P639" s="781">
        <f>(1.5/12)/3.281</f>
        <v>3.8098140810728431E-2</v>
      </c>
      <c r="Q639" s="756" t="s">
        <v>457</v>
      </c>
      <c r="R639" s="756">
        <v>16</v>
      </c>
      <c r="S639" s="757"/>
      <c r="T639" s="758">
        <f>D639</f>
        <v>4</v>
      </c>
      <c r="U639" s="759">
        <f>N638-2*P639-2*R639/1000+2*((M639/2))</f>
        <v>4.1618433404449862</v>
      </c>
      <c r="V639" s="757">
        <f>T639*U639*O639</f>
        <v>16.647373361779945</v>
      </c>
      <c r="W639" s="757">
        <f t="shared" si="154"/>
        <v>0</v>
      </c>
      <c r="X639" s="757">
        <f t="shared" si="154"/>
        <v>0</v>
      </c>
      <c r="Y639" s="757">
        <f t="shared" si="154"/>
        <v>0</v>
      </c>
      <c r="Z639" s="757">
        <f t="shared" si="154"/>
        <v>0</v>
      </c>
      <c r="AA639" s="757">
        <f t="shared" si="154"/>
        <v>16.647373361779945</v>
      </c>
      <c r="AB639" s="757">
        <f t="shared" si="154"/>
        <v>0</v>
      </c>
      <c r="AC639" s="757">
        <f t="shared" si="154"/>
        <v>0</v>
      </c>
      <c r="AD639" s="757">
        <f t="shared" si="154"/>
        <v>0</v>
      </c>
      <c r="AE639" s="757">
        <f t="shared" si="154"/>
        <v>0</v>
      </c>
      <c r="AF639" s="772" t="e">
        <f>(#REF!+#REF!/12)-0.25+0.5+0.25*2</f>
        <v>#REF!</v>
      </c>
      <c r="AI639" s="777"/>
      <c r="AL639" s="777"/>
      <c r="AM639" s="777"/>
    </row>
    <row r="640" spans="1:43" s="776" customFormat="1" ht="22.25" customHeight="1">
      <c r="A640" s="769"/>
      <c r="B640" s="770" t="s">
        <v>542</v>
      </c>
      <c r="C640" s="665"/>
      <c r="D640" s="665"/>
      <c r="E640" s="665"/>
      <c r="F640" s="751"/>
      <c r="G640" s="773"/>
      <c r="H640" s="778"/>
      <c r="I640" s="774"/>
      <c r="J640" s="778"/>
      <c r="K640" s="480"/>
      <c r="L640" s="774"/>
      <c r="M640" s="760"/>
      <c r="N640" s="781"/>
      <c r="O640" s="782"/>
      <c r="P640" s="781"/>
      <c r="Q640" s="756"/>
      <c r="R640" s="756"/>
      <c r="S640" s="757"/>
      <c r="T640" s="758"/>
      <c r="U640" s="759"/>
      <c r="V640" s="757"/>
      <c r="W640" s="757">
        <f t="shared" si="154"/>
        <v>0</v>
      </c>
      <c r="X640" s="757">
        <f t="shared" si="154"/>
        <v>0</v>
      </c>
      <c r="Y640" s="757">
        <f t="shared" si="154"/>
        <v>0</v>
      </c>
      <c r="Z640" s="757">
        <f t="shared" si="154"/>
        <v>0</v>
      </c>
      <c r="AA640" s="757">
        <f t="shared" si="154"/>
        <v>0</v>
      </c>
      <c r="AB640" s="757">
        <f t="shared" si="154"/>
        <v>0</v>
      </c>
      <c r="AC640" s="757">
        <f t="shared" si="154"/>
        <v>0</v>
      </c>
      <c r="AD640" s="757">
        <f t="shared" si="154"/>
        <v>0</v>
      </c>
      <c r="AE640" s="757">
        <f t="shared" si="154"/>
        <v>0</v>
      </c>
      <c r="AF640" s="772" t="e">
        <f>((#REF!+#REF!/12)-(1.5/12)*2)*4+0.25*2</f>
        <v>#REF!</v>
      </c>
      <c r="AI640" s="777"/>
      <c r="AL640" s="777"/>
      <c r="AM640" s="777"/>
    </row>
    <row r="641" spans="1:48" s="776" customFormat="1" ht="22.25" customHeight="1">
      <c r="A641" s="769"/>
      <c r="B641" s="770" t="s">
        <v>484</v>
      </c>
      <c r="C641" s="665"/>
      <c r="D641" s="665">
        <f>T641</f>
        <v>15</v>
      </c>
      <c r="E641" s="665">
        <f>E638</f>
        <v>1</v>
      </c>
      <c r="F641" s="751">
        <f>U641</f>
        <v>1.1779823224626635</v>
      </c>
      <c r="G641" s="779"/>
      <c r="H641" s="780"/>
      <c r="I641" s="774"/>
      <c r="J641" s="492">
        <f>IF(I641=0,1,I641)*IF(H641=0,1,H641)*IF(G641=0,1,G641)*IF(F641=0,1,F641)*IF(E641=0,1,E641)*IF(D641=0,1,D641)*IF(C641=0,1,C641)</f>
        <v>17.669734836939952</v>
      </c>
      <c r="K641" s="480"/>
      <c r="L641" s="774"/>
      <c r="N641" s="781"/>
      <c r="O641" s="782">
        <f>O638</f>
        <v>1</v>
      </c>
      <c r="P641" s="781"/>
      <c r="Q641" s="756" t="s">
        <v>463</v>
      </c>
      <c r="R641" s="756">
        <v>10</v>
      </c>
      <c r="S641" s="757">
        <f>4/(12*3.281)</f>
        <v>0.1015950421619425</v>
      </c>
      <c r="T641" s="758">
        <f>2*(ROUND(2*M639/S641,0))+1</f>
        <v>15</v>
      </c>
      <c r="U641" s="759">
        <f>2*(M638+M639)-8*P638+2*8*R641/1000</f>
        <v>1.1779823224626635</v>
      </c>
      <c r="V641" s="757">
        <f>T641*U641*O641</f>
        <v>17.669734836939952</v>
      </c>
      <c r="W641" s="757">
        <f t="shared" si="154"/>
        <v>0</v>
      </c>
      <c r="X641" s="757">
        <f t="shared" si="154"/>
        <v>0</v>
      </c>
      <c r="Y641" s="757">
        <f t="shared" si="154"/>
        <v>17.669734836939952</v>
      </c>
      <c r="Z641" s="757">
        <f t="shared" si="154"/>
        <v>0</v>
      </c>
      <c r="AA641" s="757">
        <f t="shared" si="154"/>
        <v>0</v>
      </c>
      <c r="AB641" s="757">
        <f t="shared" si="154"/>
        <v>0</v>
      </c>
      <c r="AC641" s="757">
        <f t="shared" si="154"/>
        <v>0</v>
      </c>
      <c r="AD641" s="757">
        <f t="shared" si="154"/>
        <v>0</v>
      </c>
      <c r="AE641" s="757">
        <f t="shared" si="154"/>
        <v>0</v>
      </c>
      <c r="AF641" s="777"/>
      <c r="AI641" s="777"/>
      <c r="AL641" s="777"/>
      <c r="AM641" s="777"/>
    </row>
    <row r="642" spans="1:48" s="776" customFormat="1" ht="22.25" customHeight="1">
      <c r="A642" s="769"/>
      <c r="B642" s="770" t="s">
        <v>484</v>
      </c>
      <c r="C642" s="665"/>
      <c r="D642" s="665">
        <f>T642</f>
        <v>17</v>
      </c>
      <c r="E642" s="665">
        <f>E641</f>
        <v>1</v>
      </c>
      <c r="F642" s="751">
        <f>U642</f>
        <v>1.1779823224626635</v>
      </c>
      <c r="G642" s="779"/>
      <c r="H642" s="780"/>
      <c r="I642" s="774"/>
      <c r="J642" s="492">
        <f>IF(I642=0,1,I642)*IF(H642=0,1,H642)*IF(G642=0,1,G642)*IF(F642=0,1,F642)*IF(E642=0,1,E642)*IF(D642=0,1,D642)*IF(C642=0,1,C642)</f>
        <v>20.025699481865281</v>
      </c>
      <c r="K642" s="480"/>
      <c r="L642" s="774"/>
      <c r="M642" s="760"/>
      <c r="N642" s="781"/>
      <c r="O642" s="782">
        <f>O641</f>
        <v>1</v>
      </c>
      <c r="P642" s="781"/>
      <c r="Q642" s="756" t="s">
        <v>463</v>
      </c>
      <c r="R642" s="756">
        <v>10</v>
      </c>
      <c r="S642" s="757">
        <f>6/(12*3.281)</f>
        <v>0.15239256324291375</v>
      </c>
      <c r="T642" s="758">
        <f>(ROUND((N638-4*M639)/S642,0))+1</f>
        <v>17</v>
      </c>
      <c r="U642" s="759">
        <f>2*(M638+M639)-8*P638+2*8*R642/1000</f>
        <v>1.1779823224626635</v>
      </c>
      <c r="V642" s="757">
        <f>T642*U642*O642</f>
        <v>20.025699481865281</v>
      </c>
      <c r="W642" s="757">
        <f t="shared" si="154"/>
        <v>0</v>
      </c>
      <c r="X642" s="757">
        <f t="shared" si="154"/>
        <v>0</v>
      </c>
      <c r="Y642" s="757">
        <f t="shared" si="154"/>
        <v>20.025699481865281</v>
      </c>
      <c r="Z642" s="757">
        <f t="shared" si="154"/>
        <v>0</v>
      </c>
      <c r="AA642" s="757">
        <f t="shared" si="154"/>
        <v>0</v>
      </c>
      <c r="AB642" s="757">
        <f t="shared" si="154"/>
        <v>0</v>
      </c>
      <c r="AC642" s="757">
        <f t="shared" si="154"/>
        <v>0</v>
      </c>
      <c r="AD642" s="757">
        <f t="shared" si="154"/>
        <v>0</v>
      </c>
      <c r="AE642" s="757">
        <f t="shared" si="154"/>
        <v>0</v>
      </c>
      <c r="AF642" s="777"/>
      <c r="AI642" s="777"/>
      <c r="AL642" s="777"/>
      <c r="AM642" s="777"/>
    </row>
    <row r="643" spans="1:48" s="885" customFormat="1" ht="24.65" customHeight="1">
      <c r="A643" s="788"/>
      <c r="B643" s="958"/>
      <c r="C643" s="940"/>
      <c r="D643" s="940"/>
      <c r="E643" s="940"/>
      <c r="F643" s="959"/>
      <c r="G643" s="960"/>
      <c r="H643" s="962"/>
      <c r="I643" s="802"/>
      <c r="J643" s="958" t="s">
        <v>483</v>
      </c>
      <c r="K643" s="963">
        <f>SUMIF($B$480:$B$643,J643,$J$480:$J$643)</f>
        <v>941.26122361068781</v>
      </c>
      <c r="L643" s="791" t="s">
        <v>46</v>
      </c>
      <c r="M643" s="964"/>
      <c r="N643" s="964"/>
      <c r="O643" s="965"/>
      <c r="P643" s="964"/>
      <c r="Q643" s="618"/>
      <c r="R643" s="618"/>
      <c r="S643" s="618"/>
      <c r="T643" s="618"/>
      <c r="U643" s="618"/>
      <c r="V643" s="624"/>
      <c r="W643" s="624">
        <f t="shared" ref="W643:AE653" si="155">IF($R643=W$5,$V643,0)</f>
        <v>0</v>
      </c>
      <c r="X643" s="624">
        <f t="shared" si="155"/>
        <v>0</v>
      </c>
      <c r="Y643" s="624">
        <f t="shared" si="155"/>
        <v>0</v>
      </c>
      <c r="Z643" s="624">
        <f t="shared" si="155"/>
        <v>0</v>
      </c>
      <c r="AA643" s="624">
        <f t="shared" si="155"/>
        <v>0</v>
      </c>
      <c r="AB643" s="624">
        <f t="shared" si="155"/>
        <v>0</v>
      </c>
      <c r="AC643" s="624">
        <f t="shared" si="155"/>
        <v>0</v>
      </c>
      <c r="AD643" s="624">
        <f t="shared" si="155"/>
        <v>0</v>
      </c>
      <c r="AE643" s="624">
        <f t="shared" si="155"/>
        <v>0</v>
      </c>
      <c r="AF643" s="944"/>
      <c r="AG643" s="966"/>
      <c r="AH643" s="966"/>
      <c r="AI643" s="966"/>
      <c r="AJ643" s="944"/>
      <c r="AK643" s="944"/>
      <c r="AN643" s="886"/>
      <c r="AQ643" s="886"/>
      <c r="AR643" s="886"/>
    </row>
    <row r="644" spans="1:48" s="390" customFormat="1" ht="24.65" customHeight="1">
      <c r="A644" s="788"/>
      <c r="B644" s="958"/>
      <c r="C644" s="940"/>
      <c r="D644" s="940"/>
      <c r="E644" s="940"/>
      <c r="F644" s="959"/>
      <c r="G644" s="960"/>
      <c r="H644" s="958"/>
      <c r="I644" s="791"/>
      <c r="J644" s="513"/>
      <c r="K644" s="963">
        <f>K643*$AA$889</f>
        <v>1487.425143483556</v>
      </c>
      <c r="L644" s="513" t="s">
        <v>172</v>
      </c>
      <c r="M644" s="722"/>
      <c r="N644" s="722"/>
      <c r="O644" s="957"/>
      <c r="P644" s="722"/>
      <c r="Q644" s="611"/>
      <c r="R644" s="611"/>
      <c r="S644" s="624"/>
      <c r="T644" s="625"/>
      <c r="U644" s="611"/>
      <c r="V644" s="624"/>
      <c r="W644" s="624">
        <f t="shared" si="155"/>
        <v>0</v>
      </c>
      <c r="X644" s="624">
        <f t="shared" si="155"/>
        <v>0</v>
      </c>
      <c r="Y644" s="624">
        <f t="shared" si="155"/>
        <v>0</v>
      </c>
      <c r="Z644" s="624">
        <f t="shared" si="155"/>
        <v>0</v>
      </c>
      <c r="AA644" s="624">
        <f t="shared" si="155"/>
        <v>0</v>
      </c>
      <c r="AB644" s="624">
        <f t="shared" si="155"/>
        <v>0</v>
      </c>
      <c r="AC644" s="624">
        <f t="shared" si="155"/>
        <v>0</v>
      </c>
      <c r="AD644" s="624">
        <f t="shared" si="155"/>
        <v>0</v>
      </c>
      <c r="AE644" s="624">
        <f t="shared" si="155"/>
        <v>0</v>
      </c>
      <c r="AF644" s="471" t="e">
        <f>1/#REF!</f>
        <v>#REF!</v>
      </c>
      <c r="AG644" s="471">
        <f>AF45*2.8</f>
        <v>0</v>
      </c>
      <c r="AH644" s="471"/>
      <c r="AI644" s="471"/>
      <c r="AJ644" s="471"/>
      <c r="AK644" s="471"/>
      <c r="AL644" s="471"/>
      <c r="AM644" s="471"/>
      <c r="AN644" s="471"/>
      <c r="AO644" s="471"/>
      <c r="AR644" s="404"/>
      <c r="AU644" s="404"/>
      <c r="AV644" s="404"/>
    </row>
    <row r="645" spans="1:48" s="885" customFormat="1" ht="24.65" customHeight="1">
      <c r="A645" s="788"/>
      <c r="B645" s="958"/>
      <c r="C645" s="940"/>
      <c r="D645" s="940"/>
      <c r="E645" s="940"/>
      <c r="F645" s="959"/>
      <c r="G645" s="960"/>
      <c r="H645" s="962"/>
      <c r="I645" s="802"/>
      <c r="J645" s="958" t="s">
        <v>545</v>
      </c>
      <c r="K645" s="963">
        <f>SUMIF($B$480:$B$643,J645,$J$480:$J$643)</f>
        <v>9.0703761048460834</v>
      </c>
      <c r="L645" s="791" t="s">
        <v>46</v>
      </c>
      <c r="M645" s="964"/>
      <c r="N645" s="964"/>
      <c r="O645" s="965"/>
      <c r="P645" s="964"/>
      <c r="Q645" s="618"/>
      <c r="R645" s="618"/>
      <c r="S645" s="618"/>
      <c r="T645" s="618"/>
      <c r="U645" s="618"/>
      <c r="V645" s="624"/>
      <c r="W645" s="624">
        <f t="shared" si="155"/>
        <v>0</v>
      </c>
      <c r="X645" s="624">
        <f t="shared" si="155"/>
        <v>0</v>
      </c>
      <c r="Y645" s="624">
        <f t="shared" si="155"/>
        <v>0</v>
      </c>
      <c r="Z645" s="624">
        <f t="shared" si="155"/>
        <v>0</v>
      </c>
      <c r="AA645" s="624">
        <f t="shared" si="155"/>
        <v>0</v>
      </c>
      <c r="AB645" s="624">
        <f t="shared" si="155"/>
        <v>0</v>
      </c>
      <c r="AC645" s="624">
        <f t="shared" si="155"/>
        <v>0</v>
      </c>
      <c r="AD645" s="624">
        <f t="shared" si="155"/>
        <v>0</v>
      </c>
      <c r="AE645" s="624">
        <f t="shared" si="155"/>
        <v>0</v>
      </c>
      <c r="AF645" s="944"/>
      <c r="AG645" s="966"/>
      <c r="AH645" s="966"/>
      <c r="AI645" s="966"/>
      <c r="AJ645" s="944"/>
      <c r="AK645" s="944"/>
      <c r="AN645" s="886"/>
      <c r="AQ645" s="886"/>
      <c r="AR645" s="886"/>
    </row>
    <row r="646" spans="1:48" s="390" customFormat="1" ht="24.65" customHeight="1">
      <c r="A646" s="788"/>
      <c r="B646" s="958"/>
      <c r="C646" s="940"/>
      <c r="D646" s="940"/>
      <c r="E646" s="940"/>
      <c r="F646" s="959"/>
      <c r="G646" s="960"/>
      <c r="H646" s="958"/>
      <c r="I646" s="791"/>
      <c r="J646" s="513"/>
      <c r="K646" s="963">
        <f>K645*$Z$889</f>
        <v>8.0625565376409618</v>
      </c>
      <c r="L646" s="513" t="s">
        <v>172</v>
      </c>
      <c r="M646" s="722"/>
      <c r="N646" s="722"/>
      <c r="O646" s="957"/>
      <c r="P646" s="722"/>
      <c r="Q646" s="611"/>
      <c r="R646" s="611"/>
      <c r="S646" s="624"/>
      <c r="T646" s="625"/>
      <c r="U646" s="611"/>
      <c r="V646" s="624"/>
      <c r="W646" s="624">
        <f t="shared" si="155"/>
        <v>0</v>
      </c>
      <c r="X646" s="624">
        <f t="shared" si="155"/>
        <v>0</v>
      </c>
      <c r="Y646" s="624">
        <f t="shared" si="155"/>
        <v>0</v>
      </c>
      <c r="Z646" s="624">
        <f t="shared" si="155"/>
        <v>0</v>
      </c>
      <c r="AA646" s="624">
        <f t="shared" si="155"/>
        <v>0</v>
      </c>
      <c r="AB646" s="624">
        <f t="shared" si="155"/>
        <v>0</v>
      </c>
      <c r="AC646" s="624">
        <f t="shared" si="155"/>
        <v>0</v>
      </c>
      <c r="AD646" s="624">
        <f t="shared" si="155"/>
        <v>0</v>
      </c>
      <c r="AE646" s="624">
        <f t="shared" si="155"/>
        <v>0</v>
      </c>
      <c r="AF646" s="471" t="e">
        <f>1/#REF!</f>
        <v>#REF!</v>
      </c>
      <c r="AG646" s="471">
        <f>AF47*2.8</f>
        <v>0</v>
      </c>
      <c r="AH646" s="471"/>
      <c r="AI646" s="471"/>
      <c r="AJ646" s="471"/>
      <c r="AK646" s="471"/>
      <c r="AL646" s="471"/>
      <c r="AM646" s="471"/>
      <c r="AN646" s="471"/>
      <c r="AO646" s="471"/>
      <c r="AR646" s="404"/>
      <c r="AU646" s="404"/>
      <c r="AV646" s="404"/>
    </row>
    <row r="647" spans="1:48" s="885" customFormat="1" ht="24.65" customHeight="1">
      <c r="A647" s="788"/>
      <c r="B647" s="958"/>
      <c r="C647" s="940"/>
      <c r="D647" s="940"/>
      <c r="E647" s="940"/>
      <c r="F647" s="959"/>
      <c r="G647" s="960"/>
      <c r="H647" s="962"/>
      <c r="I647" s="802"/>
      <c r="J647" s="958" t="s">
        <v>484</v>
      </c>
      <c r="K647" s="963">
        <f>SUMIF($B$480:$B$643,J647,$J$480:$J$643)</f>
        <v>1113.7519049070406</v>
      </c>
      <c r="L647" s="791" t="s">
        <v>46</v>
      </c>
      <c r="M647" s="964"/>
      <c r="N647" s="964"/>
      <c r="O647" s="965"/>
      <c r="P647" s="964"/>
      <c r="Q647" s="618"/>
      <c r="R647" s="618"/>
      <c r="S647" s="618"/>
      <c r="T647" s="618"/>
      <c r="U647" s="618"/>
      <c r="V647" s="624"/>
      <c r="W647" s="624">
        <f t="shared" si="155"/>
        <v>0</v>
      </c>
      <c r="X647" s="624">
        <f t="shared" si="155"/>
        <v>0</v>
      </c>
      <c r="Y647" s="624">
        <f t="shared" si="155"/>
        <v>0</v>
      </c>
      <c r="Z647" s="624">
        <f t="shared" si="155"/>
        <v>0</v>
      </c>
      <c r="AA647" s="624">
        <f t="shared" si="155"/>
        <v>0</v>
      </c>
      <c r="AB647" s="624">
        <f t="shared" si="155"/>
        <v>0</v>
      </c>
      <c r="AC647" s="624">
        <f t="shared" si="155"/>
        <v>0</v>
      </c>
      <c r="AD647" s="624">
        <f t="shared" si="155"/>
        <v>0</v>
      </c>
      <c r="AE647" s="624">
        <f t="shared" si="155"/>
        <v>0</v>
      </c>
      <c r="AF647" s="944"/>
      <c r="AG647" s="966"/>
      <c r="AH647" s="966"/>
      <c r="AI647" s="966"/>
      <c r="AJ647" s="944"/>
      <c r="AK647" s="944"/>
      <c r="AN647" s="886"/>
      <c r="AQ647" s="886"/>
      <c r="AR647" s="886"/>
    </row>
    <row r="648" spans="1:48" s="390" customFormat="1" ht="24.65" customHeight="1">
      <c r="A648" s="788"/>
      <c r="B648" s="958"/>
      <c r="C648" s="940"/>
      <c r="D648" s="940"/>
      <c r="E648" s="940"/>
      <c r="F648" s="959"/>
      <c r="G648" s="960"/>
      <c r="H648" s="958"/>
      <c r="I648" s="791"/>
      <c r="J648" s="513"/>
      <c r="K648" s="963">
        <f>K647*$Y$889</f>
        <v>687.50117586854356</v>
      </c>
      <c r="L648" s="513" t="s">
        <v>172</v>
      </c>
      <c r="M648" s="722"/>
      <c r="N648" s="722"/>
      <c r="O648" s="957"/>
      <c r="P648" s="722"/>
      <c r="Q648" s="611"/>
      <c r="R648" s="611"/>
      <c r="S648" s="624"/>
      <c r="T648" s="625"/>
      <c r="U648" s="611"/>
      <c r="V648" s="624"/>
      <c r="W648" s="624">
        <f t="shared" si="155"/>
        <v>0</v>
      </c>
      <c r="X648" s="624">
        <f t="shared" si="155"/>
        <v>0</v>
      </c>
      <c r="Y648" s="624">
        <f t="shared" si="155"/>
        <v>0</v>
      </c>
      <c r="Z648" s="624">
        <f t="shared" si="155"/>
        <v>0</v>
      </c>
      <c r="AA648" s="624">
        <f t="shared" si="155"/>
        <v>0</v>
      </c>
      <c r="AB648" s="624">
        <f t="shared" si="155"/>
        <v>0</v>
      </c>
      <c r="AC648" s="624">
        <f t="shared" si="155"/>
        <v>0</v>
      </c>
      <c r="AD648" s="624">
        <f t="shared" si="155"/>
        <v>0</v>
      </c>
      <c r="AE648" s="624">
        <f t="shared" si="155"/>
        <v>0</v>
      </c>
      <c r="AF648" s="471" t="e">
        <f>1/#REF!</f>
        <v>#REF!</v>
      </c>
      <c r="AG648" s="471">
        <f>AF47*2.8</f>
        <v>0</v>
      </c>
      <c r="AH648" s="471"/>
      <c r="AI648" s="471"/>
      <c r="AJ648" s="471"/>
      <c r="AK648" s="471"/>
      <c r="AL648" s="471"/>
      <c r="AM648" s="471"/>
      <c r="AN648" s="471"/>
      <c r="AO648" s="471"/>
      <c r="AR648" s="404"/>
      <c r="AU648" s="404"/>
      <c r="AV648" s="404"/>
    </row>
    <row r="649" spans="1:48" s="390" customFormat="1" ht="24.65" customHeight="1">
      <c r="A649" s="454"/>
      <c r="B649" s="967"/>
      <c r="C649" s="662"/>
      <c r="D649" s="662"/>
      <c r="E649" s="662"/>
      <c r="F649" s="498"/>
      <c r="G649" s="643"/>
      <c r="H649" s="643"/>
      <c r="I649" s="501"/>
      <c r="J649" s="421"/>
      <c r="K649" s="507"/>
      <c r="L649" s="432"/>
      <c r="M649" s="722"/>
      <c r="N649" s="722"/>
      <c r="O649" s="957"/>
      <c r="P649" s="722"/>
      <c r="Q649" s="618"/>
      <c r="R649" s="618"/>
      <c r="S649" s="618"/>
      <c r="T649" s="618"/>
      <c r="U649" s="618"/>
      <c r="V649" s="624"/>
      <c r="W649" s="624">
        <f t="shared" si="155"/>
        <v>0</v>
      </c>
      <c r="X649" s="624">
        <f t="shared" si="155"/>
        <v>0</v>
      </c>
      <c r="Y649" s="624">
        <f t="shared" si="155"/>
        <v>0</v>
      </c>
      <c r="Z649" s="624">
        <f t="shared" si="155"/>
        <v>0</v>
      </c>
      <c r="AA649" s="624">
        <f t="shared" si="155"/>
        <v>0</v>
      </c>
      <c r="AB649" s="624">
        <f t="shared" si="155"/>
        <v>0</v>
      </c>
      <c r="AC649" s="624">
        <f t="shared" si="155"/>
        <v>0</v>
      </c>
      <c r="AD649" s="624">
        <f t="shared" si="155"/>
        <v>0</v>
      </c>
      <c r="AE649" s="624">
        <f t="shared" si="155"/>
        <v>0</v>
      </c>
      <c r="AF649" s="471"/>
      <c r="AG649" s="473"/>
      <c r="AH649" s="471"/>
      <c r="AI649" s="471"/>
      <c r="AJ649" s="471"/>
      <c r="AM649" s="404"/>
      <c r="AP649" s="404"/>
      <c r="AQ649" s="404"/>
    </row>
    <row r="650" spans="1:48" s="476" customFormat="1" ht="21.9" customHeight="1">
      <c r="A650" s="478"/>
      <c r="B650" s="763" t="s">
        <v>560</v>
      </c>
      <c r="C650" s="665"/>
      <c r="D650" s="665"/>
      <c r="E650" s="665"/>
      <c r="F650" s="751"/>
      <c r="G650" s="752"/>
      <c r="H650" s="651"/>
      <c r="I650" s="485"/>
      <c r="J650" s="479"/>
      <c r="K650" s="479"/>
      <c r="L650" s="483"/>
      <c r="M650" s="764"/>
      <c r="N650" s="764"/>
      <c r="O650" s="764"/>
      <c r="P650" s="764"/>
      <c r="Q650" s="756"/>
      <c r="R650" s="756"/>
      <c r="S650" s="757"/>
      <c r="T650" s="758"/>
      <c r="U650" s="759"/>
      <c r="V650" s="757"/>
      <c r="W650" s="757">
        <f t="shared" si="155"/>
        <v>0</v>
      </c>
      <c r="X650" s="757">
        <f t="shared" si="155"/>
        <v>0</v>
      </c>
      <c r="Y650" s="757">
        <f t="shared" si="155"/>
        <v>0</v>
      </c>
      <c r="Z650" s="757">
        <f t="shared" si="155"/>
        <v>0</v>
      </c>
      <c r="AA650" s="757">
        <f t="shared" si="155"/>
        <v>0</v>
      </c>
      <c r="AB650" s="757">
        <f t="shared" si="155"/>
        <v>0</v>
      </c>
      <c r="AC650" s="757">
        <f t="shared" si="155"/>
        <v>0</v>
      </c>
      <c r="AD650" s="757">
        <f t="shared" si="155"/>
        <v>0</v>
      </c>
      <c r="AE650" s="757">
        <f t="shared" si="155"/>
        <v>0</v>
      </c>
      <c r="AF650" s="477"/>
      <c r="AG650" s="475"/>
      <c r="AH650" s="475"/>
      <c r="AI650" s="475"/>
      <c r="AJ650" s="475"/>
      <c r="AM650" s="477"/>
      <c r="AP650" s="477"/>
      <c r="AQ650" s="477"/>
    </row>
    <row r="651" spans="1:48" s="476" customFormat="1" ht="21.9" customHeight="1">
      <c r="A651" s="478"/>
      <c r="B651" s="763" t="s">
        <v>753</v>
      </c>
      <c r="C651" s="665"/>
      <c r="D651" s="665"/>
      <c r="E651" s="665"/>
      <c r="F651" s="751"/>
      <c r="G651" s="752"/>
      <c r="H651" s="651"/>
      <c r="I651" s="485"/>
      <c r="J651" s="479"/>
      <c r="K651" s="479"/>
      <c r="L651" s="483"/>
      <c r="M651" s="764"/>
      <c r="N651" s="764"/>
      <c r="O651" s="764"/>
      <c r="P651" s="764"/>
      <c r="Q651" s="756"/>
      <c r="R651" s="756"/>
      <c r="S651" s="757"/>
      <c r="T651" s="758"/>
      <c r="U651" s="759"/>
      <c r="V651" s="757"/>
      <c r="W651" s="757">
        <f t="shared" si="155"/>
        <v>0</v>
      </c>
      <c r="X651" s="757">
        <f t="shared" si="155"/>
        <v>0</v>
      </c>
      <c r="Y651" s="757">
        <f t="shared" si="155"/>
        <v>0</v>
      </c>
      <c r="Z651" s="757">
        <f t="shared" si="155"/>
        <v>0</v>
      </c>
      <c r="AA651" s="757">
        <f t="shared" si="155"/>
        <v>0</v>
      </c>
      <c r="AB651" s="757">
        <f t="shared" si="155"/>
        <v>0</v>
      </c>
      <c r="AC651" s="757">
        <f t="shared" si="155"/>
        <v>0</v>
      </c>
      <c r="AD651" s="757">
        <f t="shared" si="155"/>
        <v>0</v>
      </c>
      <c r="AE651" s="757">
        <f t="shared" si="155"/>
        <v>0</v>
      </c>
      <c r="AF651" s="477"/>
      <c r="AG651" s="475"/>
      <c r="AH651" s="475"/>
      <c r="AI651" s="475"/>
      <c r="AJ651" s="475"/>
      <c r="AM651" s="477"/>
      <c r="AP651" s="477"/>
      <c r="AQ651" s="477"/>
    </row>
    <row r="652" spans="1:48" s="476" customFormat="1" ht="21.9" customHeight="1">
      <c r="A652" s="478"/>
      <c r="B652" s="763" t="s">
        <v>754</v>
      </c>
      <c r="C652" s="665"/>
      <c r="D652" s="665"/>
      <c r="E652" s="665"/>
      <c r="F652" s="751"/>
      <c r="G652" s="752"/>
      <c r="H652" s="914"/>
      <c r="I652" s="753"/>
      <c r="J652" s="479"/>
      <c r="K652" s="479"/>
      <c r="L652" s="483"/>
      <c r="M652" s="764"/>
      <c r="N652" s="764"/>
      <c r="O652" s="764"/>
      <c r="P652" s="764"/>
      <c r="Q652" s="756"/>
      <c r="R652" s="756"/>
      <c r="S652" s="757"/>
      <c r="T652" s="758"/>
      <c r="U652" s="759"/>
      <c r="V652" s="757"/>
      <c r="W652" s="757">
        <f t="shared" si="155"/>
        <v>0</v>
      </c>
      <c r="X652" s="757">
        <f t="shared" si="155"/>
        <v>0</v>
      </c>
      <c r="Y652" s="757">
        <f t="shared" si="155"/>
        <v>0</v>
      </c>
      <c r="Z652" s="757">
        <f t="shared" si="155"/>
        <v>0</v>
      </c>
      <c r="AA652" s="757">
        <f t="shared" si="155"/>
        <v>0</v>
      </c>
      <c r="AB652" s="757">
        <f t="shared" si="155"/>
        <v>0</v>
      </c>
      <c r="AC652" s="757">
        <f t="shared" si="155"/>
        <v>0</v>
      </c>
      <c r="AD652" s="757">
        <f t="shared" si="155"/>
        <v>0</v>
      </c>
      <c r="AE652" s="757">
        <f t="shared" si="155"/>
        <v>0</v>
      </c>
      <c r="AF652" s="477"/>
      <c r="AG652" s="475"/>
      <c r="AH652" s="475"/>
      <c r="AI652" s="475"/>
      <c r="AJ652" s="475"/>
      <c r="AM652" s="477"/>
      <c r="AP652" s="477"/>
      <c r="AQ652" s="477"/>
    </row>
    <row r="653" spans="1:48" s="476" customFormat="1" ht="22.25" customHeight="1">
      <c r="A653" s="478"/>
      <c r="B653" s="657" t="s">
        <v>755</v>
      </c>
      <c r="C653" s="662"/>
      <c r="D653" s="662"/>
      <c r="E653" s="662">
        <v>2</v>
      </c>
      <c r="F653" s="498">
        <f>9.5</f>
        <v>9.5</v>
      </c>
      <c r="G653" s="642">
        <v>0.83</v>
      </c>
      <c r="H653" s="642">
        <v>0.83</v>
      </c>
      <c r="I653" s="753"/>
      <c r="J653" s="492"/>
      <c r="K653" s="479"/>
      <c r="L653" s="483"/>
      <c r="M653" s="754"/>
      <c r="N653" s="754"/>
      <c r="O653" s="754"/>
      <c r="P653" s="754"/>
      <c r="Q653" s="756"/>
      <c r="R653" s="756"/>
      <c r="S653" s="756"/>
      <c r="T653" s="756"/>
      <c r="U653" s="756"/>
      <c r="V653" s="757"/>
      <c r="W653" s="757">
        <f t="shared" si="155"/>
        <v>0</v>
      </c>
      <c r="X653" s="757">
        <f t="shared" si="155"/>
        <v>0</v>
      </c>
      <c r="Y653" s="757">
        <f t="shared" si="155"/>
        <v>0</v>
      </c>
      <c r="Z653" s="757">
        <f t="shared" si="155"/>
        <v>0</v>
      </c>
      <c r="AA653" s="757">
        <f t="shared" si="155"/>
        <v>0</v>
      </c>
      <c r="AB653" s="757">
        <f t="shared" si="155"/>
        <v>0</v>
      </c>
      <c r="AC653" s="757">
        <f t="shared" si="155"/>
        <v>0</v>
      </c>
      <c r="AD653" s="757">
        <f t="shared" si="155"/>
        <v>0</v>
      </c>
      <c r="AE653" s="757">
        <f t="shared" si="155"/>
        <v>0</v>
      </c>
      <c r="AF653" s="475">
        <f>14*0.75*1*2</f>
        <v>21</v>
      </c>
      <c r="AG653" s="762"/>
      <c r="AH653" s="475"/>
      <c r="AI653" s="475"/>
      <c r="AJ653" s="475"/>
      <c r="AM653" s="477"/>
      <c r="AP653" s="477"/>
      <c r="AQ653" s="477"/>
    </row>
    <row r="654" spans="1:48" s="776" customFormat="1" ht="22.25" customHeight="1">
      <c r="A654" s="769"/>
      <c r="B654" s="770" t="s">
        <v>543</v>
      </c>
      <c r="C654" s="665"/>
      <c r="D654" s="665"/>
      <c r="E654" s="665"/>
      <c r="F654" s="751"/>
      <c r="G654" s="773"/>
      <c r="H654" s="778"/>
      <c r="I654" s="774"/>
      <c r="J654" s="778"/>
      <c r="K654" s="480"/>
      <c r="L654" s="774"/>
      <c r="M654" s="760"/>
      <c r="N654" s="781"/>
      <c r="O654" s="782"/>
      <c r="P654" s="781"/>
      <c r="Q654" s="756"/>
      <c r="R654" s="756"/>
      <c r="S654" s="757"/>
      <c r="T654" s="758"/>
      <c r="U654" s="759"/>
      <c r="V654" s="757"/>
      <c r="W654" s="757">
        <f t="shared" ref="W654:AE663" si="156">IF($R654=W$5,$V654,0)</f>
        <v>0</v>
      </c>
      <c r="X654" s="757">
        <f t="shared" si="156"/>
        <v>0</v>
      </c>
      <c r="Y654" s="757">
        <f t="shared" si="156"/>
        <v>0</v>
      </c>
      <c r="Z654" s="757">
        <f t="shared" si="156"/>
        <v>0</v>
      </c>
      <c r="AA654" s="757">
        <f t="shared" si="156"/>
        <v>0</v>
      </c>
      <c r="AB654" s="757">
        <f t="shared" si="156"/>
        <v>0</v>
      </c>
      <c r="AC654" s="757">
        <f t="shared" si="156"/>
        <v>0</v>
      </c>
      <c r="AD654" s="757">
        <f t="shared" si="156"/>
        <v>0</v>
      </c>
      <c r="AE654" s="757">
        <f t="shared" si="156"/>
        <v>0</v>
      </c>
      <c r="AF654" s="772" t="e">
        <f>((#REF!+#REF!/12)-(1.5/12)*2)*4+0.25*2</f>
        <v>#REF!</v>
      </c>
      <c r="AI654" s="777"/>
      <c r="AL654" s="777"/>
      <c r="AM654" s="777"/>
    </row>
    <row r="655" spans="1:48" s="776" customFormat="1" ht="22.25" customHeight="1">
      <c r="A655" s="769"/>
      <c r="B655" s="770" t="s">
        <v>483</v>
      </c>
      <c r="C655" s="665"/>
      <c r="D655" s="665">
        <v>3</v>
      </c>
      <c r="E655" s="665">
        <f>E653</f>
        <v>2</v>
      </c>
      <c r="F655" s="751">
        <f>U655</f>
        <v>3.3252057299603779</v>
      </c>
      <c r="G655" s="773"/>
      <c r="H655" s="778"/>
      <c r="I655" s="774"/>
      <c r="J655" s="492">
        <f>IF(I655=0,1,I655)*IF(H655=0,1,H655)*IF(G655=0,1,G655)*IF(F655=0,1,F655)*IF(E655=0,1,E655)*IF(D655=0,1,D655)*IF(C655=0,1,C655)</f>
        <v>19.951234379762269</v>
      </c>
      <c r="K655" s="480"/>
      <c r="L655" s="774"/>
      <c r="M655" s="760">
        <f>G653/3.281</f>
        <v>0.25297165498323682</v>
      </c>
      <c r="N655" s="781">
        <f>F653/3.281</f>
        <v>2.895458701615361</v>
      </c>
      <c r="O655" s="768">
        <f>E655</f>
        <v>2</v>
      </c>
      <c r="P655" s="781">
        <f>(1.5/12)/3.281</f>
        <v>3.8098140810728431E-2</v>
      </c>
      <c r="Q655" s="756" t="s">
        <v>541</v>
      </c>
      <c r="R655" s="756">
        <v>16</v>
      </c>
      <c r="S655" s="757"/>
      <c r="T655" s="758">
        <f>D655</f>
        <v>3</v>
      </c>
      <c r="U655" s="759">
        <f>N655-2*P655+2*M656</f>
        <v>3.3252057299603779</v>
      </c>
      <c r="V655" s="757">
        <f>T655*U655*O655</f>
        <v>19.951234379762269</v>
      </c>
      <c r="W655" s="757">
        <f t="shared" si="156"/>
        <v>0</v>
      </c>
      <c r="X655" s="757">
        <f t="shared" si="156"/>
        <v>0</v>
      </c>
      <c r="Y655" s="757">
        <f t="shared" si="156"/>
        <v>0</v>
      </c>
      <c r="Z655" s="757">
        <f t="shared" si="156"/>
        <v>0</v>
      </c>
      <c r="AA655" s="757">
        <f t="shared" si="156"/>
        <v>19.951234379762269</v>
      </c>
      <c r="AB655" s="757">
        <f t="shared" si="156"/>
        <v>0</v>
      </c>
      <c r="AC655" s="757">
        <f t="shared" si="156"/>
        <v>0</v>
      </c>
      <c r="AD655" s="757">
        <f t="shared" si="156"/>
        <v>0</v>
      </c>
      <c r="AE655" s="757">
        <f t="shared" si="156"/>
        <v>0</v>
      </c>
      <c r="AF655" s="772" t="e">
        <f>(#REF!+#REF!/12)-0.25+0.5+0.25*2</f>
        <v>#REF!</v>
      </c>
      <c r="AI655" s="777"/>
      <c r="AL655" s="777"/>
      <c r="AM655" s="777"/>
    </row>
    <row r="656" spans="1:48" s="776" customFormat="1" ht="22.25" customHeight="1">
      <c r="A656" s="769"/>
      <c r="B656" s="770" t="s">
        <v>483</v>
      </c>
      <c r="C656" s="665"/>
      <c r="D656" s="665">
        <v>3</v>
      </c>
      <c r="E656" s="665">
        <f>E655</f>
        <v>2</v>
      </c>
      <c r="F656" s="751">
        <f>U656</f>
        <v>3.0402340749771408</v>
      </c>
      <c r="G656" s="773"/>
      <c r="H656" s="778"/>
      <c r="I656" s="774"/>
      <c r="J656" s="492">
        <f>IF(I656=0,1,I656)*IF(H656=0,1,H656)*IF(G656=0,1,G656)*IF(F656=0,1,F656)*IF(E656=0,1,E656)*IF(D656=0,1,D656)*IF(C656=0,1,C656)</f>
        <v>18.241404449862845</v>
      </c>
      <c r="K656" s="480"/>
      <c r="L656" s="774"/>
      <c r="M656" s="760">
        <f>H653/3.281</f>
        <v>0.25297165498323682</v>
      </c>
      <c r="N656" s="781"/>
      <c r="O656" s="768">
        <f>E656</f>
        <v>2</v>
      </c>
      <c r="P656" s="781">
        <f>(1.5/12)/3.281</f>
        <v>3.8098140810728431E-2</v>
      </c>
      <c r="Q656" s="756" t="s">
        <v>457</v>
      </c>
      <c r="R656" s="756">
        <v>16</v>
      </c>
      <c r="S656" s="757"/>
      <c r="T656" s="758">
        <f>D656</f>
        <v>3</v>
      </c>
      <c r="U656" s="759">
        <f>N655-2*P656-2*R656/1000+2*((M656/2))</f>
        <v>3.0402340749771408</v>
      </c>
      <c r="V656" s="757">
        <f>T656*U656*O656</f>
        <v>18.241404449862845</v>
      </c>
      <c r="W656" s="757">
        <f t="shared" si="156"/>
        <v>0</v>
      </c>
      <c r="X656" s="757">
        <f t="shared" si="156"/>
        <v>0</v>
      </c>
      <c r="Y656" s="757">
        <f t="shared" si="156"/>
        <v>0</v>
      </c>
      <c r="Z656" s="757">
        <f t="shared" si="156"/>
        <v>0</v>
      </c>
      <c r="AA656" s="757">
        <f t="shared" si="156"/>
        <v>18.241404449862845</v>
      </c>
      <c r="AB656" s="757">
        <f t="shared" si="156"/>
        <v>0</v>
      </c>
      <c r="AC656" s="757">
        <f t="shared" si="156"/>
        <v>0</v>
      </c>
      <c r="AD656" s="757">
        <f t="shared" si="156"/>
        <v>0</v>
      </c>
      <c r="AE656" s="757">
        <f t="shared" si="156"/>
        <v>0</v>
      </c>
      <c r="AF656" s="772" t="e">
        <f>(#REF!+#REF!/12)-0.25+0.5+0.25*2</f>
        <v>#REF!</v>
      </c>
      <c r="AI656" s="777"/>
      <c r="AL656" s="777"/>
      <c r="AM656" s="777"/>
    </row>
    <row r="657" spans="1:43" s="776" customFormat="1" ht="22.25" customHeight="1">
      <c r="A657" s="769"/>
      <c r="B657" s="770" t="s">
        <v>542</v>
      </c>
      <c r="C657" s="665"/>
      <c r="D657" s="665"/>
      <c r="E657" s="665"/>
      <c r="F657" s="751"/>
      <c r="G657" s="773"/>
      <c r="H657" s="778"/>
      <c r="I657" s="774"/>
      <c r="J657" s="778"/>
      <c r="K657" s="480"/>
      <c r="L657" s="774"/>
      <c r="M657" s="760"/>
      <c r="N657" s="781"/>
      <c r="O657" s="782"/>
      <c r="P657" s="781"/>
      <c r="Q657" s="756"/>
      <c r="R657" s="756"/>
      <c r="S657" s="757"/>
      <c r="T657" s="758"/>
      <c r="U657" s="759"/>
      <c r="V657" s="757"/>
      <c r="W657" s="757">
        <f t="shared" si="156"/>
        <v>0</v>
      </c>
      <c r="X657" s="757">
        <f t="shared" si="156"/>
        <v>0</v>
      </c>
      <c r="Y657" s="757">
        <f t="shared" si="156"/>
        <v>0</v>
      </c>
      <c r="Z657" s="757">
        <f t="shared" si="156"/>
        <v>0</v>
      </c>
      <c r="AA657" s="757">
        <f t="shared" si="156"/>
        <v>0</v>
      </c>
      <c r="AB657" s="757">
        <f t="shared" si="156"/>
        <v>0</v>
      </c>
      <c r="AC657" s="757">
        <f t="shared" si="156"/>
        <v>0</v>
      </c>
      <c r="AD657" s="757">
        <f t="shared" si="156"/>
        <v>0</v>
      </c>
      <c r="AE657" s="757">
        <f t="shared" si="156"/>
        <v>0</v>
      </c>
      <c r="AF657" s="772" t="e">
        <f>((#REF!+#REF!/12)-(1.5/12)*2)*4+0.25*2</f>
        <v>#REF!</v>
      </c>
      <c r="AI657" s="777"/>
      <c r="AL657" s="777"/>
      <c r="AM657" s="777"/>
    </row>
    <row r="658" spans="1:43" s="776" customFormat="1" ht="22.25" customHeight="1">
      <c r="A658" s="769"/>
      <c r="B658" s="770" t="s">
        <v>484</v>
      </c>
      <c r="C658" s="665"/>
      <c r="D658" s="665">
        <f>T658</f>
        <v>11</v>
      </c>
      <c r="E658" s="665">
        <f>E655</f>
        <v>2</v>
      </c>
      <c r="F658" s="751">
        <f>U658</f>
        <v>0.86710149344711984</v>
      </c>
      <c r="G658" s="779"/>
      <c r="H658" s="780"/>
      <c r="I658" s="774"/>
      <c r="J658" s="492">
        <f>IF(I658=0,1,I658)*IF(H658=0,1,H658)*IF(G658=0,1,G658)*IF(F658=0,1,F658)*IF(E658=0,1,E658)*IF(D658=0,1,D658)*IF(C658=0,1,C658)</f>
        <v>19.076232855836636</v>
      </c>
      <c r="K658" s="480"/>
      <c r="L658" s="774"/>
      <c r="N658" s="781"/>
      <c r="O658" s="782">
        <f>O655</f>
        <v>2</v>
      </c>
      <c r="P658" s="781"/>
      <c r="Q658" s="756" t="s">
        <v>463</v>
      </c>
      <c r="R658" s="756">
        <v>10</v>
      </c>
      <c r="S658" s="757">
        <f>4/(12*3.281)</f>
        <v>0.1015950421619425</v>
      </c>
      <c r="T658" s="758">
        <f>2*(ROUND(2*M656/S658,0))+1</f>
        <v>11</v>
      </c>
      <c r="U658" s="759">
        <f>2*(M655+M656)-8*P655+2*8*R658/1000</f>
        <v>0.86710149344711984</v>
      </c>
      <c r="V658" s="757">
        <f>T658*U658*O658</f>
        <v>19.076232855836636</v>
      </c>
      <c r="W658" s="757">
        <f t="shared" si="156"/>
        <v>0</v>
      </c>
      <c r="X658" s="757">
        <f t="shared" si="156"/>
        <v>0</v>
      </c>
      <c r="Y658" s="757">
        <f t="shared" si="156"/>
        <v>19.076232855836636</v>
      </c>
      <c r="Z658" s="757">
        <f t="shared" si="156"/>
        <v>0</v>
      </c>
      <c r="AA658" s="757">
        <f t="shared" si="156"/>
        <v>0</v>
      </c>
      <c r="AB658" s="757">
        <f t="shared" si="156"/>
        <v>0</v>
      </c>
      <c r="AC658" s="757">
        <f t="shared" si="156"/>
        <v>0</v>
      </c>
      <c r="AD658" s="757">
        <f t="shared" si="156"/>
        <v>0</v>
      </c>
      <c r="AE658" s="757">
        <f t="shared" si="156"/>
        <v>0</v>
      </c>
      <c r="AF658" s="777"/>
      <c r="AI658" s="777"/>
      <c r="AL658" s="777"/>
      <c r="AM658" s="777"/>
    </row>
    <row r="659" spans="1:43" s="776" customFormat="1" ht="22.25" customHeight="1">
      <c r="A659" s="769"/>
      <c r="B659" s="770" t="s">
        <v>484</v>
      </c>
      <c r="C659" s="665"/>
      <c r="D659" s="665">
        <f>T659</f>
        <v>13</v>
      </c>
      <c r="E659" s="665">
        <f>E658</f>
        <v>2</v>
      </c>
      <c r="F659" s="751">
        <f>U659</f>
        <v>0.86710149344711984</v>
      </c>
      <c r="G659" s="779"/>
      <c r="H659" s="780"/>
      <c r="I659" s="774"/>
      <c r="J659" s="492">
        <f>IF(I659=0,1,I659)*IF(H659=0,1,H659)*IF(G659=0,1,G659)*IF(F659=0,1,F659)*IF(E659=0,1,E659)*IF(D659=0,1,D659)*IF(C659=0,1,C659)</f>
        <v>22.544638829625114</v>
      </c>
      <c r="K659" s="480"/>
      <c r="L659" s="774"/>
      <c r="M659" s="760"/>
      <c r="N659" s="781"/>
      <c r="O659" s="782">
        <f>O658</f>
        <v>2</v>
      </c>
      <c r="P659" s="781"/>
      <c r="Q659" s="756" t="s">
        <v>463</v>
      </c>
      <c r="R659" s="756">
        <v>10</v>
      </c>
      <c r="S659" s="757">
        <f>6/(12*3.281)</f>
        <v>0.15239256324291375</v>
      </c>
      <c r="T659" s="758">
        <f>(ROUND((N655-4*M656)/S659,0))+1</f>
        <v>13</v>
      </c>
      <c r="U659" s="759">
        <f>2*(M655+M656)-8*P655+2*8*R659/1000</f>
        <v>0.86710149344711984</v>
      </c>
      <c r="V659" s="757">
        <f>T659*U659*O659</f>
        <v>22.544638829625114</v>
      </c>
      <c r="W659" s="757">
        <f t="shared" si="156"/>
        <v>0</v>
      </c>
      <c r="X659" s="757">
        <f t="shared" si="156"/>
        <v>0</v>
      </c>
      <c r="Y659" s="757">
        <f t="shared" si="156"/>
        <v>22.544638829625114</v>
      </c>
      <c r="Z659" s="757">
        <f t="shared" si="156"/>
        <v>0</v>
      </c>
      <c r="AA659" s="757">
        <f t="shared" si="156"/>
        <v>0</v>
      </c>
      <c r="AB659" s="757">
        <f t="shared" si="156"/>
        <v>0</v>
      </c>
      <c r="AC659" s="757">
        <f t="shared" si="156"/>
        <v>0</v>
      </c>
      <c r="AD659" s="757">
        <f t="shared" si="156"/>
        <v>0</v>
      </c>
      <c r="AE659" s="757">
        <f t="shared" si="156"/>
        <v>0</v>
      </c>
      <c r="AF659" s="777"/>
      <c r="AI659" s="777"/>
      <c r="AL659" s="777"/>
      <c r="AM659" s="777"/>
    </row>
    <row r="660" spans="1:43" s="390" customFormat="1" ht="22.25" customHeight="1">
      <c r="A660" s="454"/>
      <c r="B660" s="657" t="s">
        <v>756</v>
      </c>
      <c r="C660" s="662"/>
      <c r="D660" s="662"/>
      <c r="E660" s="662">
        <v>2</v>
      </c>
      <c r="F660" s="498">
        <f>5+0.83</f>
        <v>5.83</v>
      </c>
      <c r="G660" s="642">
        <f>G653</f>
        <v>0.83</v>
      </c>
      <c r="H660" s="642">
        <f>H653</f>
        <v>0.83</v>
      </c>
      <c r="I660" s="499"/>
      <c r="J660" s="507"/>
      <c r="K660" s="455"/>
      <c r="L660" s="312"/>
      <c r="M660" s="722"/>
      <c r="N660" s="722"/>
      <c r="O660" s="722"/>
      <c r="P660" s="722"/>
      <c r="Q660" s="611"/>
      <c r="R660" s="611"/>
      <c r="S660" s="624"/>
      <c r="T660" s="625"/>
      <c r="U660" s="626"/>
      <c r="V660" s="624"/>
      <c r="W660" s="624">
        <f t="shared" si="156"/>
        <v>0</v>
      </c>
      <c r="X660" s="624">
        <f t="shared" si="156"/>
        <v>0</v>
      </c>
      <c r="Y660" s="624">
        <f t="shared" si="156"/>
        <v>0</v>
      </c>
      <c r="Z660" s="624">
        <f t="shared" si="156"/>
        <v>0</v>
      </c>
      <c r="AA660" s="624">
        <f t="shared" si="156"/>
        <v>0</v>
      </c>
      <c r="AB660" s="624">
        <f t="shared" si="156"/>
        <v>0</v>
      </c>
      <c r="AC660" s="624">
        <f t="shared" si="156"/>
        <v>0</v>
      </c>
      <c r="AD660" s="624">
        <f t="shared" si="156"/>
        <v>0</v>
      </c>
      <c r="AE660" s="624">
        <f t="shared" si="156"/>
        <v>0</v>
      </c>
      <c r="AF660" s="471"/>
      <c r="AG660" s="473"/>
      <c r="AH660" s="471"/>
      <c r="AI660" s="471"/>
      <c r="AJ660" s="471"/>
      <c r="AM660" s="404"/>
      <c r="AP660" s="404"/>
      <c r="AQ660" s="404"/>
    </row>
    <row r="661" spans="1:43" s="776" customFormat="1" ht="22.25" customHeight="1">
      <c r="A661" s="769"/>
      <c r="B661" s="770" t="s">
        <v>543</v>
      </c>
      <c r="C661" s="665"/>
      <c r="D661" s="665"/>
      <c r="E661" s="665"/>
      <c r="F661" s="751"/>
      <c r="G661" s="773"/>
      <c r="H661" s="778"/>
      <c r="I661" s="774"/>
      <c r="J661" s="778"/>
      <c r="K661" s="480"/>
      <c r="L661" s="774"/>
      <c r="M661" s="760"/>
      <c r="N661" s="781"/>
      <c r="O661" s="782"/>
      <c r="P661" s="781"/>
      <c r="Q661" s="756"/>
      <c r="R661" s="756"/>
      <c r="S661" s="757"/>
      <c r="T661" s="758"/>
      <c r="U661" s="759"/>
      <c r="V661" s="757"/>
      <c r="W661" s="757">
        <f t="shared" si="156"/>
        <v>0</v>
      </c>
      <c r="X661" s="757">
        <f t="shared" si="156"/>
        <v>0</v>
      </c>
      <c r="Y661" s="757">
        <f t="shared" si="156"/>
        <v>0</v>
      </c>
      <c r="Z661" s="757">
        <f t="shared" si="156"/>
        <v>0</v>
      </c>
      <c r="AA661" s="757">
        <f t="shared" si="156"/>
        <v>0</v>
      </c>
      <c r="AB661" s="757">
        <f t="shared" si="156"/>
        <v>0</v>
      </c>
      <c r="AC661" s="757">
        <f t="shared" si="156"/>
        <v>0</v>
      </c>
      <c r="AD661" s="757">
        <f t="shared" si="156"/>
        <v>0</v>
      </c>
      <c r="AE661" s="757">
        <f t="shared" si="156"/>
        <v>0</v>
      </c>
      <c r="AF661" s="772" t="e">
        <f>((#REF!+#REF!/12)-(1.5/12)*2)*4+0.25*2</f>
        <v>#REF!</v>
      </c>
      <c r="AI661" s="777"/>
      <c r="AL661" s="777"/>
      <c r="AM661" s="777"/>
    </row>
    <row r="662" spans="1:43" s="776" customFormat="1" ht="22.25" customHeight="1">
      <c r="A662" s="769"/>
      <c r="B662" s="770" t="s">
        <v>483</v>
      </c>
      <c r="C662" s="665"/>
      <c r="D662" s="665">
        <v>3</v>
      </c>
      <c r="E662" s="665">
        <f>E660</f>
        <v>2</v>
      </c>
      <c r="F662" s="751">
        <f>U662</f>
        <v>2.2066443157573912</v>
      </c>
      <c r="G662" s="773"/>
      <c r="H662" s="778"/>
      <c r="I662" s="774"/>
      <c r="J662" s="492">
        <f>IF(I662=0,1,I662)*IF(H662=0,1,H662)*IF(G662=0,1,G662)*IF(F662=0,1,F662)*IF(E662=0,1,E662)*IF(D662=0,1,D662)*IF(C662=0,1,C662)</f>
        <v>13.239865894544348</v>
      </c>
      <c r="K662" s="480"/>
      <c r="L662" s="774"/>
      <c r="M662" s="760">
        <f>G660/3.281</f>
        <v>0.25297165498323682</v>
      </c>
      <c r="N662" s="781">
        <f>F660/3.281</f>
        <v>1.7768972874123743</v>
      </c>
      <c r="O662" s="768">
        <f>E662</f>
        <v>2</v>
      </c>
      <c r="P662" s="781">
        <f>(1.5/12)/3.281</f>
        <v>3.8098140810728431E-2</v>
      </c>
      <c r="Q662" s="756" t="s">
        <v>541</v>
      </c>
      <c r="R662" s="756">
        <v>16</v>
      </c>
      <c r="S662" s="757"/>
      <c r="T662" s="758">
        <f>D662</f>
        <v>3</v>
      </c>
      <c r="U662" s="759">
        <f>N662-2*P662+2*M663</f>
        <v>2.2066443157573912</v>
      </c>
      <c r="V662" s="757">
        <f>T662*U662*O662</f>
        <v>13.239865894544348</v>
      </c>
      <c r="W662" s="757">
        <f t="shared" si="156"/>
        <v>0</v>
      </c>
      <c r="X662" s="757">
        <f t="shared" si="156"/>
        <v>0</v>
      </c>
      <c r="Y662" s="757">
        <f t="shared" si="156"/>
        <v>0</v>
      </c>
      <c r="Z662" s="757">
        <f t="shared" si="156"/>
        <v>0</v>
      </c>
      <c r="AA662" s="757">
        <f t="shared" si="156"/>
        <v>13.239865894544348</v>
      </c>
      <c r="AB662" s="757">
        <f t="shared" si="156"/>
        <v>0</v>
      </c>
      <c r="AC662" s="757">
        <f t="shared" si="156"/>
        <v>0</v>
      </c>
      <c r="AD662" s="757">
        <f t="shared" si="156"/>
        <v>0</v>
      </c>
      <c r="AE662" s="757">
        <f t="shared" si="156"/>
        <v>0</v>
      </c>
      <c r="AF662" s="772" t="e">
        <f>(#REF!+#REF!/12)-0.25+0.5+0.25*2</f>
        <v>#REF!</v>
      </c>
      <c r="AI662" s="777"/>
      <c r="AL662" s="777"/>
      <c r="AM662" s="777"/>
    </row>
    <row r="663" spans="1:43" s="776" customFormat="1" ht="22.25" customHeight="1">
      <c r="A663" s="769"/>
      <c r="B663" s="770" t="s">
        <v>483</v>
      </c>
      <c r="C663" s="665"/>
      <c r="D663" s="665">
        <v>3</v>
      </c>
      <c r="E663" s="665">
        <f>E662</f>
        <v>2</v>
      </c>
      <c r="F663" s="751">
        <f>U663</f>
        <v>1.9216726607741543</v>
      </c>
      <c r="G663" s="773"/>
      <c r="H663" s="778"/>
      <c r="I663" s="774"/>
      <c r="J663" s="492">
        <f>IF(I663=0,1,I663)*IF(H663=0,1,H663)*IF(G663=0,1,G663)*IF(F663=0,1,F663)*IF(E663=0,1,E663)*IF(D663=0,1,D663)*IF(C663=0,1,C663)</f>
        <v>11.530035964644926</v>
      </c>
      <c r="K663" s="480"/>
      <c r="L663" s="774"/>
      <c r="M663" s="760">
        <f>H660/3.281</f>
        <v>0.25297165498323682</v>
      </c>
      <c r="N663" s="781"/>
      <c r="O663" s="768">
        <f>E663</f>
        <v>2</v>
      </c>
      <c r="P663" s="781">
        <f>(1.5/12)/3.281</f>
        <v>3.8098140810728431E-2</v>
      </c>
      <c r="Q663" s="756" t="s">
        <v>457</v>
      </c>
      <c r="R663" s="756">
        <v>16</v>
      </c>
      <c r="S663" s="757"/>
      <c r="T663" s="758">
        <f>D663</f>
        <v>3</v>
      </c>
      <c r="U663" s="759">
        <f>N662-2*P663-2*R663/1000+2*((M663/2))</f>
        <v>1.9216726607741543</v>
      </c>
      <c r="V663" s="757">
        <f>T663*U663*O663</f>
        <v>11.530035964644926</v>
      </c>
      <c r="W663" s="757">
        <f t="shared" si="156"/>
        <v>0</v>
      </c>
      <c r="X663" s="757">
        <f t="shared" si="156"/>
        <v>0</v>
      </c>
      <c r="Y663" s="757">
        <f t="shared" si="156"/>
        <v>0</v>
      </c>
      <c r="Z663" s="757">
        <f t="shared" si="156"/>
        <v>0</v>
      </c>
      <c r="AA663" s="757">
        <f t="shared" si="156"/>
        <v>11.530035964644926</v>
      </c>
      <c r="AB663" s="757">
        <f t="shared" si="156"/>
        <v>0</v>
      </c>
      <c r="AC663" s="757">
        <f t="shared" si="156"/>
        <v>0</v>
      </c>
      <c r="AD663" s="757">
        <f t="shared" si="156"/>
        <v>0</v>
      </c>
      <c r="AE663" s="757">
        <f t="shared" si="156"/>
        <v>0</v>
      </c>
      <c r="AF663" s="772" t="e">
        <f>(#REF!+#REF!/12)-0.25+0.5+0.25*2</f>
        <v>#REF!</v>
      </c>
      <c r="AI663" s="777"/>
      <c r="AL663" s="777"/>
      <c r="AM663" s="777"/>
    </row>
    <row r="664" spans="1:43" s="776" customFormat="1" ht="22.25" customHeight="1">
      <c r="A664" s="769"/>
      <c r="B664" s="770" t="s">
        <v>542</v>
      </c>
      <c r="C664" s="665"/>
      <c r="D664" s="665"/>
      <c r="E664" s="665"/>
      <c r="F664" s="751"/>
      <c r="G664" s="773"/>
      <c r="H664" s="778"/>
      <c r="I664" s="774"/>
      <c r="J664" s="778"/>
      <c r="K664" s="480"/>
      <c r="L664" s="774"/>
      <c r="M664" s="760"/>
      <c r="N664" s="781"/>
      <c r="O664" s="782"/>
      <c r="P664" s="781"/>
      <c r="Q664" s="756"/>
      <c r="R664" s="756"/>
      <c r="S664" s="757"/>
      <c r="T664" s="758"/>
      <c r="U664" s="759"/>
      <c r="V664" s="757"/>
      <c r="W664" s="757">
        <f t="shared" ref="W664:AE672" si="157">IF($R664=W$5,$V664,0)</f>
        <v>0</v>
      </c>
      <c r="X664" s="757">
        <f t="shared" si="157"/>
        <v>0</v>
      </c>
      <c r="Y664" s="757">
        <f t="shared" si="157"/>
        <v>0</v>
      </c>
      <c r="Z664" s="757">
        <f t="shared" si="157"/>
        <v>0</v>
      </c>
      <c r="AA664" s="757">
        <f t="shared" si="157"/>
        <v>0</v>
      </c>
      <c r="AB664" s="757">
        <f t="shared" si="157"/>
        <v>0</v>
      </c>
      <c r="AC664" s="757">
        <f t="shared" si="157"/>
        <v>0</v>
      </c>
      <c r="AD664" s="757">
        <f t="shared" si="157"/>
        <v>0</v>
      </c>
      <c r="AE664" s="757">
        <f t="shared" si="157"/>
        <v>0</v>
      </c>
      <c r="AF664" s="772" t="e">
        <f>((#REF!+#REF!/12)-(1.5/12)*2)*4+0.25*2</f>
        <v>#REF!</v>
      </c>
      <c r="AI664" s="777"/>
      <c r="AL664" s="777"/>
      <c r="AM664" s="777"/>
    </row>
    <row r="665" spans="1:43" s="776" customFormat="1" ht="22.25" customHeight="1">
      <c r="A665" s="769"/>
      <c r="B665" s="770" t="s">
        <v>484</v>
      </c>
      <c r="C665" s="665"/>
      <c r="D665" s="665">
        <f>T665</f>
        <v>11</v>
      </c>
      <c r="E665" s="665">
        <f>E662</f>
        <v>2</v>
      </c>
      <c r="F665" s="751">
        <f>U665</f>
        <v>0.86710149344711984</v>
      </c>
      <c r="G665" s="779"/>
      <c r="H665" s="780"/>
      <c r="I665" s="774"/>
      <c r="J665" s="492">
        <f>IF(I665=0,1,I665)*IF(H665=0,1,H665)*IF(G665=0,1,G665)*IF(F665=0,1,F665)*IF(E665=0,1,E665)*IF(D665=0,1,D665)*IF(C665=0,1,C665)</f>
        <v>19.076232855836636</v>
      </c>
      <c r="K665" s="480"/>
      <c r="L665" s="774"/>
      <c r="N665" s="781"/>
      <c r="O665" s="782">
        <f>O662</f>
        <v>2</v>
      </c>
      <c r="P665" s="781"/>
      <c r="Q665" s="756" t="s">
        <v>463</v>
      </c>
      <c r="R665" s="756">
        <v>10</v>
      </c>
      <c r="S665" s="757">
        <f>4/(12*3.281)</f>
        <v>0.1015950421619425</v>
      </c>
      <c r="T665" s="758">
        <f>2*(ROUND(2*M663/S665,0))+1</f>
        <v>11</v>
      </c>
      <c r="U665" s="759">
        <f>2*(M662+M663)-8*P662+2*8*R665/1000</f>
        <v>0.86710149344711984</v>
      </c>
      <c r="V665" s="757">
        <f>T665*U665*O665</f>
        <v>19.076232855836636</v>
      </c>
      <c r="W665" s="757">
        <f t="shared" si="157"/>
        <v>0</v>
      </c>
      <c r="X665" s="757">
        <f t="shared" si="157"/>
        <v>0</v>
      </c>
      <c r="Y665" s="757">
        <f t="shared" si="157"/>
        <v>19.076232855836636</v>
      </c>
      <c r="Z665" s="757">
        <f t="shared" si="157"/>
        <v>0</v>
      </c>
      <c r="AA665" s="757">
        <f t="shared" si="157"/>
        <v>0</v>
      </c>
      <c r="AB665" s="757">
        <f t="shared" si="157"/>
        <v>0</v>
      </c>
      <c r="AC665" s="757">
        <f t="shared" si="157"/>
        <v>0</v>
      </c>
      <c r="AD665" s="757">
        <f t="shared" si="157"/>
        <v>0</v>
      </c>
      <c r="AE665" s="757">
        <f t="shared" si="157"/>
        <v>0</v>
      </c>
      <c r="AF665" s="777"/>
      <c r="AI665" s="777"/>
      <c r="AL665" s="777"/>
      <c r="AM665" s="777"/>
    </row>
    <row r="666" spans="1:43" s="776" customFormat="1" ht="22.25" customHeight="1">
      <c r="A666" s="769"/>
      <c r="B666" s="770" t="s">
        <v>484</v>
      </c>
      <c r="C666" s="665"/>
      <c r="D666" s="665">
        <f>T666</f>
        <v>6</v>
      </c>
      <c r="E666" s="665">
        <f>E665</f>
        <v>2</v>
      </c>
      <c r="F666" s="751">
        <f>U666</f>
        <v>0.86710149344711984</v>
      </c>
      <c r="G666" s="779"/>
      <c r="H666" s="780"/>
      <c r="I666" s="774"/>
      <c r="J666" s="492">
        <f>IF(I666=0,1,I666)*IF(H666=0,1,H666)*IF(G666=0,1,G666)*IF(F666=0,1,F666)*IF(E666=0,1,E666)*IF(D666=0,1,D666)*IF(C666=0,1,C666)</f>
        <v>10.405217921365438</v>
      </c>
      <c r="K666" s="480"/>
      <c r="L666" s="774"/>
      <c r="M666" s="760"/>
      <c r="N666" s="781"/>
      <c r="O666" s="782">
        <f>O665</f>
        <v>2</v>
      </c>
      <c r="P666" s="781"/>
      <c r="Q666" s="756" t="s">
        <v>463</v>
      </c>
      <c r="R666" s="756">
        <v>10</v>
      </c>
      <c r="S666" s="757">
        <f>6/(12*3.281)</f>
        <v>0.15239256324291375</v>
      </c>
      <c r="T666" s="758">
        <f>(ROUND((N662-4*M663)/S666,0))+1</f>
        <v>6</v>
      </c>
      <c r="U666" s="759">
        <f>2*(M662+M663)-8*P662+2*8*R666/1000</f>
        <v>0.86710149344711984</v>
      </c>
      <c r="V666" s="757">
        <f>T666*U666*O666</f>
        <v>10.405217921365438</v>
      </c>
      <c r="W666" s="757">
        <f t="shared" si="157"/>
        <v>0</v>
      </c>
      <c r="X666" s="757">
        <f t="shared" si="157"/>
        <v>0</v>
      </c>
      <c r="Y666" s="757">
        <f t="shared" si="157"/>
        <v>10.405217921365438</v>
      </c>
      <c r="Z666" s="757">
        <f t="shared" si="157"/>
        <v>0</v>
      </c>
      <c r="AA666" s="757">
        <f t="shared" si="157"/>
        <v>0</v>
      </c>
      <c r="AB666" s="757">
        <f t="shared" si="157"/>
        <v>0</v>
      </c>
      <c r="AC666" s="757">
        <f t="shared" si="157"/>
        <v>0</v>
      </c>
      <c r="AD666" s="757">
        <f t="shared" si="157"/>
        <v>0</v>
      </c>
      <c r="AE666" s="757">
        <f t="shared" si="157"/>
        <v>0</v>
      </c>
      <c r="AF666" s="777"/>
      <c r="AI666" s="777"/>
      <c r="AL666" s="777"/>
      <c r="AM666" s="777"/>
    </row>
    <row r="667" spans="1:43" s="390" customFormat="1" ht="21.9" customHeight="1">
      <c r="A667" s="454"/>
      <c r="B667" s="659" t="s">
        <v>692</v>
      </c>
      <c r="C667" s="662"/>
      <c r="D667" s="662"/>
      <c r="E667" s="662"/>
      <c r="F667" s="498"/>
      <c r="G667" s="642"/>
      <c r="H667" s="648"/>
      <c r="I667" s="501"/>
      <c r="J667" s="455"/>
      <c r="K667" s="455"/>
      <c r="L667" s="312"/>
      <c r="M667" s="726"/>
      <c r="N667" s="726"/>
      <c r="O667" s="726"/>
      <c r="P667" s="726"/>
      <c r="Q667" s="611"/>
      <c r="R667" s="611"/>
      <c r="S667" s="624"/>
      <c r="T667" s="625"/>
      <c r="U667" s="626"/>
      <c r="V667" s="624"/>
      <c r="W667" s="624">
        <f t="shared" si="157"/>
        <v>0</v>
      </c>
      <c r="X667" s="624">
        <f t="shared" si="157"/>
        <v>0</v>
      </c>
      <c r="Y667" s="624">
        <f t="shared" si="157"/>
        <v>0</v>
      </c>
      <c r="Z667" s="624">
        <f t="shared" si="157"/>
        <v>0</v>
      </c>
      <c r="AA667" s="624">
        <f t="shared" si="157"/>
        <v>0</v>
      </c>
      <c r="AB667" s="624">
        <f t="shared" si="157"/>
        <v>0</v>
      </c>
      <c r="AC667" s="624">
        <f t="shared" si="157"/>
        <v>0</v>
      </c>
      <c r="AD667" s="624">
        <f t="shared" si="157"/>
        <v>0</v>
      </c>
      <c r="AE667" s="624">
        <f t="shared" si="157"/>
        <v>0</v>
      </c>
      <c r="AF667" s="404"/>
      <c r="AG667" s="471"/>
      <c r="AH667" s="471"/>
      <c r="AI667" s="471"/>
      <c r="AJ667" s="471"/>
      <c r="AM667" s="404"/>
      <c r="AP667" s="404"/>
      <c r="AQ667" s="404"/>
    </row>
    <row r="668" spans="1:43" s="390" customFormat="1" ht="21.9" customHeight="1">
      <c r="A668" s="454"/>
      <c r="B668" s="659" t="s">
        <v>757</v>
      </c>
      <c r="C668" s="662"/>
      <c r="D668" s="662"/>
      <c r="E668" s="662"/>
      <c r="F668" s="498"/>
      <c r="G668" s="642"/>
      <c r="H668" s="647"/>
      <c r="I668" s="499"/>
      <c r="J668" s="455"/>
      <c r="K668" s="455"/>
      <c r="L668" s="312"/>
      <c r="M668" s="726"/>
      <c r="N668" s="726"/>
      <c r="O668" s="726"/>
      <c r="P668" s="726"/>
      <c r="Q668" s="611"/>
      <c r="R668" s="611"/>
      <c r="S668" s="624"/>
      <c r="T668" s="625"/>
      <c r="U668" s="626"/>
      <c r="V668" s="624"/>
      <c r="W668" s="624">
        <f t="shared" si="157"/>
        <v>0</v>
      </c>
      <c r="X668" s="624">
        <f t="shared" si="157"/>
        <v>0</v>
      </c>
      <c r="Y668" s="624">
        <f t="shared" si="157"/>
        <v>0</v>
      </c>
      <c r="Z668" s="624">
        <f t="shared" si="157"/>
        <v>0</v>
      </c>
      <c r="AA668" s="624">
        <f t="shared" si="157"/>
        <v>0</v>
      </c>
      <c r="AB668" s="624">
        <f t="shared" si="157"/>
        <v>0</v>
      </c>
      <c r="AC668" s="624">
        <f t="shared" si="157"/>
        <v>0</v>
      </c>
      <c r="AD668" s="624">
        <f t="shared" si="157"/>
        <v>0</v>
      </c>
      <c r="AE668" s="624">
        <f t="shared" si="157"/>
        <v>0</v>
      </c>
      <c r="AF668" s="404"/>
      <c r="AG668" s="471"/>
      <c r="AH668" s="471"/>
      <c r="AI668" s="471"/>
      <c r="AJ668" s="471"/>
      <c r="AM668" s="404"/>
      <c r="AP668" s="404"/>
      <c r="AQ668" s="404"/>
    </row>
    <row r="669" spans="1:43" s="390" customFormat="1" ht="22.25" customHeight="1">
      <c r="A669" s="454"/>
      <c r="B669" s="657" t="s">
        <v>759</v>
      </c>
      <c r="C669" s="662"/>
      <c r="D669" s="662"/>
      <c r="E669" s="662">
        <v>7</v>
      </c>
      <c r="F669" s="498">
        <f>6+2*0.83</f>
        <v>7.66</v>
      </c>
      <c r="G669" s="642">
        <v>0.83</v>
      </c>
      <c r="H669" s="642">
        <v>0.83</v>
      </c>
      <c r="I669" s="499"/>
      <c r="J669" s="507"/>
      <c r="K669" s="455"/>
      <c r="L669" s="312"/>
      <c r="M669" s="722"/>
      <c r="N669" s="722"/>
      <c r="O669" s="722"/>
      <c r="P669" s="722"/>
      <c r="Q669" s="611"/>
      <c r="R669" s="611"/>
      <c r="S669" s="624"/>
      <c r="T669" s="625"/>
      <c r="U669" s="626"/>
      <c r="V669" s="624"/>
      <c r="W669" s="624">
        <f t="shared" si="157"/>
        <v>0</v>
      </c>
      <c r="X669" s="624">
        <f t="shared" si="157"/>
        <v>0</v>
      </c>
      <c r="Y669" s="624">
        <f t="shared" si="157"/>
        <v>0</v>
      </c>
      <c r="Z669" s="624">
        <f t="shared" si="157"/>
        <v>0</v>
      </c>
      <c r="AA669" s="624">
        <f t="shared" si="157"/>
        <v>0</v>
      </c>
      <c r="AB669" s="624">
        <f t="shared" si="157"/>
        <v>0</v>
      </c>
      <c r="AC669" s="624">
        <f t="shared" si="157"/>
        <v>0</v>
      </c>
      <c r="AD669" s="624">
        <f t="shared" si="157"/>
        <v>0</v>
      </c>
      <c r="AE669" s="624">
        <f t="shared" si="157"/>
        <v>0</v>
      </c>
      <c r="AF669" s="471"/>
      <c r="AG669" s="473"/>
      <c r="AH669" s="471"/>
      <c r="AI669" s="471"/>
      <c r="AJ669" s="471"/>
      <c r="AM669" s="404"/>
      <c r="AP669" s="404"/>
      <c r="AQ669" s="404"/>
    </row>
    <row r="670" spans="1:43" s="776" customFormat="1" ht="22.25" customHeight="1">
      <c r="A670" s="769"/>
      <c r="B670" s="770" t="s">
        <v>543</v>
      </c>
      <c r="C670" s="665"/>
      <c r="D670" s="665"/>
      <c r="E670" s="665"/>
      <c r="F670" s="751"/>
      <c r="G670" s="773"/>
      <c r="H670" s="778"/>
      <c r="I670" s="774"/>
      <c r="J670" s="778"/>
      <c r="K670" s="480"/>
      <c r="L670" s="774"/>
      <c r="M670" s="760"/>
      <c r="N670" s="781"/>
      <c r="O670" s="782"/>
      <c r="P670" s="781"/>
      <c r="Q670" s="756"/>
      <c r="R670" s="756"/>
      <c r="S670" s="757"/>
      <c r="T670" s="758"/>
      <c r="U670" s="759"/>
      <c r="V670" s="757"/>
      <c r="W670" s="757">
        <f t="shared" si="157"/>
        <v>0</v>
      </c>
      <c r="X670" s="757">
        <f t="shared" si="157"/>
        <v>0</v>
      </c>
      <c r="Y670" s="757">
        <f t="shared" si="157"/>
        <v>0</v>
      </c>
      <c r="Z670" s="757">
        <f t="shared" si="157"/>
        <v>0</v>
      </c>
      <c r="AA670" s="757">
        <f t="shared" si="157"/>
        <v>0</v>
      </c>
      <c r="AB670" s="757">
        <f t="shared" si="157"/>
        <v>0</v>
      </c>
      <c r="AC670" s="757">
        <f t="shared" si="157"/>
        <v>0</v>
      </c>
      <c r="AD670" s="757">
        <f t="shared" si="157"/>
        <v>0</v>
      </c>
      <c r="AE670" s="757">
        <f t="shared" si="157"/>
        <v>0</v>
      </c>
      <c r="AF670" s="772" t="e">
        <f>((#REF!+#REF!/12)-(1.5/12)*2)*4+0.25*2</f>
        <v>#REF!</v>
      </c>
      <c r="AI670" s="777"/>
      <c r="AL670" s="777"/>
      <c r="AM670" s="777"/>
    </row>
    <row r="671" spans="1:43" s="776" customFormat="1" ht="22.25" customHeight="1">
      <c r="A671" s="769"/>
      <c r="B671" s="770" t="s">
        <v>483</v>
      </c>
      <c r="C671" s="665"/>
      <c r="D671" s="665">
        <v>3</v>
      </c>
      <c r="E671" s="665">
        <f>E669</f>
        <v>7</v>
      </c>
      <c r="F671" s="751">
        <f>U671</f>
        <v>2.7644010972264552</v>
      </c>
      <c r="G671" s="773"/>
      <c r="H671" s="778"/>
      <c r="I671" s="774"/>
      <c r="J671" s="492">
        <f>IF(I671=0,1,I671)*IF(H671=0,1,H671)*IF(G671=0,1,G671)*IF(F671=0,1,F671)*IF(E671=0,1,E671)*IF(D671=0,1,D671)*IF(C671=0,1,C671)</f>
        <v>58.05242304175556</v>
      </c>
      <c r="K671" s="480"/>
      <c r="L671" s="774"/>
      <c r="M671" s="760">
        <f>G669/3.281</f>
        <v>0.25297165498323682</v>
      </c>
      <c r="N671" s="781">
        <f>F669/3.281</f>
        <v>2.3346540688814383</v>
      </c>
      <c r="O671" s="768">
        <f>E671</f>
        <v>7</v>
      </c>
      <c r="P671" s="781">
        <f>(1.5/12)/3.281</f>
        <v>3.8098140810728431E-2</v>
      </c>
      <c r="Q671" s="756" t="s">
        <v>541</v>
      </c>
      <c r="R671" s="756">
        <v>16</v>
      </c>
      <c r="S671" s="757"/>
      <c r="T671" s="758">
        <f>D671</f>
        <v>3</v>
      </c>
      <c r="U671" s="759">
        <f>N671-2*P671+2*M672</f>
        <v>2.7644010972264552</v>
      </c>
      <c r="V671" s="757">
        <f>T671*U671*O671</f>
        <v>58.05242304175556</v>
      </c>
      <c r="W671" s="757">
        <f t="shared" si="157"/>
        <v>0</v>
      </c>
      <c r="X671" s="757">
        <f t="shared" si="157"/>
        <v>0</v>
      </c>
      <c r="Y671" s="757">
        <f t="shared" si="157"/>
        <v>0</v>
      </c>
      <c r="Z671" s="757">
        <f t="shared" si="157"/>
        <v>0</v>
      </c>
      <c r="AA671" s="757">
        <f t="shared" si="157"/>
        <v>58.05242304175556</v>
      </c>
      <c r="AB671" s="757">
        <f t="shared" si="157"/>
        <v>0</v>
      </c>
      <c r="AC671" s="757">
        <f t="shared" si="157"/>
        <v>0</v>
      </c>
      <c r="AD671" s="757">
        <f t="shared" si="157"/>
        <v>0</v>
      </c>
      <c r="AE671" s="757">
        <f t="shared" si="157"/>
        <v>0</v>
      </c>
      <c r="AF671" s="772" t="e">
        <f>(#REF!+#REF!/12)-0.25+0.5+0.25*2</f>
        <v>#REF!</v>
      </c>
      <c r="AI671" s="777"/>
      <c r="AL671" s="777"/>
      <c r="AM671" s="777"/>
    </row>
    <row r="672" spans="1:43" s="776" customFormat="1" ht="22.25" customHeight="1">
      <c r="A672" s="769"/>
      <c r="B672" s="770" t="s">
        <v>483</v>
      </c>
      <c r="C672" s="665"/>
      <c r="D672" s="665">
        <v>3</v>
      </c>
      <c r="E672" s="665">
        <f>E671</f>
        <v>7</v>
      </c>
      <c r="F672" s="751">
        <f>U672</f>
        <v>2.4794294422432186</v>
      </c>
      <c r="G672" s="773"/>
      <c r="H672" s="778"/>
      <c r="I672" s="774"/>
      <c r="J672" s="492">
        <f>IF(I672=0,1,I672)*IF(H672=0,1,H672)*IF(G672=0,1,G672)*IF(F672=0,1,F672)*IF(E672=0,1,E672)*IF(D672=0,1,D672)*IF(C672=0,1,C672)</f>
        <v>52.068018287107591</v>
      </c>
      <c r="K672" s="480"/>
      <c r="L672" s="774"/>
      <c r="M672" s="760">
        <f>H669/3.281</f>
        <v>0.25297165498323682</v>
      </c>
      <c r="N672" s="781"/>
      <c r="O672" s="768">
        <f>E672</f>
        <v>7</v>
      </c>
      <c r="P672" s="781">
        <f>(1.5/12)/3.281</f>
        <v>3.8098140810728431E-2</v>
      </c>
      <c r="Q672" s="756" t="s">
        <v>457</v>
      </c>
      <c r="R672" s="756">
        <v>16</v>
      </c>
      <c r="S672" s="757"/>
      <c r="T672" s="758">
        <f>D672</f>
        <v>3</v>
      </c>
      <c r="U672" s="759">
        <f>N671-2*P672-2*R672/1000+2*((M672/2))</f>
        <v>2.4794294422432186</v>
      </c>
      <c r="V672" s="757">
        <f>T672*U672*O672</f>
        <v>52.068018287107591</v>
      </c>
      <c r="W672" s="757">
        <f t="shared" si="157"/>
        <v>0</v>
      </c>
      <c r="X672" s="757">
        <f t="shared" si="157"/>
        <v>0</v>
      </c>
      <c r="Y672" s="757">
        <f t="shared" si="157"/>
        <v>0</v>
      </c>
      <c r="Z672" s="757">
        <f t="shared" si="157"/>
        <v>0</v>
      </c>
      <c r="AA672" s="757">
        <f t="shared" si="157"/>
        <v>52.068018287107591</v>
      </c>
      <c r="AB672" s="757">
        <f t="shared" si="157"/>
        <v>0</v>
      </c>
      <c r="AC672" s="757">
        <f t="shared" si="157"/>
        <v>0</v>
      </c>
      <c r="AD672" s="757">
        <f t="shared" si="157"/>
        <v>0</v>
      </c>
      <c r="AE672" s="757">
        <f t="shared" si="157"/>
        <v>0</v>
      </c>
      <c r="AF672" s="772" t="e">
        <f>(#REF!+#REF!/12)-0.25+0.5+0.25*2</f>
        <v>#REF!</v>
      </c>
      <c r="AI672" s="777"/>
      <c r="AL672" s="777"/>
      <c r="AM672" s="777"/>
    </row>
    <row r="673" spans="1:43" s="776" customFormat="1" ht="22.25" customHeight="1">
      <c r="A673" s="769"/>
      <c r="B673" s="770" t="s">
        <v>542</v>
      </c>
      <c r="C673" s="665"/>
      <c r="D673" s="665"/>
      <c r="E673" s="665"/>
      <c r="F673" s="751"/>
      <c r="G673" s="773"/>
      <c r="H673" s="778"/>
      <c r="I673" s="774"/>
      <c r="J673" s="778"/>
      <c r="K673" s="480"/>
      <c r="L673" s="774"/>
      <c r="M673" s="760"/>
      <c r="N673" s="781"/>
      <c r="O673" s="782"/>
      <c r="P673" s="781"/>
      <c r="Q673" s="756"/>
      <c r="R673" s="756"/>
      <c r="S673" s="757"/>
      <c r="T673" s="758"/>
      <c r="U673" s="759"/>
      <c r="V673" s="757"/>
      <c r="W673" s="757">
        <f t="shared" ref="W673:AB673" si="158">IF($R673=W$5,$V673,0)</f>
        <v>0</v>
      </c>
      <c r="X673" s="757">
        <f t="shared" si="158"/>
        <v>0</v>
      </c>
      <c r="Y673" s="757">
        <f t="shared" si="158"/>
        <v>0</v>
      </c>
      <c r="Z673" s="757">
        <f t="shared" si="158"/>
        <v>0</v>
      </c>
      <c r="AA673" s="757">
        <f t="shared" si="158"/>
        <v>0</v>
      </c>
      <c r="AB673" s="757">
        <f t="shared" si="158"/>
        <v>0</v>
      </c>
      <c r="AC673" s="757">
        <f t="shared" ref="W673:AE675" si="159">IF($R673=AC$5,$V673,0)</f>
        <v>0</v>
      </c>
      <c r="AD673" s="757">
        <f t="shared" si="159"/>
        <v>0</v>
      </c>
      <c r="AE673" s="757">
        <f t="shared" si="159"/>
        <v>0</v>
      </c>
      <c r="AF673" s="772" t="e">
        <f>((#REF!+#REF!/12)-(1.5/12)*2)*4+0.25*2</f>
        <v>#REF!</v>
      </c>
      <c r="AI673" s="777"/>
      <c r="AL673" s="777"/>
      <c r="AM673" s="777"/>
    </row>
    <row r="674" spans="1:43" s="776" customFormat="1" ht="22.25" customHeight="1">
      <c r="A674" s="769"/>
      <c r="B674" s="770" t="s">
        <v>484</v>
      </c>
      <c r="C674" s="665"/>
      <c r="D674" s="665">
        <f>T674</f>
        <v>11</v>
      </c>
      <c r="E674" s="665">
        <f>E671</f>
        <v>7</v>
      </c>
      <c r="F674" s="751">
        <f>U674</f>
        <v>0.86710149344711984</v>
      </c>
      <c r="G674" s="779"/>
      <c r="H674" s="780"/>
      <c r="I674" s="774"/>
      <c r="J674" s="492">
        <f>IF(I674=0,1,I674)*IF(H674=0,1,H674)*IF(G674=0,1,G674)*IF(F674=0,1,F674)*IF(E674=0,1,E674)*IF(D674=0,1,D674)*IF(C674=0,1,C674)</f>
        <v>66.766814995428234</v>
      </c>
      <c r="K674" s="480"/>
      <c r="L674" s="774"/>
      <c r="N674" s="781"/>
      <c r="O674" s="782">
        <f>O671</f>
        <v>7</v>
      </c>
      <c r="P674" s="781"/>
      <c r="Q674" s="756" t="s">
        <v>463</v>
      </c>
      <c r="R674" s="756">
        <v>10</v>
      </c>
      <c r="S674" s="757">
        <f>4/(12*3.281)</f>
        <v>0.1015950421619425</v>
      </c>
      <c r="T674" s="758">
        <f>2*(ROUND(2*M672/S674,0))+1</f>
        <v>11</v>
      </c>
      <c r="U674" s="759">
        <f>2*(M671+M672)-8*P671+2*8*R674/1000</f>
        <v>0.86710149344711984</v>
      </c>
      <c r="V674" s="757">
        <f>T674*U674*O674</f>
        <v>66.766814995428234</v>
      </c>
      <c r="W674" s="757">
        <f t="shared" si="159"/>
        <v>0</v>
      </c>
      <c r="X674" s="757">
        <f t="shared" si="159"/>
        <v>0</v>
      </c>
      <c r="Y674" s="757">
        <f t="shared" si="159"/>
        <v>66.766814995428234</v>
      </c>
      <c r="Z674" s="757">
        <f t="shared" si="159"/>
        <v>0</v>
      </c>
      <c r="AA674" s="757">
        <f t="shared" si="159"/>
        <v>0</v>
      </c>
      <c r="AB674" s="757">
        <f t="shared" si="159"/>
        <v>0</v>
      </c>
      <c r="AC674" s="757">
        <f t="shared" si="159"/>
        <v>0</v>
      </c>
      <c r="AD674" s="757">
        <f t="shared" si="159"/>
        <v>0</v>
      </c>
      <c r="AE674" s="757">
        <f t="shared" si="159"/>
        <v>0</v>
      </c>
      <c r="AF674" s="777"/>
      <c r="AI674" s="777"/>
      <c r="AL674" s="777"/>
      <c r="AM674" s="777"/>
    </row>
    <row r="675" spans="1:43" s="776" customFormat="1" ht="22.25" customHeight="1">
      <c r="A675" s="769"/>
      <c r="B675" s="770" t="s">
        <v>484</v>
      </c>
      <c r="C675" s="665"/>
      <c r="D675" s="665">
        <f>T675</f>
        <v>10</v>
      </c>
      <c r="E675" s="665">
        <f>E674</f>
        <v>7</v>
      </c>
      <c r="F675" s="751">
        <f>U675</f>
        <v>0.86710149344711984</v>
      </c>
      <c r="G675" s="779"/>
      <c r="H675" s="780"/>
      <c r="I675" s="774"/>
      <c r="J675" s="492">
        <f>IF(I675=0,1,I675)*IF(H675=0,1,H675)*IF(G675=0,1,G675)*IF(F675=0,1,F675)*IF(E675=0,1,E675)*IF(D675=0,1,D675)*IF(C675=0,1,C675)</f>
        <v>60.697104541298394</v>
      </c>
      <c r="K675" s="480"/>
      <c r="L675" s="774"/>
      <c r="M675" s="760"/>
      <c r="N675" s="781"/>
      <c r="O675" s="782">
        <f>O674</f>
        <v>7</v>
      </c>
      <c r="P675" s="781"/>
      <c r="Q675" s="756" t="s">
        <v>463</v>
      </c>
      <c r="R675" s="756">
        <v>10</v>
      </c>
      <c r="S675" s="757">
        <f>6/(12*3.281)</f>
        <v>0.15239256324291375</v>
      </c>
      <c r="T675" s="758">
        <f>(ROUND((N671-4*M672)/S675,0))+1</f>
        <v>10</v>
      </c>
      <c r="U675" s="759">
        <f>2*(M671+M672)-8*P671+2*8*R675/1000</f>
        <v>0.86710149344711984</v>
      </c>
      <c r="V675" s="757">
        <f>T675*U675*O675</f>
        <v>60.697104541298387</v>
      </c>
      <c r="W675" s="757">
        <f t="shared" si="159"/>
        <v>0</v>
      </c>
      <c r="X675" s="757">
        <f t="shared" si="159"/>
        <v>0</v>
      </c>
      <c r="Y675" s="757">
        <f t="shared" si="159"/>
        <v>60.697104541298387</v>
      </c>
      <c r="Z675" s="757">
        <f t="shared" si="159"/>
        <v>0</v>
      </c>
      <c r="AA675" s="757">
        <f t="shared" si="159"/>
        <v>0</v>
      </c>
      <c r="AB675" s="757">
        <f t="shared" si="159"/>
        <v>0</v>
      </c>
      <c r="AC675" s="757">
        <f t="shared" si="159"/>
        <v>0</v>
      </c>
      <c r="AD675" s="757">
        <f t="shared" si="159"/>
        <v>0</v>
      </c>
      <c r="AE675" s="757">
        <f t="shared" si="159"/>
        <v>0</v>
      </c>
      <c r="AF675" s="777"/>
      <c r="AI675" s="777"/>
      <c r="AL675" s="777"/>
      <c r="AM675" s="777"/>
    </row>
    <row r="676" spans="1:43" s="390" customFormat="1" ht="22.25" customHeight="1">
      <c r="A676" s="454"/>
      <c r="B676" s="657" t="s">
        <v>540</v>
      </c>
      <c r="C676" s="662"/>
      <c r="D676" s="662"/>
      <c r="E676" s="662">
        <v>1</v>
      </c>
      <c r="F676" s="498">
        <f>5+2*0.83</f>
        <v>6.66</v>
      </c>
      <c r="G676" s="642">
        <f>G669</f>
        <v>0.83</v>
      </c>
      <c r="H676" s="642">
        <f>H669</f>
        <v>0.83</v>
      </c>
      <c r="I676" s="499"/>
      <c r="J676" s="507"/>
      <c r="K676" s="455"/>
      <c r="L676" s="312"/>
      <c r="M676" s="722"/>
      <c r="N676" s="722"/>
      <c r="O676" s="722"/>
      <c r="P676" s="722"/>
      <c r="Q676" s="611"/>
      <c r="R676" s="611"/>
      <c r="S676" s="624"/>
      <c r="T676" s="625"/>
      <c r="U676" s="626"/>
      <c r="V676" s="624"/>
      <c r="W676" s="624"/>
      <c r="X676" s="624"/>
      <c r="Y676" s="624"/>
      <c r="Z676" s="624"/>
      <c r="AA676" s="624"/>
      <c r="AB676" s="624"/>
      <c r="AC676" s="624"/>
      <c r="AD676" s="624"/>
      <c r="AE676" s="624"/>
      <c r="AF676" s="471"/>
      <c r="AG676" s="473"/>
      <c r="AH676" s="471"/>
      <c r="AI676" s="471"/>
      <c r="AJ676" s="471"/>
      <c r="AM676" s="404"/>
      <c r="AP676" s="404"/>
      <c r="AQ676" s="404"/>
    </row>
    <row r="677" spans="1:43" s="776" customFormat="1" ht="22.25" customHeight="1">
      <c r="A677" s="769"/>
      <c r="B677" s="770" t="s">
        <v>543</v>
      </c>
      <c r="C677" s="665"/>
      <c r="D677" s="665"/>
      <c r="E677" s="665"/>
      <c r="F677" s="751"/>
      <c r="G677" s="773"/>
      <c r="H677" s="778"/>
      <c r="I677" s="774"/>
      <c r="J677" s="778"/>
      <c r="K677" s="480"/>
      <c r="L677" s="774"/>
      <c r="M677" s="760"/>
      <c r="N677" s="781"/>
      <c r="O677" s="782"/>
      <c r="P677" s="781"/>
      <c r="Q677" s="756"/>
      <c r="R677" s="756"/>
      <c r="S677" s="757"/>
      <c r="T677" s="758"/>
      <c r="U677" s="759"/>
      <c r="V677" s="757"/>
      <c r="W677" s="757">
        <f t="shared" ref="W677:AE682" si="160">IF($R677=W$5,$V677,0)</f>
        <v>0</v>
      </c>
      <c r="X677" s="757">
        <f t="shared" si="160"/>
        <v>0</v>
      </c>
      <c r="Y677" s="757">
        <f t="shared" si="160"/>
        <v>0</v>
      </c>
      <c r="Z677" s="757">
        <f t="shared" si="160"/>
        <v>0</v>
      </c>
      <c r="AA677" s="757">
        <f t="shared" si="160"/>
        <v>0</v>
      </c>
      <c r="AB677" s="757">
        <f t="shared" si="160"/>
        <v>0</v>
      </c>
      <c r="AC677" s="757">
        <f t="shared" si="160"/>
        <v>0</v>
      </c>
      <c r="AD677" s="757">
        <f t="shared" si="160"/>
        <v>0</v>
      </c>
      <c r="AE677" s="757">
        <f t="shared" si="160"/>
        <v>0</v>
      </c>
      <c r="AF677" s="772" t="e">
        <f>((#REF!+#REF!/12)-(1.5/12)*2)*4+0.25*2</f>
        <v>#REF!</v>
      </c>
      <c r="AI677" s="777"/>
      <c r="AL677" s="777"/>
      <c r="AM677" s="777"/>
    </row>
    <row r="678" spans="1:43" s="776" customFormat="1" ht="22.25" customHeight="1">
      <c r="A678" s="769"/>
      <c r="B678" s="770" t="s">
        <v>483</v>
      </c>
      <c r="C678" s="665"/>
      <c r="D678" s="665">
        <v>3</v>
      </c>
      <c r="E678" s="665">
        <f>E676</f>
        <v>1</v>
      </c>
      <c r="F678" s="751">
        <f>U678</f>
        <v>2.4596159707406278</v>
      </c>
      <c r="G678" s="773"/>
      <c r="H678" s="778"/>
      <c r="I678" s="774"/>
      <c r="J678" s="492">
        <f>IF(I678=0,1,I678)*IF(H678=0,1,H678)*IF(G678=0,1,G678)*IF(F678=0,1,F678)*IF(E678=0,1,E678)*IF(D678=0,1,D678)*IF(C678=0,1,C678)</f>
        <v>7.3788479122218833</v>
      </c>
      <c r="K678" s="480"/>
      <c r="L678" s="774"/>
      <c r="M678" s="760">
        <f>G676/3.281</f>
        <v>0.25297165498323682</v>
      </c>
      <c r="N678" s="781">
        <f>F676/3.281</f>
        <v>2.0298689423956109</v>
      </c>
      <c r="O678" s="768">
        <f>E678</f>
        <v>1</v>
      </c>
      <c r="P678" s="781">
        <f>(1.5/12)/3.281</f>
        <v>3.8098140810728431E-2</v>
      </c>
      <c r="Q678" s="756" t="s">
        <v>541</v>
      </c>
      <c r="R678" s="756">
        <v>16</v>
      </c>
      <c r="S678" s="757"/>
      <c r="T678" s="758">
        <f>D678</f>
        <v>3</v>
      </c>
      <c r="U678" s="759">
        <f>N678-2*P678+2*M679</f>
        <v>2.4596159707406278</v>
      </c>
      <c r="V678" s="757">
        <f>T678*U678*O678</f>
        <v>7.3788479122218833</v>
      </c>
      <c r="W678" s="757">
        <f t="shared" si="160"/>
        <v>0</v>
      </c>
      <c r="X678" s="757">
        <f t="shared" si="160"/>
        <v>0</v>
      </c>
      <c r="Y678" s="757">
        <f t="shared" si="160"/>
        <v>0</v>
      </c>
      <c r="Z678" s="757">
        <f t="shared" si="160"/>
        <v>0</v>
      </c>
      <c r="AA678" s="757">
        <f t="shared" si="160"/>
        <v>7.3788479122218833</v>
      </c>
      <c r="AB678" s="757">
        <f t="shared" si="160"/>
        <v>0</v>
      </c>
      <c r="AC678" s="757">
        <f t="shared" si="160"/>
        <v>0</v>
      </c>
      <c r="AD678" s="757">
        <f t="shared" si="160"/>
        <v>0</v>
      </c>
      <c r="AE678" s="757">
        <f t="shared" si="160"/>
        <v>0</v>
      </c>
      <c r="AF678" s="772" t="e">
        <f>(#REF!+#REF!/12)-0.25+0.5+0.25*2</f>
        <v>#REF!</v>
      </c>
      <c r="AI678" s="777"/>
      <c r="AL678" s="777"/>
      <c r="AM678" s="777"/>
    </row>
    <row r="679" spans="1:43" s="776" customFormat="1" ht="22.25" customHeight="1">
      <c r="A679" s="769"/>
      <c r="B679" s="770" t="s">
        <v>483</v>
      </c>
      <c r="C679" s="665"/>
      <c r="D679" s="665">
        <v>3</v>
      </c>
      <c r="E679" s="665">
        <f>E678</f>
        <v>1</v>
      </c>
      <c r="F679" s="751">
        <f>U679</f>
        <v>2.1746443157573907</v>
      </c>
      <c r="G679" s="773"/>
      <c r="H679" s="778"/>
      <c r="I679" s="774"/>
      <c r="J679" s="492">
        <f>IF(I679=0,1,I679)*IF(H679=0,1,H679)*IF(G679=0,1,G679)*IF(F679=0,1,F679)*IF(E679=0,1,E679)*IF(D679=0,1,D679)*IF(C679=0,1,C679)</f>
        <v>6.5239329472721721</v>
      </c>
      <c r="K679" s="480"/>
      <c r="L679" s="774"/>
      <c r="M679" s="760">
        <f>H676/3.281</f>
        <v>0.25297165498323682</v>
      </c>
      <c r="N679" s="781"/>
      <c r="O679" s="768">
        <f>E679</f>
        <v>1</v>
      </c>
      <c r="P679" s="781">
        <f>(1.5/12)/3.281</f>
        <v>3.8098140810728431E-2</v>
      </c>
      <c r="Q679" s="756" t="s">
        <v>457</v>
      </c>
      <c r="R679" s="756">
        <v>16</v>
      </c>
      <c r="S679" s="757"/>
      <c r="T679" s="758">
        <f>D679</f>
        <v>3</v>
      </c>
      <c r="U679" s="759">
        <f>N678-2*P679-2*R679/1000+2*((M679/2))</f>
        <v>2.1746443157573907</v>
      </c>
      <c r="V679" s="757">
        <f>T679*U679*O679</f>
        <v>6.5239329472721721</v>
      </c>
      <c r="W679" s="757">
        <f t="shared" si="160"/>
        <v>0</v>
      </c>
      <c r="X679" s="757">
        <f t="shared" si="160"/>
        <v>0</v>
      </c>
      <c r="Y679" s="757">
        <f t="shared" si="160"/>
        <v>0</v>
      </c>
      <c r="Z679" s="757">
        <f t="shared" si="160"/>
        <v>0</v>
      </c>
      <c r="AA679" s="757">
        <f t="shared" si="160"/>
        <v>6.5239329472721721</v>
      </c>
      <c r="AB679" s="757">
        <f t="shared" si="160"/>
        <v>0</v>
      </c>
      <c r="AC679" s="757">
        <f t="shared" si="160"/>
        <v>0</v>
      </c>
      <c r="AD679" s="757">
        <f t="shared" si="160"/>
        <v>0</v>
      </c>
      <c r="AE679" s="757">
        <f t="shared" si="160"/>
        <v>0</v>
      </c>
      <c r="AF679" s="772" t="e">
        <f>(#REF!+#REF!/12)-0.25+0.5+0.25*2</f>
        <v>#REF!</v>
      </c>
      <c r="AI679" s="777"/>
      <c r="AL679" s="777"/>
      <c r="AM679" s="777"/>
    </row>
    <row r="680" spans="1:43" s="776" customFormat="1" ht="22.25" customHeight="1">
      <c r="A680" s="769"/>
      <c r="B680" s="770" t="s">
        <v>542</v>
      </c>
      <c r="C680" s="665"/>
      <c r="D680" s="665"/>
      <c r="E680" s="665"/>
      <c r="F680" s="751"/>
      <c r="G680" s="773"/>
      <c r="H680" s="778"/>
      <c r="I680" s="774"/>
      <c r="J680" s="778"/>
      <c r="K680" s="480"/>
      <c r="L680" s="774"/>
      <c r="M680" s="760"/>
      <c r="N680" s="781"/>
      <c r="O680" s="782"/>
      <c r="P680" s="781"/>
      <c r="Q680" s="756"/>
      <c r="R680" s="756"/>
      <c r="S680" s="757"/>
      <c r="T680" s="758"/>
      <c r="U680" s="759"/>
      <c r="V680" s="757"/>
      <c r="W680" s="757">
        <f t="shared" si="160"/>
        <v>0</v>
      </c>
      <c r="X680" s="757">
        <f t="shared" si="160"/>
        <v>0</v>
      </c>
      <c r="Y680" s="757">
        <f t="shared" si="160"/>
        <v>0</v>
      </c>
      <c r="Z680" s="757">
        <f t="shared" si="160"/>
        <v>0</v>
      </c>
      <c r="AA680" s="757">
        <f t="shared" si="160"/>
        <v>0</v>
      </c>
      <c r="AB680" s="757">
        <f t="shared" si="160"/>
        <v>0</v>
      </c>
      <c r="AC680" s="757">
        <f t="shared" si="160"/>
        <v>0</v>
      </c>
      <c r="AD680" s="757">
        <f t="shared" si="160"/>
        <v>0</v>
      </c>
      <c r="AE680" s="757">
        <f t="shared" si="160"/>
        <v>0</v>
      </c>
      <c r="AF680" s="772" t="e">
        <f>((#REF!+#REF!/12)-(1.5/12)*2)*4+0.25*2</f>
        <v>#REF!</v>
      </c>
      <c r="AI680" s="777"/>
      <c r="AL680" s="777"/>
      <c r="AM680" s="777"/>
    </row>
    <row r="681" spans="1:43" s="776" customFormat="1" ht="22.25" customHeight="1">
      <c r="A681" s="769"/>
      <c r="B681" s="770" t="s">
        <v>484</v>
      </c>
      <c r="C681" s="665"/>
      <c r="D681" s="665">
        <f>T681</f>
        <v>11</v>
      </c>
      <c r="E681" s="665">
        <f>E678</f>
        <v>1</v>
      </c>
      <c r="F681" s="751">
        <f>U681</f>
        <v>0.86710149344711984</v>
      </c>
      <c r="G681" s="779"/>
      <c r="H681" s="780"/>
      <c r="I681" s="774"/>
      <c r="J681" s="492">
        <f>IF(I681=0,1,I681)*IF(H681=0,1,H681)*IF(G681=0,1,G681)*IF(F681=0,1,F681)*IF(E681=0,1,E681)*IF(D681=0,1,D681)*IF(C681=0,1,C681)</f>
        <v>9.5381164279183182</v>
      </c>
      <c r="K681" s="480"/>
      <c r="L681" s="774"/>
      <c r="N681" s="781"/>
      <c r="O681" s="782">
        <f>O678</f>
        <v>1</v>
      </c>
      <c r="P681" s="781"/>
      <c r="Q681" s="756" t="s">
        <v>463</v>
      </c>
      <c r="R681" s="756">
        <v>10</v>
      </c>
      <c r="S681" s="757">
        <f>4/(12*3.281)</f>
        <v>0.1015950421619425</v>
      </c>
      <c r="T681" s="758">
        <f>2*(ROUND(2*M679/S681,0))+1</f>
        <v>11</v>
      </c>
      <c r="U681" s="759">
        <f>2*(M678+M679)-8*P678+2*8*R681/1000</f>
        <v>0.86710149344711984</v>
      </c>
      <c r="V681" s="757">
        <f>T681*U681*O681</f>
        <v>9.5381164279183182</v>
      </c>
      <c r="W681" s="757">
        <f t="shared" si="160"/>
        <v>0</v>
      </c>
      <c r="X681" s="757">
        <f t="shared" si="160"/>
        <v>0</v>
      </c>
      <c r="Y681" s="757">
        <f t="shared" si="160"/>
        <v>9.5381164279183182</v>
      </c>
      <c r="Z681" s="757">
        <f t="shared" si="160"/>
        <v>0</v>
      </c>
      <c r="AA681" s="757">
        <f t="shared" si="160"/>
        <v>0</v>
      </c>
      <c r="AB681" s="757">
        <f t="shared" si="160"/>
        <v>0</v>
      </c>
      <c r="AC681" s="757">
        <f t="shared" si="160"/>
        <v>0</v>
      </c>
      <c r="AD681" s="757">
        <f t="shared" si="160"/>
        <v>0</v>
      </c>
      <c r="AE681" s="757">
        <f t="shared" si="160"/>
        <v>0</v>
      </c>
      <c r="AF681" s="777"/>
      <c r="AI681" s="777"/>
      <c r="AL681" s="777"/>
      <c r="AM681" s="777"/>
    </row>
    <row r="682" spans="1:43" s="776" customFormat="1" ht="22.25" customHeight="1">
      <c r="A682" s="769"/>
      <c r="B682" s="770" t="s">
        <v>484</v>
      </c>
      <c r="C682" s="665"/>
      <c r="D682" s="665">
        <f>T682</f>
        <v>8</v>
      </c>
      <c r="E682" s="665">
        <f>E681</f>
        <v>1</v>
      </c>
      <c r="F682" s="751">
        <f>U682</f>
        <v>0.86710149344711984</v>
      </c>
      <c r="G682" s="779"/>
      <c r="H682" s="780"/>
      <c r="I682" s="774"/>
      <c r="J682" s="492">
        <f>IF(I682=0,1,I682)*IF(H682=0,1,H682)*IF(G682=0,1,G682)*IF(F682=0,1,F682)*IF(E682=0,1,E682)*IF(D682=0,1,D682)*IF(C682=0,1,C682)</f>
        <v>6.9368119475769587</v>
      </c>
      <c r="K682" s="480"/>
      <c r="L682" s="774"/>
      <c r="M682" s="760"/>
      <c r="N682" s="781"/>
      <c r="O682" s="782">
        <f>O681</f>
        <v>1</v>
      </c>
      <c r="P682" s="781"/>
      <c r="Q682" s="756" t="s">
        <v>463</v>
      </c>
      <c r="R682" s="756">
        <v>10</v>
      </c>
      <c r="S682" s="757">
        <f>6/(12*3.281)</f>
        <v>0.15239256324291375</v>
      </c>
      <c r="T682" s="758">
        <f>(ROUND((N678-4*M679)/S682,0))+1</f>
        <v>8</v>
      </c>
      <c r="U682" s="759">
        <f>2*(M678+M679)-8*P678+2*8*R682/1000</f>
        <v>0.86710149344711984</v>
      </c>
      <c r="V682" s="757">
        <f>T682*U682*O682</f>
        <v>6.9368119475769587</v>
      </c>
      <c r="W682" s="757">
        <f t="shared" si="160"/>
        <v>0</v>
      </c>
      <c r="X682" s="757">
        <f t="shared" si="160"/>
        <v>0</v>
      </c>
      <c r="Y682" s="757">
        <f t="shared" si="160"/>
        <v>6.9368119475769587</v>
      </c>
      <c r="Z682" s="757">
        <f t="shared" si="160"/>
        <v>0</v>
      </c>
      <c r="AA682" s="757">
        <f t="shared" si="160"/>
        <v>0</v>
      </c>
      <c r="AB682" s="757">
        <f t="shared" si="160"/>
        <v>0</v>
      </c>
      <c r="AC682" s="757">
        <f t="shared" si="160"/>
        <v>0</v>
      </c>
      <c r="AD682" s="757">
        <f t="shared" si="160"/>
        <v>0</v>
      </c>
      <c r="AE682" s="757">
        <f t="shared" si="160"/>
        <v>0</v>
      </c>
      <c r="AF682" s="777"/>
      <c r="AI682" s="777"/>
      <c r="AL682" s="777"/>
      <c r="AM682" s="777"/>
    </row>
    <row r="683" spans="1:43" s="390" customFormat="1" ht="21.9" customHeight="1">
      <c r="A683" s="454"/>
      <c r="B683" s="659" t="s">
        <v>761</v>
      </c>
      <c r="C683" s="662"/>
      <c r="D683" s="662"/>
      <c r="E683" s="662"/>
      <c r="F683" s="498"/>
      <c r="G683" s="642"/>
      <c r="H683" s="647"/>
      <c r="I683" s="499"/>
      <c r="J683" s="455"/>
      <c r="K683" s="455"/>
      <c r="L683" s="312"/>
      <c r="M683" s="726"/>
      <c r="N683" s="726"/>
      <c r="O683" s="726"/>
      <c r="P683" s="726"/>
      <c r="Q683" s="611"/>
      <c r="R683" s="611"/>
      <c r="S683" s="624"/>
      <c r="T683" s="625"/>
      <c r="U683" s="626"/>
      <c r="V683" s="624"/>
      <c r="W683" s="624">
        <f t="shared" ref="W683:AE684" si="161">IF($R683=W$5,$V683,0)</f>
        <v>0</v>
      </c>
      <c r="X683" s="624">
        <f t="shared" si="161"/>
        <v>0</v>
      </c>
      <c r="Y683" s="624">
        <f t="shared" si="161"/>
        <v>0</v>
      </c>
      <c r="Z683" s="624">
        <f t="shared" si="161"/>
        <v>0</v>
      </c>
      <c r="AA683" s="624">
        <f t="shared" si="161"/>
        <v>0</v>
      </c>
      <c r="AB683" s="624">
        <f t="shared" si="161"/>
        <v>0</v>
      </c>
      <c r="AC683" s="624">
        <f t="shared" si="161"/>
        <v>0</v>
      </c>
      <c r="AD683" s="624">
        <f t="shared" si="161"/>
        <v>0</v>
      </c>
      <c r="AE683" s="624">
        <f t="shared" si="161"/>
        <v>0</v>
      </c>
      <c r="AF683" s="404"/>
      <c r="AG683" s="471"/>
      <c r="AH683" s="471"/>
      <c r="AI683" s="471"/>
      <c r="AJ683" s="471"/>
      <c r="AM683" s="404"/>
      <c r="AP683" s="404"/>
      <c r="AQ683" s="404"/>
    </row>
    <row r="684" spans="1:43" s="390" customFormat="1" ht="22.25" customHeight="1">
      <c r="A684" s="454"/>
      <c r="B684" s="657" t="s">
        <v>760</v>
      </c>
      <c r="C684" s="662"/>
      <c r="D684" s="662"/>
      <c r="E684" s="662">
        <v>1</v>
      </c>
      <c r="F684" s="498">
        <f>6+2*0.83</f>
        <v>7.66</v>
      </c>
      <c r="G684" s="642">
        <v>0.83</v>
      </c>
      <c r="H684" s="642">
        <v>1</v>
      </c>
      <c r="I684" s="499"/>
      <c r="J684" s="507"/>
      <c r="K684" s="455"/>
      <c r="L684" s="312"/>
      <c r="M684" s="722"/>
      <c r="N684" s="722"/>
      <c r="O684" s="722"/>
      <c r="P684" s="722"/>
      <c r="Q684" s="611"/>
      <c r="R684" s="611"/>
      <c r="S684" s="611"/>
      <c r="T684" s="611"/>
      <c r="U684" s="611"/>
      <c r="V684" s="624"/>
      <c r="W684" s="624">
        <f t="shared" si="161"/>
        <v>0</v>
      </c>
      <c r="X684" s="624">
        <f t="shared" si="161"/>
        <v>0</v>
      </c>
      <c r="Y684" s="624">
        <f t="shared" si="161"/>
        <v>0</v>
      </c>
      <c r="Z684" s="624">
        <f t="shared" si="161"/>
        <v>0</v>
      </c>
      <c r="AA684" s="624">
        <f t="shared" si="161"/>
        <v>0</v>
      </c>
      <c r="AB684" s="624">
        <f t="shared" si="161"/>
        <v>0</v>
      </c>
      <c r="AC684" s="624">
        <f t="shared" si="161"/>
        <v>0</v>
      </c>
      <c r="AD684" s="624">
        <f t="shared" si="161"/>
        <v>0</v>
      </c>
      <c r="AE684" s="624">
        <f t="shared" si="161"/>
        <v>0</v>
      </c>
      <c r="AF684" s="471">
        <f>14*0.75*1*2</f>
        <v>21</v>
      </c>
      <c r="AG684" s="473"/>
      <c r="AH684" s="471"/>
      <c r="AI684" s="471"/>
      <c r="AJ684" s="471"/>
      <c r="AM684" s="404"/>
      <c r="AP684" s="404"/>
      <c r="AQ684" s="404"/>
    </row>
    <row r="685" spans="1:43" s="776" customFormat="1" ht="22.25" customHeight="1">
      <c r="A685" s="769"/>
      <c r="B685" s="770" t="s">
        <v>543</v>
      </c>
      <c r="C685" s="665"/>
      <c r="D685" s="665"/>
      <c r="E685" s="665"/>
      <c r="F685" s="751"/>
      <c r="G685" s="773"/>
      <c r="H685" s="778"/>
      <c r="I685" s="774"/>
      <c r="J685" s="778"/>
      <c r="K685" s="480"/>
      <c r="L685" s="774"/>
      <c r="M685" s="760"/>
      <c r="N685" s="781"/>
      <c r="O685" s="782"/>
      <c r="P685" s="781"/>
      <c r="Q685" s="756"/>
      <c r="R685" s="756"/>
      <c r="S685" s="757"/>
      <c r="T685" s="758"/>
      <c r="U685" s="759"/>
      <c r="V685" s="757"/>
      <c r="W685" s="757">
        <f t="shared" ref="W685:AE700" si="162">IF($R685=W$5,$V685,0)</f>
        <v>0</v>
      </c>
      <c r="X685" s="757">
        <f t="shared" si="162"/>
        <v>0</v>
      </c>
      <c r="Y685" s="757">
        <f t="shared" si="162"/>
        <v>0</v>
      </c>
      <c r="Z685" s="757">
        <f t="shared" si="162"/>
        <v>0</v>
      </c>
      <c r="AA685" s="757">
        <f t="shared" si="162"/>
        <v>0</v>
      </c>
      <c r="AB685" s="757">
        <f t="shared" si="162"/>
        <v>0</v>
      </c>
      <c r="AC685" s="757">
        <f t="shared" si="162"/>
        <v>0</v>
      </c>
      <c r="AD685" s="757">
        <f t="shared" si="162"/>
        <v>0</v>
      </c>
      <c r="AE685" s="757">
        <f t="shared" si="162"/>
        <v>0</v>
      </c>
      <c r="AF685" s="772" t="e">
        <f>((#REF!+#REF!/12)-(1.5/12)*2)*4+0.25*2</f>
        <v>#REF!</v>
      </c>
      <c r="AI685" s="777"/>
      <c r="AL685" s="777"/>
      <c r="AM685" s="777"/>
    </row>
    <row r="686" spans="1:43" s="776" customFormat="1" ht="22.25" customHeight="1">
      <c r="A686" s="769"/>
      <c r="B686" s="770" t="s">
        <v>483</v>
      </c>
      <c r="C686" s="665"/>
      <c r="D686" s="665">
        <v>3</v>
      </c>
      <c r="E686" s="665">
        <f>E684</f>
        <v>1</v>
      </c>
      <c r="F686" s="751">
        <f>U686</f>
        <v>2.8680280402316365</v>
      </c>
      <c r="G686" s="773"/>
      <c r="H686" s="778"/>
      <c r="I686" s="774"/>
      <c r="J686" s="492">
        <f>IF(I686=0,1,I686)*IF(H686=0,1,H686)*IF(G686=0,1,G686)*IF(F686=0,1,F686)*IF(E686=0,1,E686)*IF(D686=0,1,D686)*IF(C686=0,1,C686)</f>
        <v>8.6040841206949104</v>
      </c>
      <c r="K686" s="480"/>
      <c r="L686" s="774"/>
      <c r="M686" s="760">
        <f>G684/3.281</f>
        <v>0.25297165498323682</v>
      </c>
      <c r="N686" s="781">
        <f>F684/3.281</f>
        <v>2.3346540688814383</v>
      </c>
      <c r="O686" s="768">
        <f>E686</f>
        <v>1</v>
      </c>
      <c r="P686" s="781">
        <f>(1.5/12)/3.281</f>
        <v>3.8098140810728431E-2</v>
      </c>
      <c r="Q686" s="756" t="s">
        <v>541</v>
      </c>
      <c r="R686" s="756">
        <v>16</v>
      </c>
      <c r="S686" s="757"/>
      <c r="T686" s="758">
        <f>D686</f>
        <v>3</v>
      </c>
      <c r="U686" s="759">
        <f>N686-2*P686+2*M687</f>
        <v>2.8680280402316365</v>
      </c>
      <c r="V686" s="757">
        <f>T686*U686*O686</f>
        <v>8.6040841206949104</v>
      </c>
      <c r="W686" s="757">
        <f t="shared" si="162"/>
        <v>0</v>
      </c>
      <c r="X686" s="757">
        <f t="shared" si="162"/>
        <v>0</v>
      </c>
      <c r="Y686" s="757">
        <f t="shared" si="162"/>
        <v>0</v>
      </c>
      <c r="Z686" s="757">
        <f t="shared" si="162"/>
        <v>0</v>
      </c>
      <c r="AA686" s="757">
        <f t="shared" si="162"/>
        <v>8.6040841206949104</v>
      </c>
      <c r="AB686" s="757">
        <f t="shared" si="162"/>
        <v>0</v>
      </c>
      <c r="AC686" s="757">
        <f t="shared" si="162"/>
        <v>0</v>
      </c>
      <c r="AD686" s="757">
        <f t="shared" si="162"/>
        <v>0</v>
      </c>
      <c r="AE686" s="757">
        <f t="shared" si="162"/>
        <v>0</v>
      </c>
      <c r="AF686" s="772" t="e">
        <f>(#REF!+#REF!/12)-0.25+0.5+0.25*2</f>
        <v>#REF!</v>
      </c>
      <c r="AI686" s="777"/>
      <c r="AL686" s="777"/>
      <c r="AM686" s="777"/>
    </row>
    <row r="687" spans="1:43" s="776" customFormat="1" ht="22.25" customHeight="1">
      <c r="A687" s="769"/>
      <c r="B687" s="770" t="s">
        <v>483</v>
      </c>
      <c r="C687" s="665"/>
      <c r="D687" s="665">
        <v>3</v>
      </c>
      <c r="E687" s="665">
        <f>E686</f>
        <v>1</v>
      </c>
      <c r="F687" s="751">
        <f>U687</f>
        <v>2.531242913745809</v>
      </c>
      <c r="G687" s="773"/>
      <c r="H687" s="778"/>
      <c r="I687" s="774"/>
      <c r="J687" s="492">
        <f>IF(I687=0,1,I687)*IF(H687=0,1,H687)*IF(G687=0,1,G687)*IF(F687=0,1,F687)*IF(E687=0,1,E687)*IF(D687=0,1,D687)*IF(C687=0,1,C687)</f>
        <v>7.5937287412374275</v>
      </c>
      <c r="K687" s="480"/>
      <c r="L687" s="774"/>
      <c r="M687" s="760">
        <f>H684/3.281</f>
        <v>0.30478512648582745</v>
      </c>
      <c r="N687" s="781"/>
      <c r="O687" s="768">
        <f>E687</f>
        <v>1</v>
      </c>
      <c r="P687" s="781">
        <f>(1.5/12)/3.281</f>
        <v>3.8098140810728431E-2</v>
      </c>
      <c r="Q687" s="756" t="s">
        <v>457</v>
      </c>
      <c r="R687" s="756">
        <v>16</v>
      </c>
      <c r="S687" s="757"/>
      <c r="T687" s="758">
        <f>D687</f>
        <v>3</v>
      </c>
      <c r="U687" s="759">
        <f>N686-2*P687-2*R687/1000+2*((M687/2))</f>
        <v>2.531242913745809</v>
      </c>
      <c r="V687" s="757">
        <f>T687*U687*O687</f>
        <v>7.5937287412374275</v>
      </c>
      <c r="W687" s="757">
        <f t="shared" si="162"/>
        <v>0</v>
      </c>
      <c r="X687" s="757">
        <f t="shared" si="162"/>
        <v>0</v>
      </c>
      <c r="Y687" s="757">
        <f t="shared" si="162"/>
        <v>0</v>
      </c>
      <c r="Z687" s="757">
        <f t="shared" si="162"/>
        <v>0</v>
      </c>
      <c r="AA687" s="757">
        <f t="shared" si="162"/>
        <v>7.5937287412374275</v>
      </c>
      <c r="AB687" s="757">
        <f t="shared" si="162"/>
        <v>0</v>
      </c>
      <c r="AC687" s="757">
        <f t="shared" si="162"/>
        <v>0</v>
      </c>
      <c r="AD687" s="757">
        <f t="shared" si="162"/>
        <v>0</v>
      </c>
      <c r="AE687" s="757">
        <f t="shared" si="162"/>
        <v>0</v>
      </c>
      <c r="AF687" s="772" t="e">
        <f>(#REF!+#REF!/12)-0.25+0.5+0.25*2</f>
        <v>#REF!</v>
      </c>
      <c r="AI687" s="777"/>
      <c r="AL687" s="777"/>
      <c r="AM687" s="777"/>
    </row>
    <row r="688" spans="1:43" s="776" customFormat="1" ht="22.25" customHeight="1">
      <c r="A688" s="769"/>
      <c r="B688" s="770" t="s">
        <v>542</v>
      </c>
      <c r="C688" s="665"/>
      <c r="D688" s="665"/>
      <c r="E688" s="665"/>
      <c r="F688" s="751"/>
      <c r="G688" s="773"/>
      <c r="H688" s="778"/>
      <c r="I688" s="774"/>
      <c r="J688" s="778"/>
      <c r="K688" s="480"/>
      <c r="L688" s="774"/>
      <c r="M688" s="760"/>
      <c r="N688" s="781"/>
      <c r="O688" s="782"/>
      <c r="P688" s="781"/>
      <c r="Q688" s="756"/>
      <c r="R688" s="756"/>
      <c r="S688" s="757"/>
      <c r="T688" s="758"/>
      <c r="U688" s="759"/>
      <c r="V688" s="757"/>
      <c r="W688" s="757">
        <f t="shared" si="162"/>
        <v>0</v>
      </c>
      <c r="X688" s="757">
        <f t="shared" si="162"/>
        <v>0</v>
      </c>
      <c r="Y688" s="757">
        <f t="shared" si="162"/>
        <v>0</v>
      </c>
      <c r="Z688" s="757">
        <f t="shared" si="162"/>
        <v>0</v>
      </c>
      <c r="AA688" s="757">
        <f t="shared" si="162"/>
        <v>0</v>
      </c>
      <c r="AB688" s="757">
        <f t="shared" si="162"/>
        <v>0</v>
      </c>
      <c r="AC688" s="757">
        <f t="shared" si="162"/>
        <v>0</v>
      </c>
      <c r="AD688" s="757">
        <f t="shared" si="162"/>
        <v>0</v>
      </c>
      <c r="AE688" s="757">
        <f t="shared" si="162"/>
        <v>0</v>
      </c>
      <c r="AF688" s="772" t="e">
        <f>((#REF!+#REF!/12)-(1.5/12)*2)*4+0.25*2</f>
        <v>#REF!</v>
      </c>
      <c r="AI688" s="777"/>
      <c r="AL688" s="777"/>
      <c r="AM688" s="777"/>
    </row>
    <row r="689" spans="1:43" s="776" customFormat="1" ht="22.25" customHeight="1">
      <c r="A689" s="769"/>
      <c r="B689" s="770" t="s">
        <v>484</v>
      </c>
      <c r="C689" s="665"/>
      <c r="D689" s="665">
        <f>T689</f>
        <v>13</v>
      </c>
      <c r="E689" s="665">
        <f>E686</f>
        <v>1</v>
      </c>
      <c r="F689" s="751">
        <f>U689</f>
        <v>0.97072843645230111</v>
      </c>
      <c r="G689" s="779"/>
      <c r="H689" s="780"/>
      <c r="I689" s="774"/>
      <c r="J689" s="492">
        <f>IF(I689=0,1,I689)*IF(H689=0,1,H689)*IF(G689=0,1,G689)*IF(F689=0,1,F689)*IF(E689=0,1,E689)*IF(D689=0,1,D689)*IF(C689=0,1,C689)</f>
        <v>12.619469673879914</v>
      </c>
      <c r="K689" s="480"/>
      <c r="L689" s="774"/>
      <c r="N689" s="781"/>
      <c r="O689" s="782">
        <f>O686</f>
        <v>1</v>
      </c>
      <c r="P689" s="781"/>
      <c r="Q689" s="756" t="s">
        <v>463</v>
      </c>
      <c r="R689" s="756">
        <v>10</v>
      </c>
      <c r="S689" s="757">
        <f>4/(12*3.281)</f>
        <v>0.1015950421619425</v>
      </c>
      <c r="T689" s="758">
        <f>2*(ROUND(2*M687/S689,0))+1</f>
        <v>13</v>
      </c>
      <c r="U689" s="759">
        <f>2*(M686+M687)-8*P686+2*8*R689/1000</f>
        <v>0.97072843645230111</v>
      </c>
      <c r="V689" s="757">
        <f>T689*U689*O689</f>
        <v>12.619469673879914</v>
      </c>
      <c r="W689" s="757">
        <f t="shared" si="162"/>
        <v>0</v>
      </c>
      <c r="X689" s="757">
        <f t="shared" si="162"/>
        <v>0</v>
      </c>
      <c r="Y689" s="757">
        <f t="shared" si="162"/>
        <v>12.619469673879914</v>
      </c>
      <c r="Z689" s="757">
        <f t="shared" si="162"/>
        <v>0</v>
      </c>
      <c r="AA689" s="757">
        <f t="shared" si="162"/>
        <v>0</v>
      </c>
      <c r="AB689" s="757">
        <f t="shared" si="162"/>
        <v>0</v>
      </c>
      <c r="AC689" s="757">
        <f t="shared" si="162"/>
        <v>0</v>
      </c>
      <c r="AD689" s="757">
        <f t="shared" si="162"/>
        <v>0</v>
      </c>
      <c r="AE689" s="757">
        <f t="shared" si="162"/>
        <v>0</v>
      </c>
      <c r="AF689" s="777"/>
      <c r="AI689" s="777"/>
      <c r="AL689" s="777"/>
      <c r="AM689" s="777"/>
    </row>
    <row r="690" spans="1:43" s="776" customFormat="1" ht="22.25" customHeight="1">
      <c r="A690" s="769"/>
      <c r="B690" s="770" t="s">
        <v>484</v>
      </c>
      <c r="C690" s="665"/>
      <c r="D690" s="665">
        <f>T690</f>
        <v>8</v>
      </c>
      <c r="E690" s="665">
        <f>E689</f>
        <v>1</v>
      </c>
      <c r="F690" s="751">
        <f>U690</f>
        <v>0.97072843645230111</v>
      </c>
      <c r="G690" s="779"/>
      <c r="H690" s="780"/>
      <c r="I690" s="774"/>
      <c r="J690" s="492">
        <f>IF(I690=0,1,I690)*IF(H690=0,1,H690)*IF(G690=0,1,G690)*IF(F690=0,1,F690)*IF(E690=0,1,E690)*IF(D690=0,1,D690)*IF(C690=0,1,C690)</f>
        <v>7.7658274916184089</v>
      </c>
      <c r="K690" s="480"/>
      <c r="L690" s="774"/>
      <c r="M690" s="760"/>
      <c r="N690" s="781"/>
      <c r="O690" s="782">
        <f>O689</f>
        <v>1</v>
      </c>
      <c r="P690" s="781"/>
      <c r="Q690" s="756" t="s">
        <v>463</v>
      </c>
      <c r="R690" s="756">
        <v>10</v>
      </c>
      <c r="S690" s="757">
        <f>6/(12*3.281)</f>
        <v>0.15239256324291375</v>
      </c>
      <c r="T690" s="758">
        <f>(ROUND((N686-4*M687)/S690,0))+1</f>
        <v>8</v>
      </c>
      <c r="U690" s="759">
        <f>2*(M686+M687)-8*P686+2*8*R690/1000</f>
        <v>0.97072843645230111</v>
      </c>
      <c r="V690" s="757">
        <f>T690*U690*O690</f>
        <v>7.7658274916184089</v>
      </c>
      <c r="W690" s="757">
        <f t="shared" si="162"/>
        <v>0</v>
      </c>
      <c r="X690" s="757">
        <f t="shared" si="162"/>
        <v>0</v>
      </c>
      <c r="Y690" s="757">
        <f t="shared" si="162"/>
        <v>7.7658274916184089</v>
      </c>
      <c r="Z690" s="757">
        <f t="shared" si="162"/>
        <v>0</v>
      </c>
      <c r="AA690" s="757">
        <f t="shared" si="162"/>
        <v>0</v>
      </c>
      <c r="AB690" s="757">
        <f t="shared" si="162"/>
        <v>0</v>
      </c>
      <c r="AC690" s="757">
        <f t="shared" si="162"/>
        <v>0</v>
      </c>
      <c r="AD690" s="757">
        <f t="shared" si="162"/>
        <v>0</v>
      </c>
      <c r="AE690" s="757">
        <f t="shared" si="162"/>
        <v>0</v>
      </c>
      <c r="AF690" s="777"/>
      <c r="AI690" s="777"/>
      <c r="AL690" s="777"/>
      <c r="AM690" s="777"/>
    </row>
    <row r="691" spans="1:43" s="390" customFormat="1" ht="22.25" customHeight="1">
      <c r="A691" s="454"/>
      <c r="B691" s="657" t="s">
        <v>762</v>
      </c>
      <c r="C691" s="662"/>
      <c r="D691" s="662">
        <v>2</v>
      </c>
      <c r="E691" s="662">
        <v>5</v>
      </c>
      <c r="F691" s="498">
        <f>14.5</f>
        <v>14.5</v>
      </c>
      <c r="G691" s="642">
        <f>G684</f>
        <v>0.83</v>
      </c>
      <c r="H691" s="642">
        <f>H684</f>
        <v>1</v>
      </c>
      <c r="I691" s="499"/>
      <c r="J691" s="507"/>
      <c r="K691" s="455"/>
      <c r="L691" s="312"/>
      <c r="M691" s="722"/>
      <c r="N691" s="722"/>
      <c r="O691" s="722"/>
      <c r="P691" s="722"/>
      <c r="Q691" s="611"/>
      <c r="R691" s="611"/>
      <c r="S691" s="624"/>
      <c r="T691" s="625"/>
      <c r="U691" s="626"/>
      <c r="V691" s="624"/>
      <c r="W691" s="624">
        <f t="shared" ref="W691:AE691" si="163">IF($R691=W$5,$V691,0)</f>
        <v>0</v>
      </c>
      <c r="X691" s="624">
        <f t="shared" si="163"/>
        <v>0</v>
      </c>
      <c r="Y691" s="624">
        <f t="shared" si="163"/>
        <v>0</v>
      </c>
      <c r="Z691" s="624">
        <f t="shared" si="163"/>
        <v>0</v>
      </c>
      <c r="AA691" s="624">
        <f t="shared" si="163"/>
        <v>0</v>
      </c>
      <c r="AB691" s="624">
        <f t="shared" si="163"/>
        <v>0</v>
      </c>
      <c r="AC691" s="624">
        <f t="shared" si="163"/>
        <v>0</v>
      </c>
      <c r="AD691" s="624">
        <f t="shared" si="163"/>
        <v>0</v>
      </c>
      <c r="AE691" s="624">
        <f t="shared" si="163"/>
        <v>0</v>
      </c>
      <c r="AF691" s="471"/>
      <c r="AG691" s="473"/>
      <c r="AH691" s="471"/>
      <c r="AI691" s="471"/>
      <c r="AJ691" s="471"/>
      <c r="AM691" s="404"/>
      <c r="AP691" s="404"/>
      <c r="AQ691" s="404"/>
    </row>
    <row r="692" spans="1:43" s="776" customFormat="1" ht="22.25" customHeight="1">
      <c r="A692" s="769"/>
      <c r="B692" s="770" t="s">
        <v>543</v>
      </c>
      <c r="C692" s="665"/>
      <c r="D692" s="665"/>
      <c r="E692" s="665"/>
      <c r="F692" s="751"/>
      <c r="G692" s="773"/>
      <c r="H692" s="778"/>
      <c r="I692" s="774"/>
      <c r="J692" s="778"/>
      <c r="K692" s="480"/>
      <c r="L692" s="774"/>
      <c r="M692" s="760"/>
      <c r="N692" s="781"/>
      <c r="O692" s="782"/>
      <c r="P692" s="781"/>
      <c r="Q692" s="756"/>
      <c r="R692" s="756"/>
      <c r="S692" s="757"/>
      <c r="T692" s="758"/>
      <c r="U692" s="759"/>
      <c r="V692" s="757"/>
      <c r="W692" s="757">
        <f t="shared" si="162"/>
        <v>0</v>
      </c>
      <c r="X692" s="757">
        <f t="shared" si="162"/>
        <v>0</v>
      </c>
      <c r="Y692" s="757">
        <f t="shared" si="162"/>
        <v>0</v>
      </c>
      <c r="Z692" s="757">
        <f t="shared" si="162"/>
        <v>0</v>
      </c>
      <c r="AA692" s="757">
        <f t="shared" si="162"/>
        <v>0</v>
      </c>
      <c r="AB692" s="757">
        <f t="shared" si="162"/>
        <v>0</v>
      </c>
      <c r="AC692" s="757">
        <f t="shared" si="162"/>
        <v>0</v>
      </c>
      <c r="AD692" s="757">
        <f t="shared" si="162"/>
        <v>0</v>
      </c>
      <c r="AE692" s="757">
        <f t="shared" si="162"/>
        <v>0</v>
      </c>
      <c r="AF692" s="772" t="e">
        <f>((#REF!+#REF!/12)-(1.5/12)*2)*4+0.25*2</f>
        <v>#REF!</v>
      </c>
      <c r="AI692" s="777"/>
      <c r="AL692" s="777"/>
      <c r="AM692" s="777"/>
    </row>
    <row r="693" spans="1:43" s="776" customFormat="1" ht="22.25" customHeight="1">
      <c r="A693" s="769"/>
      <c r="B693" s="770" t="s">
        <v>483</v>
      </c>
      <c r="C693" s="665"/>
      <c r="D693" s="665">
        <v>3</v>
      </c>
      <c r="E693" s="665">
        <f>E691*D691</f>
        <v>10</v>
      </c>
      <c r="F693" s="751">
        <f>U693</f>
        <v>4.9527583053946964</v>
      </c>
      <c r="G693" s="773"/>
      <c r="H693" s="778"/>
      <c r="I693" s="774"/>
      <c r="J693" s="492">
        <f>IF(I693=0,1,I693)*IF(H693=0,1,H693)*IF(G693=0,1,G693)*IF(F693=0,1,F693)*IF(E693=0,1,E693)*IF(D693=0,1,D693)*IF(C693=0,1,C693)</f>
        <v>148.58274916184089</v>
      </c>
      <c r="K693" s="480"/>
      <c r="L693" s="774"/>
      <c r="M693" s="760">
        <f>G691/3.281</f>
        <v>0.25297165498323682</v>
      </c>
      <c r="N693" s="781">
        <f>F691/3.281</f>
        <v>4.4193843340444987</v>
      </c>
      <c r="O693" s="768">
        <f>E693</f>
        <v>10</v>
      </c>
      <c r="P693" s="781">
        <f>(1.5/12)/3.281</f>
        <v>3.8098140810728431E-2</v>
      </c>
      <c r="Q693" s="756" t="s">
        <v>541</v>
      </c>
      <c r="R693" s="756">
        <v>16</v>
      </c>
      <c r="S693" s="757"/>
      <c r="T693" s="758">
        <f>D693</f>
        <v>3</v>
      </c>
      <c r="U693" s="759">
        <f>N693-2*P693+2*M694</f>
        <v>4.9527583053946964</v>
      </c>
      <c r="V693" s="757">
        <f>T693*U693*O693</f>
        <v>148.58274916184089</v>
      </c>
      <c r="W693" s="757">
        <f t="shared" si="162"/>
        <v>0</v>
      </c>
      <c r="X693" s="757">
        <f t="shared" si="162"/>
        <v>0</v>
      </c>
      <c r="Y693" s="757">
        <f t="shared" si="162"/>
        <v>0</v>
      </c>
      <c r="Z693" s="757">
        <f t="shared" si="162"/>
        <v>0</v>
      </c>
      <c r="AA693" s="757">
        <f t="shared" si="162"/>
        <v>148.58274916184089</v>
      </c>
      <c r="AB693" s="757">
        <f t="shared" si="162"/>
        <v>0</v>
      </c>
      <c r="AC693" s="757">
        <f t="shared" si="162"/>
        <v>0</v>
      </c>
      <c r="AD693" s="757">
        <f t="shared" si="162"/>
        <v>0</v>
      </c>
      <c r="AE693" s="757">
        <f t="shared" si="162"/>
        <v>0</v>
      </c>
      <c r="AF693" s="772" t="e">
        <f>(#REF!+#REF!/12)-0.25+0.5+0.25*2</f>
        <v>#REF!</v>
      </c>
      <c r="AI693" s="777"/>
      <c r="AL693" s="777"/>
      <c r="AM693" s="777"/>
    </row>
    <row r="694" spans="1:43" s="776" customFormat="1" ht="22.25" customHeight="1">
      <c r="A694" s="769"/>
      <c r="B694" s="770" t="s">
        <v>483</v>
      </c>
      <c r="C694" s="665"/>
      <c r="D694" s="665">
        <v>3</v>
      </c>
      <c r="E694" s="665">
        <f>E693</f>
        <v>10</v>
      </c>
      <c r="F694" s="751">
        <f>U694</f>
        <v>4.6159731789088685</v>
      </c>
      <c r="G694" s="773"/>
      <c r="H694" s="778"/>
      <c r="I694" s="774"/>
      <c r="J694" s="492">
        <f>IF(I694=0,1,I694)*IF(H694=0,1,H694)*IF(G694=0,1,G694)*IF(F694=0,1,F694)*IF(E694=0,1,E694)*IF(D694=0,1,D694)*IF(C694=0,1,C694)</f>
        <v>138.47919536726604</v>
      </c>
      <c r="K694" s="480"/>
      <c r="L694" s="774"/>
      <c r="M694" s="760">
        <f>H691/3.281</f>
        <v>0.30478512648582745</v>
      </c>
      <c r="N694" s="781"/>
      <c r="O694" s="768">
        <f>E694</f>
        <v>10</v>
      </c>
      <c r="P694" s="781">
        <f>(1.5/12)/3.281</f>
        <v>3.8098140810728431E-2</v>
      </c>
      <c r="Q694" s="756" t="s">
        <v>457</v>
      </c>
      <c r="R694" s="756">
        <v>16</v>
      </c>
      <c r="S694" s="757"/>
      <c r="T694" s="758">
        <f>D694</f>
        <v>3</v>
      </c>
      <c r="U694" s="759">
        <f>N693-2*P694-2*R694/1000+2*((M694/2))</f>
        <v>4.6159731789088685</v>
      </c>
      <c r="V694" s="757">
        <f>T694*U694*O694</f>
        <v>138.47919536726604</v>
      </c>
      <c r="W694" s="757">
        <f t="shared" si="162"/>
        <v>0</v>
      </c>
      <c r="X694" s="757">
        <f t="shared" si="162"/>
        <v>0</v>
      </c>
      <c r="Y694" s="757">
        <f t="shared" si="162"/>
        <v>0</v>
      </c>
      <c r="Z694" s="757">
        <f t="shared" si="162"/>
        <v>0</v>
      </c>
      <c r="AA694" s="757">
        <f t="shared" si="162"/>
        <v>138.47919536726604</v>
      </c>
      <c r="AB694" s="757">
        <f t="shared" si="162"/>
        <v>0</v>
      </c>
      <c r="AC694" s="757">
        <f t="shared" si="162"/>
        <v>0</v>
      </c>
      <c r="AD694" s="757">
        <f t="shared" si="162"/>
        <v>0</v>
      </c>
      <c r="AE694" s="757">
        <f t="shared" si="162"/>
        <v>0</v>
      </c>
      <c r="AF694" s="772" t="e">
        <f>(#REF!+#REF!/12)-0.25+0.5+0.25*2</f>
        <v>#REF!</v>
      </c>
      <c r="AI694" s="777"/>
      <c r="AL694" s="777"/>
      <c r="AM694" s="777"/>
    </row>
    <row r="695" spans="1:43" s="776" customFormat="1" ht="22.25" customHeight="1">
      <c r="A695" s="769"/>
      <c r="B695" s="770" t="s">
        <v>542</v>
      </c>
      <c r="C695" s="665"/>
      <c r="D695" s="665"/>
      <c r="E695" s="665"/>
      <c r="F695" s="751"/>
      <c r="G695" s="773"/>
      <c r="H695" s="778"/>
      <c r="I695" s="774"/>
      <c r="J695" s="778"/>
      <c r="K695" s="480"/>
      <c r="L695" s="774"/>
      <c r="M695" s="760"/>
      <c r="N695" s="781"/>
      <c r="O695" s="782"/>
      <c r="P695" s="781"/>
      <c r="Q695" s="756"/>
      <c r="R695" s="756"/>
      <c r="S695" s="757"/>
      <c r="T695" s="758"/>
      <c r="U695" s="759"/>
      <c r="V695" s="757"/>
      <c r="W695" s="757">
        <f t="shared" si="162"/>
        <v>0</v>
      </c>
      <c r="X695" s="757">
        <f t="shared" si="162"/>
        <v>0</v>
      </c>
      <c r="Y695" s="757">
        <f t="shared" si="162"/>
        <v>0</v>
      </c>
      <c r="Z695" s="757">
        <f t="shared" si="162"/>
        <v>0</v>
      </c>
      <c r="AA695" s="757">
        <f t="shared" si="162"/>
        <v>0</v>
      </c>
      <c r="AB695" s="757">
        <f t="shared" si="162"/>
        <v>0</v>
      </c>
      <c r="AC695" s="757">
        <f t="shared" si="162"/>
        <v>0</v>
      </c>
      <c r="AD695" s="757">
        <f t="shared" si="162"/>
        <v>0</v>
      </c>
      <c r="AE695" s="757">
        <f t="shared" si="162"/>
        <v>0</v>
      </c>
      <c r="AF695" s="772" t="e">
        <f>((#REF!+#REF!/12)-(1.5/12)*2)*4+0.25*2</f>
        <v>#REF!</v>
      </c>
      <c r="AI695" s="777"/>
      <c r="AL695" s="777"/>
      <c r="AM695" s="777"/>
    </row>
    <row r="696" spans="1:43" s="776" customFormat="1" ht="22.25" customHeight="1">
      <c r="A696" s="769"/>
      <c r="B696" s="770" t="s">
        <v>484</v>
      </c>
      <c r="C696" s="665"/>
      <c r="D696" s="665">
        <f>T696</f>
        <v>13</v>
      </c>
      <c r="E696" s="665">
        <f>E693</f>
        <v>10</v>
      </c>
      <c r="F696" s="751">
        <f>U696</f>
        <v>0.97072843645230111</v>
      </c>
      <c r="G696" s="779"/>
      <c r="H696" s="780"/>
      <c r="I696" s="774"/>
      <c r="J696" s="492">
        <f>IF(I696=0,1,I696)*IF(H696=0,1,H696)*IF(G696=0,1,G696)*IF(F696=0,1,F696)*IF(E696=0,1,E696)*IF(D696=0,1,D696)*IF(C696=0,1,C696)</f>
        <v>126.19469673879914</v>
      </c>
      <c r="K696" s="480"/>
      <c r="L696" s="774"/>
      <c r="N696" s="781"/>
      <c r="O696" s="782">
        <f>O693</f>
        <v>10</v>
      </c>
      <c r="P696" s="781"/>
      <c r="Q696" s="756" t="s">
        <v>463</v>
      </c>
      <c r="R696" s="756">
        <v>10</v>
      </c>
      <c r="S696" s="757">
        <f>4/(12*3.281)</f>
        <v>0.1015950421619425</v>
      </c>
      <c r="T696" s="758">
        <f>2*(ROUND(2*M694/S696,0))+1</f>
        <v>13</v>
      </c>
      <c r="U696" s="759">
        <f>2*(M693+M694)-8*P693+2*8*R696/1000</f>
        <v>0.97072843645230111</v>
      </c>
      <c r="V696" s="757">
        <f>T696*U696*O696</f>
        <v>126.19469673879914</v>
      </c>
      <c r="W696" s="757">
        <f t="shared" si="162"/>
        <v>0</v>
      </c>
      <c r="X696" s="757">
        <f t="shared" si="162"/>
        <v>0</v>
      </c>
      <c r="Y696" s="757">
        <f t="shared" si="162"/>
        <v>126.19469673879914</v>
      </c>
      <c r="Z696" s="757">
        <f t="shared" si="162"/>
        <v>0</v>
      </c>
      <c r="AA696" s="757">
        <f t="shared" si="162"/>
        <v>0</v>
      </c>
      <c r="AB696" s="757">
        <f t="shared" si="162"/>
        <v>0</v>
      </c>
      <c r="AC696" s="757">
        <f t="shared" si="162"/>
        <v>0</v>
      </c>
      <c r="AD696" s="757">
        <f t="shared" si="162"/>
        <v>0</v>
      </c>
      <c r="AE696" s="757">
        <f t="shared" si="162"/>
        <v>0</v>
      </c>
      <c r="AF696" s="777"/>
      <c r="AI696" s="777"/>
      <c r="AL696" s="777"/>
      <c r="AM696" s="777"/>
    </row>
    <row r="697" spans="1:43" s="776" customFormat="1" ht="22.25" customHeight="1">
      <c r="A697" s="769"/>
      <c r="B697" s="770" t="s">
        <v>484</v>
      </c>
      <c r="C697" s="665"/>
      <c r="D697" s="665">
        <f>T697</f>
        <v>22</v>
      </c>
      <c r="E697" s="665">
        <f>E696</f>
        <v>10</v>
      </c>
      <c r="F697" s="751">
        <f>U697</f>
        <v>0.97072843645230111</v>
      </c>
      <c r="G697" s="779"/>
      <c r="H697" s="780"/>
      <c r="I697" s="774"/>
      <c r="J697" s="492">
        <f>IF(I697=0,1,I697)*IF(H697=0,1,H697)*IF(G697=0,1,G697)*IF(F697=0,1,F697)*IF(E697=0,1,E697)*IF(D697=0,1,D697)*IF(C697=0,1,C697)</f>
        <v>213.56025601950623</v>
      </c>
      <c r="K697" s="480"/>
      <c r="L697" s="774"/>
      <c r="M697" s="760"/>
      <c r="N697" s="781"/>
      <c r="O697" s="782">
        <f>O696</f>
        <v>10</v>
      </c>
      <c r="P697" s="781"/>
      <c r="Q697" s="756" t="s">
        <v>463</v>
      </c>
      <c r="R697" s="756">
        <v>10</v>
      </c>
      <c r="S697" s="757">
        <f>6/(12*3.281)</f>
        <v>0.15239256324291375</v>
      </c>
      <c r="T697" s="758">
        <f>(ROUND((N693-4*M694)/S697,0))+1</f>
        <v>22</v>
      </c>
      <c r="U697" s="759">
        <f>2*(M693+M694)-8*P693+2*8*R697/1000</f>
        <v>0.97072843645230111</v>
      </c>
      <c r="V697" s="757">
        <f>T697*U697*O697</f>
        <v>213.56025601950623</v>
      </c>
      <c r="W697" s="757">
        <f t="shared" si="162"/>
        <v>0</v>
      </c>
      <c r="X697" s="757">
        <f t="shared" si="162"/>
        <v>0</v>
      </c>
      <c r="Y697" s="757">
        <f t="shared" si="162"/>
        <v>213.56025601950623</v>
      </c>
      <c r="Z697" s="757">
        <f t="shared" si="162"/>
        <v>0</v>
      </c>
      <c r="AA697" s="757">
        <f t="shared" si="162"/>
        <v>0</v>
      </c>
      <c r="AB697" s="757">
        <f t="shared" si="162"/>
        <v>0</v>
      </c>
      <c r="AC697" s="757">
        <f t="shared" si="162"/>
        <v>0</v>
      </c>
      <c r="AD697" s="757">
        <f t="shared" si="162"/>
        <v>0</v>
      </c>
      <c r="AE697" s="757">
        <f t="shared" si="162"/>
        <v>0</v>
      </c>
      <c r="AF697" s="777"/>
      <c r="AI697" s="777"/>
      <c r="AL697" s="777"/>
      <c r="AM697" s="777"/>
    </row>
    <row r="698" spans="1:43" s="390" customFormat="1" ht="22.25" customHeight="1">
      <c r="A698" s="454"/>
      <c r="B698" s="657" t="s">
        <v>733</v>
      </c>
      <c r="C698" s="662"/>
      <c r="D698" s="662"/>
      <c r="E698" s="662">
        <v>1</v>
      </c>
      <c r="F698" s="498">
        <f>35</f>
        <v>35</v>
      </c>
      <c r="G698" s="642">
        <f>G691</f>
        <v>0.83</v>
      </c>
      <c r="H698" s="642">
        <f>H691</f>
        <v>1</v>
      </c>
      <c r="I698" s="499"/>
      <c r="J698" s="507"/>
      <c r="K698" s="455"/>
      <c r="L698" s="312"/>
      <c r="M698" s="722"/>
      <c r="N698" s="722"/>
      <c r="O698" s="722"/>
      <c r="P698" s="722"/>
      <c r="Q698" s="611"/>
      <c r="R698" s="611"/>
      <c r="S698" s="624"/>
      <c r="T698" s="625"/>
      <c r="U698" s="626"/>
      <c r="V698" s="624"/>
      <c r="W698" s="624">
        <f t="shared" ref="W698:AE698" si="164">IF($R698=W$5,$V698,0)</f>
        <v>0</v>
      </c>
      <c r="X698" s="624">
        <f t="shared" si="164"/>
        <v>0</v>
      </c>
      <c r="Y698" s="624">
        <f t="shared" si="164"/>
        <v>0</v>
      </c>
      <c r="Z698" s="624">
        <f t="shared" si="164"/>
        <v>0</v>
      </c>
      <c r="AA698" s="624">
        <f t="shared" si="164"/>
        <v>0</v>
      </c>
      <c r="AB698" s="624">
        <f t="shared" si="164"/>
        <v>0</v>
      </c>
      <c r="AC698" s="624">
        <f t="shared" si="164"/>
        <v>0</v>
      </c>
      <c r="AD698" s="624">
        <f t="shared" si="164"/>
        <v>0</v>
      </c>
      <c r="AE698" s="624">
        <f t="shared" si="164"/>
        <v>0</v>
      </c>
      <c r="AF698" s="471"/>
      <c r="AG698" s="473"/>
      <c r="AH698" s="471"/>
      <c r="AI698" s="471"/>
      <c r="AJ698" s="471"/>
      <c r="AM698" s="404"/>
      <c r="AP698" s="404"/>
      <c r="AQ698" s="404"/>
    </row>
    <row r="699" spans="1:43" s="776" customFormat="1" ht="22.25" customHeight="1">
      <c r="A699" s="769"/>
      <c r="B699" s="770" t="s">
        <v>543</v>
      </c>
      <c r="C699" s="665"/>
      <c r="D699" s="665"/>
      <c r="E699" s="665"/>
      <c r="F699" s="751"/>
      <c r="G699" s="773"/>
      <c r="H699" s="778"/>
      <c r="I699" s="774"/>
      <c r="J699" s="778"/>
      <c r="K699" s="480"/>
      <c r="L699" s="774"/>
      <c r="M699" s="760"/>
      <c r="N699" s="781"/>
      <c r="O699" s="782"/>
      <c r="P699" s="781"/>
      <c r="Q699" s="756"/>
      <c r="R699" s="756"/>
      <c r="S699" s="757"/>
      <c r="T699" s="758"/>
      <c r="U699" s="759"/>
      <c r="V699" s="757"/>
      <c r="W699" s="757">
        <f t="shared" si="162"/>
        <v>0</v>
      </c>
      <c r="X699" s="757">
        <f t="shared" si="162"/>
        <v>0</v>
      </c>
      <c r="Y699" s="757">
        <f t="shared" si="162"/>
        <v>0</v>
      </c>
      <c r="Z699" s="757">
        <f t="shared" si="162"/>
        <v>0</v>
      </c>
      <c r="AA699" s="757">
        <f t="shared" si="162"/>
        <v>0</v>
      </c>
      <c r="AB699" s="757">
        <f t="shared" si="162"/>
        <v>0</v>
      </c>
      <c r="AC699" s="757">
        <f t="shared" si="162"/>
        <v>0</v>
      </c>
      <c r="AD699" s="757">
        <f t="shared" si="162"/>
        <v>0</v>
      </c>
      <c r="AE699" s="757">
        <f t="shared" si="162"/>
        <v>0</v>
      </c>
      <c r="AF699" s="772" t="e">
        <f>((#REF!+#REF!/12)-(1.5/12)*2)*4+0.25*2</f>
        <v>#REF!</v>
      </c>
      <c r="AI699" s="777"/>
      <c r="AL699" s="777"/>
      <c r="AM699" s="777"/>
    </row>
    <row r="700" spans="1:43" s="776" customFormat="1" ht="22.25" customHeight="1">
      <c r="A700" s="769"/>
      <c r="B700" s="770" t="s">
        <v>483</v>
      </c>
      <c r="C700" s="665"/>
      <c r="D700" s="665">
        <v>3</v>
      </c>
      <c r="E700" s="665">
        <f>E698</f>
        <v>1</v>
      </c>
      <c r="F700" s="751">
        <f>U700</f>
        <v>11.200853398354159</v>
      </c>
      <c r="G700" s="773"/>
      <c r="H700" s="778"/>
      <c r="I700" s="774"/>
      <c r="J700" s="492">
        <f>IF(I700=0,1,I700)*IF(H700=0,1,H700)*IF(G700=0,1,G700)*IF(F700=0,1,F700)*IF(E700=0,1,E700)*IF(D700=0,1,D700)*IF(C700=0,1,C700)</f>
        <v>33.60256019506248</v>
      </c>
      <c r="K700" s="480"/>
      <c r="L700" s="774"/>
      <c r="M700" s="760">
        <f>G698/3.281</f>
        <v>0.25297165498323682</v>
      </c>
      <c r="N700" s="781">
        <f>F698/3.281</f>
        <v>10.667479427003961</v>
      </c>
      <c r="O700" s="768">
        <f>E700</f>
        <v>1</v>
      </c>
      <c r="P700" s="781">
        <f>(1.5/12)/3.281</f>
        <v>3.8098140810728431E-2</v>
      </c>
      <c r="Q700" s="756" t="s">
        <v>541</v>
      </c>
      <c r="R700" s="756">
        <v>16</v>
      </c>
      <c r="S700" s="757"/>
      <c r="T700" s="758">
        <f>D700</f>
        <v>3</v>
      </c>
      <c r="U700" s="759">
        <f>N700-2*P700+2*M701</f>
        <v>11.200853398354159</v>
      </c>
      <c r="V700" s="757">
        <f>T700*U700*O700</f>
        <v>33.60256019506248</v>
      </c>
      <c r="W700" s="757">
        <f t="shared" si="162"/>
        <v>0</v>
      </c>
      <c r="X700" s="757">
        <f t="shared" si="162"/>
        <v>0</v>
      </c>
      <c r="Y700" s="757">
        <f t="shared" si="162"/>
        <v>0</v>
      </c>
      <c r="Z700" s="757">
        <f t="shared" si="162"/>
        <v>0</v>
      </c>
      <c r="AA700" s="757">
        <f t="shared" si="162"/>
        <v>33.60256019506248</v>
      </c>
      <c r="AB700" s="757">
        <f t="shared" si="162"/>
        <v>0</v>
      </c>
      <c r="AC700" s="757">
        <f t="shared" si="162"/>
        <v>0</v>
      </c>
      <c r="AD700" s="757">
        <f t="shared" si="162"/>
        <v>0</v>
      </c>
      <c r="AE700" s="757">
        <f t="shared" si="162"/>
        <v>0</v>
      </c>
      <c r="AF700" s="772" t="e">
        <f>(#REF!+#REF!/12)-0.25+0.5+0.25*2</f>
        <v>#REF!</v>
      </c>
      <c r="AI700" s="777"/>
      <c r="AL700" s="777"/>
      <c r="AM700" s="777"/>
    </row>
    <row r="701" spans="1:43" s="776" customFormat="1" ht="22.25" customHeight="1">
      <c r="A701" s="769"/>
      <c r="B701" s="770" t="s">
        <v>483</v>
      </c>
      <c r="C701" s="665"/>
      <c r="D701" s="665">
        <v>3</v>
      </c>
      <c r="E701" s="665">
        <f>E700</f>
        <v>1</v>
      </c>
      <c r="F701" s="751">
        <f>U701</f>
        <v>10.864068271868332</v>
      </c>
      <c r="G701" s="773"/>
      <c r="H701" s="778"/>
      <c r="I701" s="774"/>
      <c r="J701" s="492">
        <f>IF(I701=0,1,I701)*IF(H701=0,1,H701)*IF(G701=0,1,G701)*IF(F701=0,1,F701)*IF(E701=0,1,E701)*IF(D701=0,1,D701)*IF(C701=0,1,C701)</f>
        <v>32.592204815604994</v>
      </c>
      <c r="K701" s="480"/>
      <c r="L701" s="774"/>
      <c r="M701" s="760">
        <f>H698/3.281</f>
        <v>0.30478512648582745</v>
      </c>
      <c r="N701" s="781"/>
      <c r="O701" s="768">
        <f>E701</f>
        <v>1</v>
      </c>
      <c r="P701" s="781">
        <f>(1.5/12)/3.281</f>
        <v>3.8098140810728431E-2</v>
      </c>
      <c r="Q701" s="756" t="s">
        <v>457</v>
      </c>
      <c r="R701" s="756">
        <v>16</v>
      </c>
      <c r="S701" s="757"/>
      <c r="T701" s="758">
        <f>D701</f>
        <v>3</v>
      </c>
      <c r="U701" s="759">
        <f>N700-2*P701-2*R701/1000+2*((M701/2))</f>
        <v>10.864068271868332</v>
      </c>
      <c r="V701" s="757">
        <f>T701*U701*O701</f>
        <v>32.592204815604994</v>
      </c>
      <c r="W701" s="757">
        <f t="shared" ref="W701:AE704" si="165">IF($R701=W$5,$V701,0)</f>
        <v>0</v>
      </c>
      <c r="X701" s="757">
        <f t="shared" si="165"/>
        <v>0</v>
      </c>
      <c r="Y701" s="757">
        <f t="shared" si="165"/>
        <v>0</v>
      </c>
      <c r="Z701" s="757">
        <f t="shared" si="165"/>
        <v>0</v>
      </c>
      <c r="AA701" s="757">
        <f t="shared" si="165"/>
        <v>32.592204815604994</v>
      </c>
      <c r="AB701" s="757">
        <f t="shared" si="165"/>
        <v>0</v>
      </c>
      <c r="AC701" s="757">
        <f t="shared" si="165"/>
        <v>0</v>
      </c>
      <c r="AD701" s="757">
        <f t="shared" si="165"/>
        <v>0</v>
      </c>
      <c r="AE701" s="757">
        <f t="shared" si="165"/>
        <v>0</v>
      </c>
      <c r="AF701" s="772" t="e">
        <f>(#REF!+#REF!/12)-0.25+0.5+0.25*2</f>
        <v>#REF!</v>
      </c>
      <c r="AI701" s="777"/>
      <c r="AL701" s="777"/>
      <c r="AM701" s="777"/>
    </row>
    <row r="702" spans="1:43" s="776" customFormat="1" ht="22.25" customHeight="1">
      <c r="A702" s="769"/>
      <c r="B702" s="770" t="s">
        <v>542</v>
      </c>
      <c r="C702" s="665"/>
      <c r="D702" s="665"/>
      <c r="E702" s="665"/>
      <c r="F702" s="751"/>
      <c r="G702" s="773"/>
      <c r="H702" s="778"/>
      <c r="I702" s="774"/>
      <c r="J702" s="778"/>
      <c r="K702" s="480"/>
      <c r="L702" s="774"/>
      <c r="M702" s="760"/>
      <c r="N702" s="781"/>
      <c r="O702" s="782"/>
      <c r="P702" s="781"/>
      <c r="Q702" s="756"/>
      <c r="R702" s="756"/>
      <c r="S702" s="757"/>
      <c r="T702" s="758"/>
      <c r="U702" s="759"/>
      <c r="V702" s="757"/>
      <c r="W702" s="757">
        <f t="shared" si="165"/>
        <v>0</v>
      </c>
      <c r="X702" s="757">
        <f t="shared" si="165"/>
        <v>0</v>
      </c>
      <c r="Y702" s="757">
        <f t="shared" si="165"/>
        <v>0</v>
      </c>
      <c r="Z702" s="757">
        <f t="shared" si="165"/>
        <v>0</v>
      </c>
      <c r="AA702" s="757">
        <f t="shared" si="165"/>
        <v>0</v>
      </c>
      <c r="AB702" s="757">
        <f t="shared" si="165"/>
        <v>0</v>
      </c>
      <c r="AC702" s="757">
        <f t="shared" si="165"/>
        <v>0</v>
      </c>
      <c r="AD702" s="757">
        <f t="shared" si="165"/>
        <v>0</v>
      </c>
      <c r="AE702" s="757">
        <f t="shared" si="165"/>
        <v>0</v>
      </c>
      <c r="AF702" s="772" t="e">
        <f>((#REF!+#REF!/12)-(1.5/12)*2)*4+0.25*2</f>
        <v>#REF!</v>
      </c>
      <c r="AI702" s="777"/>
      <c r="AL702" s="777"/>
      <c r="AM702" s="777"/>
    </row>
    <row r="703" spans="1:43" s="776" customFormat="1" ht="22.25" customHeight="1">
      <c r="A703" s="769"/>
      <c r="B703" s="770" t="s">
        <v>484</v>
      </c>
      <c r="C703" s="665"/>
      <c r="D703" s="665">
        <f>T703</f>
        <v>13</v>
      </c>
      <c r="E703" s="665">
        <f>E700</f>
        <v>1</v>
      </c>
      <c r="F703" s="751">
        <f>U703</f>
        <v>0.97072843645230111</v>
      </c>
      <c r="G703" s="779"/>
      <c r="H703" s="780"/>
      <c r="I703" s="774"/>
      <c r="J703" s="492">
        <f>IF(I703=0,1,I703)*IF(H703=0,1,H703)*IF(G703=0,1,G703)*IF(F703=0,1,F703)*IF(E703=0,1,E703)*IF(D703=0,1,D703)*IF(C703=0,1,C703)</f>
        <v>12.619469673879914</v>
      </c>
      <c r="K703" s="480"/>
      <c r="L703" s="774"/>
      <c r="N703" s="781"/>
      <c r="O703" s="782">
        <f>O700</f>
        <v>1</v>
      </c>
      <c r="P703" s="781"/>
      <c r="Q703" s="756" t="s">
        <v>463</v>
      </c>
      <c r="R703" s="756">
        <v>10</v>
      </c>
      <c r="S703" s="757">
        <f>4/(12*3.281)</f>
        <v>0.1015950421619425</v>
      </c>
      <c r="T703" s="758">
        <f>2*(ROUND(2*M701/S703,0))+1</f>
        <v>13</v>
      </c>
      <c r="U703" s="759">
        <f>2*(M700+M701)-8*P700+2*8*R703/1000</f>
        <v>0.97072843645230111</v>
      </c>
      <c r="V703" s="757">
        <f>T703*U703*O703</f>
        <v>12.619469673879914</v>
      </c>
      <c r="W703" s="757">
        <f t="shared" si="165"/>
        <v>0</v>
      </c>
      <c r="X703" s="757">
        <f t="shared" si="165"/>
        <v>0</v>
      </c>
      <c r="Y703" s="757">
        <f t="shared" si="165"/>
        <v>12.619469673879914</v>
      </c>
      <c r="Z703" s="757">
        <f t="shared" si="165"/>
        <v>0</v>
      </c>
      <c r="AA703" s="757">
        <f t="shared" si="165"/>
        <v>0</v>
      </c>
      <c r="AB703" s="757">
        <f t="shared" si="165"/>
        <v>0</v>
      </c>
      <c r="AC703" s="757">
        <f t="shared" si="165"/>
        <v>0</v>
      </c>
      <c r="AD703" s="757">
        <f t="shared" si="165"/>
        <v>0</v>
      </c>
      <c r="AE703" s="757">
        <f t="shared" si="165"/>
        <v>0</v>
      </c>
      <c r="AF703" s="777"/>
      <c r="AI703" s="777"/>
      <c r="AL703" s="777"/>
      <c r="AM703" s="777"/>
    </row>
    <row r="704" spans="1:43" s="776" customFormat="1" ht="22.25" customHeight="1">
      <c r="A704" s="769"/>
      <c r="B704" s="770" t="s">
        <v>484</v>
      </c>
      <c r="C704" s="665"/>
      <c r="D704" s="665">
        <f>T704</f>
        <v>63</v>
      </c>
      <c r="E704" s="665">
        <f>E703</f>
        <v>1</v>
      </c>
      <c r="F704" s="751">
        <f>U704</f>
        <v>0.97072843645230111</v>
      </c>
      <c r="G704" s="779"/>
      <c r="H704" s="780"/>
      <c r="I704" s="774"/>
      <c r="J704" s="492">
        <f>IF(I704=0,1,I704)*IF(H704=0,1,H704)*IF(G704=0,1,G704)*IF(F704=0,1,F704)*IF(E704=0,1,E704)*IF(D704=0,1,D704)*IF(C704=0,1,C704)</f>
        <v>61.155891496494974</v>
      </c>
      <c r="K704" s="480"/>
      <c r="L704" s="774"/>
      <c r="M704" s="760"/>
      <c r="N704" s="781"/>
      <c r="O704" s="782">
        <f>O703</f>
        <v>1</v>
      </c>
      <c r="P704" s="781"/>
      <c r="Q704" s="756" t="s">
        <v>463</v>
      </c>
      <c r="R704" s="756">
        <v>10</v>
      </c>
      <c r="S704" s="757">
        <f>6/(12*3.281)</f>
        <v>0.15239256324291375</v>
      </c>
      <c r="T704" s="758">
        <f>(ROUND((N700-4*M701)/S704,0))+1</f>
        <v>63</v>
      </c>
      <c r="U704" s="759">
        <f>2*(M700+M701)-8*P700+2*8*R704/1000</f>
        <v>0.97072843645230111</v>
      </c>
      <c r="V704" s="757">
        <f>T704*U704*O704</f>
        <v>61.155891496494974</v>
      </c>
      <c r="W704" s="757">
        <f t="shared" si="165"/>
        <v>0</v>
      </c>
      <c r="X704" s="757">
        <f t="shared" si="165"/>
        <v>0</v>
      </c>
      <c r="Y704" s="757">
        <f t="shared" si="165"/>
        <v>61.155891496494974</v>
      </c>
      <c r="Z704" s="757">
        <f t="shared" si="165"/>
        <v>0</v>
      </c>
      <c r="AA704" s="757">
        <f t="shared" si="165"/>
        <v>0</v>
      </c>
      <c r="AB704" s="757">
        <f t="shared" si="165"/>
        <v>0</v>
      </c>
      <c r="AC704" s="757">
        <f t="shared" si="165"/>
        <v>0</v>
      </c>
      <c r="AD704" s="757">
        <f t="shared" si="165"/>
        <v>0</v>
      </c>
      <c r="AE704" s="757">
        <f t="shared" si="165"/>
        <v>0</v>
      </c>
      <c r="AF704" s="777"/>
      <c r="AI704" s="777"/>
      <c r="AL704" s="777"/>
      <c r="AM704" s="777"/>
    </row>
    <row r="705" spans="1:43" s="390" customFormat="1" ht="22.25" customHeight="1">
      <c r="A705" s="454"/>
      <c r="B705" s="657" t="s">
        <v>743</v>
      </c>
      <c r="C705" s="662"/>
      <c r="D705" s="662"/>
      <c r="E705" s="662">
        <v>2</v>
      </c>
      <c r="F705" s="498">
        <f>5+0.83</f>
        <v>5.83</v>
      </c>
      <c r="G705" s="642">
        <f>G698</f>
        <v>0.83</v>
      </c>
      <c r="H705" s="642">
        <f>H698</f>
        <v>1</v>
      </c>
      <c r="I705" s="499"/>
      <c r="J705" s="507"/>
      <c r="K705" s="455"/>
      <c r="L705" s="312"/>
      <c r="M705" s="722"/>
      <c r="N705" s="722"/>
      <c r="O705" s="722"/>
      <c r="P705" s="722"/>
      <c r="Q705" s="611"/>
      <c r="R705" s="611"/>
      <c r="S705" s="624"/>
      <c r="T705" s="625"/>
      <c r="U705" s="626"/>
      <c r="V705" s="624"/>
      <c r="W705" s="624"/>
      <c r="X705" s="624"/>
      <c r="Y705" s="624"/>
      <c r="Z705" s="624"/>
      <c r="AA705" s="624"/>
      <c r="AB705" s="624"/>
      <c r="AC705" s="624"/>
      <c r="AD705" s="624"/>
      <c r="AE705" s="624"/>
      <c r="AF705" s="471"/>
      <c r="AG705" s="473"/>
      <c r="AH705" s="471"/>
      <c r="AI705" s="471"/>
      <c r="AJ705" s="471"/>
      <c r="AM705" s="404"/>
      <c r="AP705" s="404"/>
      <c r="AQ705" s="404"/>
    </row>
    <row r="706" spans="1:43" s="776" customFormat="1" ht="22.25" customHeight="1">
      <c r="A706" s="769"/>
      <c r="B706" s="770" t="s">
        <v>543</v>
      </c>
      <c r="C706" s="665"/>
      <c r="D706" s="665"/>
      <c r="E706" s="665"/>
      <c r="F706" s="751"/>
      <c r="G706" s="773"/>
      <c r="H706" s="778"/>
      <c r="I706" s="774"/>
      <c r="J706" s="778"/>
      <c r="K706" s="480"/>
      <c r="L706" s="774"/>
      <c r="M706" s="760"/>
      <c r="N706" s="781"/>
      <c r="O706" s="782"/>
      <c r="P706" s="781"/>
      <c r="Q706" s="756"/>
      <c r="R706" s="756"/>
      <c r="S706" s="757"/>
      <c r="T706" s="758"/>
      <c r="U706" s="759"/>
      <c r="V706" s="757"/>
      <c r="W706" s="757">
        <f t="shared" ref="W706:AE721" si="166">IF($R706=W$5,$V706,0)</f>
        <v>0</v>
      </c>
      <c r="X706" s="757">
        <f t="shared" si="166"/>
        <v>0</v>
      </c>
      <c r="Y706" s="757">
        <f t="shared" si="166"/>
        <v>0</v>
      </c>
      <c r="Z706" s="757">
        <f t="shared" si="166"/>
        <v>0</v>
      </c>
      <c r="AA706" s="757">
        <f t="shared" si="166"/>
        <v>0</v>
      </c>
      <c r="AB706" s="757">
        <f t="shared" si="166"/>
        <v>0</v>
      </c>
      <c r="AC706" s="757">
        <f t="shared" si="166"/>
        <v>0</v>
      </c>
      <c r="AD706" s="757">
        <f t="shared" si="166"/>
        <v>0</v>
      </c>
      <c r="AE706" s="757">
        <f t="shared" si="166"/>
        <v>0</v>
      </c>
      <c r="AF706" s="772" t="e">
        <f>((#REF!+#REF!/12)-(1.5/12)*2)*4+0.25*2</f>
        <v>#REF!</v>
      </c>
      <c r="AI706" s="777"/>
      <c r="AL706" s="777"/>
      <c r="AM706" s="777"/>
    </row>
    <row r="707" spans="1:43" s="776" customFormat="1" ht="22.25" customHeight="1">
      <c r="A707" s="769"/>
      <c r="B707" s="770" t="s">
        <v>483</v>
      </c>
      <c r="C707" s="665"/>
      <c r="D707" s="665">
        <v>3</v>
      </c>
      <c r="E707" s="665">
        <f>E705</f>
        <v>2</v>
      </c>
      <c r="F707" s="751">
        <f>U707</f>
        <v>2.3102712587625724</v>
      </c>
      <c r="G707" s="773"/>
      <c r="H707" s="778"/>
      <c r="I707" s="774"/>
      <c r="J707" s="492">
        <f>IF(I707=0,1,I707)*IF(H707=0,1,H707)*IF(G707=0,1,G707)*IF(F707=0,1,F707)*IF(E707=0,1,E707)*IF(D707=0,1,D707)*IF(C707=0,1,C707)</f>
        <v>13.861627552575435</v>
      </c>
      <c r="K707" s="480"/>
      <c r="L707" s="774"/>
      <c r="M707" s="760">
        <f>G705/3.281</f>
        <v>0.25297165498323682</v>
      </c>
      <c r="N707" s="781">
        <f>F705/3.281</f>
        <v>1.7768972874123743</v>
      </c>
      <c r="O707" s="768">
        <f>E707</f>
        <v>2</v>
      </c>
      <c r="P707" s="781">
        <f>(1.5/12)/3.281</f>
        <v>3.8098140810728431E-2</v>
      </c>
      <c r="Q707" s="756" t="s">
        <v>541</v>
      </c>
      <c r="R707" s="756">
        <v>16</v>
      </c>
      <c r="S707" s="757"/>
      <c r="T707" s="758">
        <f>D707</f>
        <v>3</v>
      </c>
      <c r="U707" s="759">
        <f>N707-2*P707+2*M708</f>
        <v>2.3102712587625724</v>
      </c>
      <c r="V707" s="757">
        <f>T707*U707*O707</f>
        <v>13.861627552575435</v>
      </c>
      <c r="W707" s="757">
        <f t="shared" si="166"/>
        <v>0</v>
      </c>
      <c r="X707" s="757">
        <f t="shared" si="166"/>
        <v>0</v>
      </c>
      <c r="Y707" s="757">
        <f t="shared" si="166"/>
        <v>0</v>
      </c>
      <c r="Z707" s="757">
        <f t="shared" si="166"/>
        <v>0</v>
      </c>
      <c r="AA707" s="757">
        <f t="shared" si="166"/>
        <v>13.861627552575435</v>
      </c>
      <c r="AB707" s="757">
        <f t="shared" si="166"/>
        <v>0</v>
      </c>
      <c r="AC707" s="757">
        <f t="shared" si="166"/>
        <v>0</v>
      </c>
      <c r="AD707" s="757">
        <f t="shared" si="166"/>
        <v>0</v>
      </c>
      <c r="AE707" s="757">
        <f t="shared" si="166"/>
        <v>0</v>
      </c>
      <c r="AF707" s="772" t="e">
        <f>(#REF!+#REF!/12)-0.25+0.5+0.25*2</f>
        <v>#REF!</v>
      </c>
      <c r="AI707" s="777"/>
      <c r="AL707" s="777"/>
      <c r="AM707" s="777"/>
    </row>
    <row r="708" spans="1:43" s="776" customFormat="1" ht="22.25" customHeight="1">
      <c r="A708" s="769"/>
      <c r="B708" s="770" t="s">
        <v>483</v>
      </c>
      <c r="C708" s="665"/>
      <c r="D708" s="665">
        <v>3</v>
      </c>
      <c r="E708" s="665">
        <f>E707</f>
        <v>2</v>
      </c>
      <c r="F708" s="751">
        <f>U708</f>
        <v>1.973486132276745</v>
      </c>
      <c r="G708" s="773"/>
      <c r="H708" s="778"/>
      <c r="I708" s="774"/>
      <c r="J708" s="492">
        <f>IF(I708=0,1,I708)*IF(H708=0,1,H708)*IF(G708=0,1,G708)*IF(F708=0,1,F708)*IF(E708=0,1,E708)*IF(D708=0,1,D708)*IF(C708=0,1,C708)</f>
        <v>11.840916793660469</v>
      </c>
      <c r="K708" s="480"/>
      <c r="L708" s="774"/>
      <c r="M708" s="760">
        <f>H705/3.281</f>
        <v>0.30478512648582745</v>
      </c>
      <c r="N708" s="781"/>
      <c r="O708" s="768">
        <f>E708</f>
        <v>2</v>
      </c>
      <c r="P708" s="781">
        <f>(1.5/12)/3.281</f>
        <v>3.8098140810728431E-2</v>
      </c>
      <c r="Q708" s="756" t="s">
        <v>457</v>
      </c>
      <c r="R708" s="756">
        <v>16</v>
      </c>
      <c r="S708" s="757"/>
      <c r="T708" s="758">
        <f>D708</f>
        <v>3</v>
      </c>
      <c r="U708" s="759">
        <f>N707-2*P708-2*R708/1000+2*((M708/2))</f>
        <v>1.973486132276745</v>
      </c>
      <c r="V708" s="757">
        <f>T708*U708*O708</f>
        <v>11.840916793660469</v>
      </c>
      <c r="W708" s="757">
        <f t="shared" si="166"/>
        <v>0</v>
      </c>
      <c r="X708" s="757">
        <f t="shared" si="166"/>
        <v>0</v>
      </c>
      <c r="Y708" s="757">
        <f t="shared" si="166"/>
        <v>0</v>
      </c>
      <c r="Z708" s="757">
        <f t="shared" si="166"/>
        <v>0</v>
      </c>
      <c r="AA708" s="757">
        <f t="shared" si="166"/>
        <v>11.840916793660469</v>
      </c>
      <c r="AB708" s="757">
        <f t="shared" si="166"/>
        <v>0</v>
      </c>
      <c r="AC708" s="757">
        <f t="shared" si="166"/>
        <v>0</v>
      </c>
      <c r="AD708" s="757">
        <f t="shared" si="166"/>
        <v>0</v>
      </c>
      <c r="AE708" s="757">
        <f t="shared" si="166"/>
        <v>0</v>
      </c>
      <c r="AF708" s="772" t="e">
        <f>(#REF!+#REF!/12)-0.25+0.5+0.25*2</f>
        <v>#REF!</v>
      </c>
      <c r="AI708" s="777"/>
      <c r="AL708" s="777"/>
      <c r="AM708" s="777"/>
    </row>
    <row r="709" spans="1:43" s="776" customFormat="1" ht="22.25" customHeight="1">
      <c r="A709" s="769"/>
      <c r="B709" s="770" t="s">
        <v>542</v>
      </c>
      <c r="C709" s="665"/>
      <c r="D709" s="665"/>
      <c r="E709" s="665"/>
      <c r="F709" s="751"/>
      <c r="G709" s="773"/>
      <c r="H709" s="778"/>
      <c r="I709" s="774"/>
      <c r="J709" s="778"/>
      <c r="K709" s="480"/>
      <c r="L709" s="774"/>
      <c r="M709" s="760"/>
      <c r="N709" s="781"/>
      <c r="O709" s="782"/>
      <c r="P709" s="781"/>
      <c r="Q709" s="756"/>
      <c r="R709" s="756"/>
      <c r="S709" s="757"/>
      <c r="T709" s="758"/>
      <c r="U709" s="759"/>
      <c r="V709" s="757"/>
      <c r="W709" s="757">
        <f t="shared" si="166"/>
        <v>0</v>
      </c>
      <c r="X709" s="757">
        <f t="shared" si="166"/>
        <v>0</v>
      </c>
      <c r="Y709" s="757">
        <f t="shared" si="166"/>
        <v>0</v>
      </c>
      <c r="Z709" s="757">
        <f t="shared" si="166"/>
        <v>0</v>
      </c>
      <c r="AA709" s="757">
        <f t="shared" si="166"/>
        <v>0</v>
      </c>
      <c r="AB709" s="757">
        <f t="shared" si="166"/>
        <v>0</v>
      </c>
      <c r="AC709" s="757">
        <f t="shared" si="166"/>
        <v>0</v>
      </c>
      <c r="AD709" s="757">
        <f t="shared" si="166"/>
        <v>0</v>
      </c>
      <c r="AE709" s="757">
        <f t="shared" si="166"/>
        <v>0</v>
      </c>
      <c r="AF709" s="772" t="e">
        <f>((#REF!+#REF!/12)-(1.5/12)*2)*4+0.25*2</f>
        <v>#REF!</v>
      </c>
      <c r="AI709" s="777"/>
      <c r="AL709" s="777"/>
      <c r="AM709" s="777"/>
    </row>
    <row r="710" spans="1:43" s="776" customFormat="1" ht="22.25" customHeight="1">
      <c r="A710" s="769"/>
      <c r="B710" s="770" t="s">
        <v>484</v>
      </c>
      <c r="C710" s="665"/>
      <c r="D710" s="665">
        <f>T710</f>
        <v>13</v>
      </c>
      <c r="E710" s="665">
        <f>E707</f>
        <v>2</v>
      </c>
      <c r="F710" s="751">
        <f>U710</f>
        <v>0.97072843645230111</v>
      </c>
      <c r="G710" s="779"/>
      <c r="H710" s="780"/>
      <c r="I710" s="774"/>
      <c r="J710" s="492">
        <f>IF(I710=0,1,I710)*IF(H710=0,1,H710)*IF(G710=0,1,G710)*IF(F710=0,1,F710)*IF(E710=0,1,E710)*IF(D710=0,1,D710)*IF(C710=0,1,C710)</f>
        <v>25.238939347759828</v>
      </c>
      <c r="K710" s="480"/>
      <c r="L710" s="774"/>
      <c r="N710" s="781"/>
      <c r="O710" s="782">
        <f>O707</f>
        <v>2</v>
      </c>
      <c r="P710" s="781"/>
      <c r="Q710" s="756" t="s">
        <v>463</v>
      </c>
      <c r="R710" s="756">
        <v>10</v>
      </c>
      <c r="S710" s="757">
        <f>4/(12*3.281)</f>
        <v>0.1015950421619425</v>
      </c>
      <c r="T710" s="758">
        <f>2*(ROUND(2*M708/S710,0))+1</f>
        <v>13</v>
      </c>
      <c r="U710" s="759">
        <f>2*(M707+M708)-8*P707+2*8*R710/1000</f>
        <v>0.97072843645230111</v>
      </c>
      <c r="V710" s="757">
        <f>T710*U710*O710</f>
        <v>25.238939347759828</v>
      </c>
      <c r="W710" s="757">
        <f t="shared" si="166"/>
        <v>0</v>
      </c>
      <c r="X710" s="757">
        <f t="shared" si="166"/>
        <v>0</v>
      </c>
      <c r="Y710" s="757">
        <f t="shared" si="166"/>
        <v>25.238939347759828</v>
      </c>
      <c r="Z710" s="757">
        <f t="shared" si="166"/>
        <v>0</v>
      </c>
      <c r="AA710" s="757">
        <f t="shared" si="166"/>
        <v>0</v>
      </c>
      <c r="AB710" s="757">
        <f t="shared" si="166"/>
        <v>0</v>
      </c>
      <c r="AC710" s="757">
        <f t="shared" si="166"/>
        <v>0</v>
      </c>
      <c r="AD710" s="757">
        <f t="shared" si="166"/>
        <v>0</v>
      </c>
      <c r="AE710" s="757">
        <f t="shared" si="166"/>
        <v>0</v>
      </c>
      <c r="AF710" s="777"/>
      <c r="AI710" s="777"/>
      <c r="AL710" s="777"/>
      <c r="AM710" s="777"/>
    </row>
    <row r="711" spans="1:43" s="776" customFormat="1" ht="22.25" customHeight="1">
      <c r="A711" s="769"/>
      <c r="B711" s="770" t="s">
        <v>484</v>
      </c>
      <c r="C711" s="665"/>
      <c r="D711" s="665">
        <f>T711</f>
        <v>5</v>
      </c>
      <c r="E711" s="665">
        <f>E710</f>
        <v>2</v>
      </c>
      <c r="F711" s="751">
        <f>U711</f>
        <v>0.97072843645230111</v>
      </c>
      <c r="G711" s="779"/>
      <c r="H711" s="780"/>
      <c r="I711" s="774"/>
      <c r="J711" s="492">
        <f>IF(I711=0,1,I711)*IF(H711=0,1,H711)*IF(G711=0,1,G711)*IF(F711=0,1,F711)*IF(E711=0,1,E711)*IF(D711=0,1,D711)*IF(C711=0,1,C711)</f>
        <v>9.7072843645230105</v>
      </c>
      <c r="K711" s="480"/>
      <c r="L711" s="774"/>
      <c r="M711" s="760"/>
      <c r="N711" s="781"/>
      <c r="O711" s="782">
        <f>O710</f>
        <v>2</v>
      </c>
      <c r="P711" s="781"/>
      <c r="Q711" s="756" t="s">
        <v>463</v>
      </c>
      <c r="R711" s="756">
        <v>10</v>
      </c>
      <c r="S711" s="757">
        <f>6/(12*3.281)</f>
        <v>0.15239256324291375</v>
      </c>
      <c r="T711" s="758">
        <f>(ROUND((N707-4*M708)/S711,0))+1</f>
        <v>5</v>
      </c>
      <c r="U711" s="759">
        <f>2*(M707+M708)-8*P707+2*8*R711/1000</f>
        <v>0.97072843645230111</v>
      </c>
      <c r="V711" s="757">
        <f>T711*U711*O711</f>
        <v>9.7072843645230105</v>
      </c>
      <c r="W711" s="757">
        <f t="shared" si="166"/>
        <v>0</v>
      </c>
      <c r="X711" s="757">
        <f t="shared" si="166"/>
        <v>0</v>
      </c>
      <c r="Y711" s="757">
        <f t="shared" si="166"/>
        <v>9.7072843645230105</v>
      </c>
      <c r="Z711" s="757">
        <f t="shared" si="166"/>
        <v>0</v>
      </c>
      <c r="AA711" s="757">
        <f t="shared" si="166"/>
        <v>0</v>
      </c>
      <c r="AB711" s="757">
        <f t="shared" si="166"/>
        <v>0</v>
      </c>
      <c r="AC711" s="757">
        <f t="shared" si="166"/>
        <v>0</v>
      </c>
      <c r="AD711" s="757">
        <f t="shared" si="166"/>
        <v>0</v>
      </c>
      <c r="AE711" s="757">
        <f t="shared" si="166"/>
        <v>0</v>
      </c>
      <c r="AF711" s="777"/>
      <c r="AI711" s="777"/>
      <c r="AL711" s="777"/>
      <c r="AM711" s="777"/>
    </row>
    <row r="712" spans="1:43" s="390" customFormat="1" ht="22.25" customHeight="1">
      <c r="A712" s="454"/>
      <c r="B712" s="657" t="s">
        <v>539</v>
      </c>
      <c r="C712" s="662"/>
      <c r="D712" s="662"/>
      <c r="E712" s="662">
        <v>1</v>
      </c>
      <c r="F712" s="498">
        <f>45</f>
        <v>45</v>
      </c>
      <c r="G712" s="642">
        <f>G705</f>
        <v>0.83</v>
      </c>
      <c r="H712" s="642">
        <f>H705</f>
        <v>1</v>
      </c>
      <c r="I712" s="499"/>
      <c r="J712" s="507"/>
      <c r="K712" s="455"/>
      <c r="L712" s="312"/>
      <c r="M712" s="722"/>
      <c r="N712" s="722"/>
      <c r="O712" s="722"/>
      <c r="P712" s="722"/>
      <c r="Q712" s="611"/>
      <c r="R712" s="611"/>
      <c r="S712" s="624"/>
      <c r="T712" s="625"/>
      <c r="U712" s="626"/>
      <c r="V712" s="624"/>
      <c r="W712" s="624"/>
      <c r="X712" s="624"/>
      <c r="Y712" s="624"/>
      <c r="Z712" s="624"/>
      <c r="AA712" s="624"/>
      <c r="AB712" s="624"/>
      <c r="AC712" s="624"/>
      <c r="AD712" s="624"/>
      <c r="AE712" s="624"/>
      <c r="AF712" s="471"/>
      <c r="AG712" s="473"/>
      <c r="AH712" s="471"/>
      <c r="AI712" s="471"/>
      <c r="AJ712" s="471"/>
      <c r="AM712" s="404"/>
      <c r="AP712" s="404"/>
      <c r="AQ712" s="404"/>
    </row>
    <row r="713" spans="1:43" s="776" customFormat="1" ht="22.25" customHeight="1">
      <c r="A713" s="769"/>
      <c r="B713" s="770" t="s">
        <v>543</v>
      </c>
      <c r="C713" s="665"/>
      <c r="D713" s="665"/>
      <c r="E713" s="665"/>
      <c r="F713" s="751"/>
      <c r="G713" s="773"/>
      <c r="H713" s="778"/>
      <c r="I713" s="774"/>
      <c r="J713" s="778"/>
      <c r="K713" s="480"/>
      <c r="L713" s="774"/>
      <c r="M713" s="760"/>
      <c r="N713" s="781"/>
      <c r="O713" s="782"/>
      <c r="P713" s="781"/>
      <c r="Q713" s="756"/>
      <c r="R713" s="756"/>
      <c r="S713" s="757"/>
      <c r="T713" s="758"/>
      <c r="U713" s="759"/>
      <c r="V713" s="757"/>
      <c r="W713" s="757">
        <f t="shared" si="166"/>
        <v>0</v>
      </c>
      <c r="X713" s="757">
        <f t="shared" si="166"/>
        <v>0</v>
      </c>
      <c r="Y713" s="757">
        <f t="shared" si="166"/>
        <v>0</v>
      </c>
      <c r="Z713" s="757">
        <f t="shared" si="166"/>
        <v>0</v>
      </c>
      <c r="AA713" s="757">
        <f t="shared" si="166"/>
        <v>0</v>
      </c>
      <c r="AB713" s="757">
        <f t="shared" si="166"/>
        <v>0</v>
      </c>
      <c r="AC713" s="757">
        <f t="shared" si="166"/>
        <v>0</v>
      </c>
      <c r="AD713" s="757">
        <f t="shared" si="166"/>
        <v>0</v>
      </c>
      <c r="AE713" s="757">
        <f t="shared" si="166"/>
        <v>0</v>
      </c>
      <c r="AF713" s="772" t="e">
        <f>((#REF!+#REF!/12)-(1.5/12)*2)*4+0.25*2</f>
        <v>#REF!</v>
      </c>
      <c r="AI713" s="777"/>
      <c r="AL713" s="777"/>
      <c r="AM713" s="777"/>
    </row>
    <row r="714" spans="1:43" s="776" customFormat="1" ht="22.25" customHeight="1">
      <c r="A714" s="769"/>
      <c r="B714" s="770" t="s">
        <v>483</v>
      </c>
      <c r="C714" s="665"/>
      <c r="D714" s="665">
        <v>3</v>
      </c>
      <c r="E714" s="665">
        <f>E712</f>
        <v>1</v>
      </c>
      <c r="F714" s="751">
        <f>U714</f>
        <v>14.85827491618409</v>
      </c>
      <c r="G714" s="773"/>
      <c r="H714" s="778"/>
      <c r="I714" s="774"/>
      <c r="J714" s="492">
        <f>IF(I714=0,1,I714)*IF(H714=0,1,H714)*IF(G714=0,1,G714)*IF(F714=0,1,F714)*IF(E714=0,1,E714)*IF(D714=0,1,D714)*IF(C714=0,1,C714)</f>
        <v>44.574824748552274</v>
      </c>
      <c r="K714" s="480"/>
      <c r="L714" s="774"/>
      <c r="M714" s="760">
        <f>G712/3.281</f>
        <v>0.25297165498323682</v>
      </c>
      <c r="N714" s="781">
        <f>F712/3.281</f>
        <v>13.715330691862237</v>
      </c>
      <c r="O714" s="768">
        <f>E714</f>
        <v>1</v>
      </c>
      <c r="P714" s="781">
        <f>(1.5/12)/3.281</f>
        <v>3.8098140810728431E-2</v>
      </c>
      <c r="Q714" s="756" t="s">
        <v>541</v>
      </c>
      <c r="R714" s="756">
        <v>16</v>
      </c>
      <c r="S714" s="757"/>
      <c r="T714" s="758">
        <f>D714</f>
        <v>3</v>
      </c>
      <c r="U714" s="759">
        <f>N714-2*P714+2*M715+2/3.281</f>
        <v>14.85827491618409</v>
      </c>
      <c r="V714" s="757">
        <f>T714*U714*O714</f>
        <v>44.574824748552274</v>
      </c>
      <c r="W714" s="757">
        <f t="shared" si="166"/>
        <v>0</v>
      </c>
      <c r="X714" s="757">
        <f t="shared" si="166"/>
        <v>0</v>
      </c>
      <c r="Y714" s="757">
        <f t="shared" si="166"/>
        <v>0</v>
      </c>
      <c r="Z714" s="757">
        <f t="shared" si="166"/>
        <v>0</v>
      </c>
      <c r="AA714" s="757">
        <f t="shared" si="166"/>
        <v>44.574824748552274</v>
      </c>
      <c r="AB714" s="757">
        <f t="shared" si="166"/>
        <v>0</v>
      </c>
      <c r="AC714" s="757">
        <f t="shared" si="166"/>
        <v>0</v>
      </c>
      <c r="AD714" s="757">
        <f t="shared" si="166"/>
        <v>0</v>
      </c>
      <c r="AE714" s="757">
        <f t="shared" si="166"/>
        <v>0</v>
      </c>
      <c r="AF714" s="772" t="e">
        <f>(#REF!+#REF!/12)-0.25+0.5+0.25*2</f>
        <v>#REF!</v>
      </c>
      <c r="AI714" s="777"/>
      <c r="AL714" s="777"/>
      <c r="AM714" s="777"/>
    </row>
    <row r="715" spans="1:43" s="776" customFormat="1" ht="22.25" customHeight="1">
      <c r="A715" s="769"/>
      <c r="B715" s="770" t="s">
        <v>483</v>
      </c>
      <c r="C715" s="665"/>
      <c r="D715" s="665">
        <v>3</v>
      </c>
      <c r="E715" s="665">
        <f>E714</f>
        <v>1</v>
      </c>
      <c r="F715" s="751">
        <f>U715</f>
        <v>14.521489789698261</v>
      </c>
      <c r="G715" s="773"/>
      <c r="H715" s="778"/>
      <c r="I715" s="774"/>
      <c r="J715" s="492">
        <f>IF(I715=0,1,I715)*IF(H715=0,1,H715)*IF(G715=0,1,G715)*IF(F715=0,1,F715)*IF(E715=0,1,E715)*IF(D715=0,1,D715)*IF(C715=0,1,C715)</f>
        <v>43.56446936909478</v>
      </c>
      <c r="K715" s="480"/>
      <c r="L715" s="774"/>
      <c r="M715" s="760">
        <f>H712/3.281</f>
        <v>0.30478512648582745</v>
      </c>
      <c r="N715" s="781"/>
      <c r="O715" s="768">
        <f>E715</f>
        <v>1</v>
      </c>
      <c r="P715" s="781">
        <f>(1.5/12)/3.281</f>
        <v>3.8098140810728431E-2</v>
      </c>
      <c r="Q715" s="756" t="s">
        <v>457</v>
      </c>
      <c r="R715" s="756">
        <v>16</v>
      </c>
      <c r="S715" s="757"/>
      <c r="T715" s="758">
        <f>D715</f>
        <v>3</v>
      </c>
      <c r="U715" s="759">
        <f>N714-2*P715-2*R715/1000+2*((M715/2))+2/3.281</f>
        <v>14.521489789698261</v>
      </c>
      <c r="V715" s="757">
        <f>T715*U715*O715</f>
        <v>43.56446936909478</v>
      </c>
      <c r="W715" s="757">
        <f t="shared" si="166"/>
        <v>0</v>
      </c>
      <c r="X715" s="757">
        <f t="shared" si="166"/>
        <v>0</v>
      </c>
      <c r="Y715" s="757">
        <f t="shared" si="166"/>
        <v>0</v>
      </c>
      <c r="Z715" s="757">
        <f t="shared" si="166"/>
        <v>0</v>
      </c>
      <c r="AA715" s="757">
        <f t="shared" si="166"/>
        <v>43.56446936909478</v>
      </c>
      <c r="AB715" s="757">
        <f t="shared" si="166"/>
        <v>0</v>
      </c>
      <c r="AC715" s="757">
        <f t="shared" si="166"/>
        <v>0</v>
      </c>
      <c r="AD715" s="757">
        <f t="shared" si="166"/>
        <v>0</v>
      </c>
      <c r="AE715" s="757">
        <f t="shared" si="166"/>
        <v>0</v>
      </c>
      <c r="AF715" s="772" t="e">
        <f>(#REF!+#REF!/12)-0.25+0.5+0.25*2</f>
        <v>#REF!</v>
      </c>
      <c r="AI715" s="777"/>
      <c r="AL715" s="777"/>
      <c r="AM715" s="777"/>
    </row>
    <row r="716" spans="1:43" s="776" customFormat="1" ht="22.25" customHeight="1">
      <c r="A716" s="769"/>
      <c r="B716" s="770" t="s">
        <v>542</v>
      </c>
      <c r="C716" s="665"/>
      <c r="D716" s="665"/>
      <c r="E716" s="665"/>
      <c r="F716" s="751"/>
      <c r="G716" s="773"/>
      <c r="H716" s="778"/>
      <c r="I716" s="774"/>
      <c r="J716" s="778"/>
      <c r="K716" s="480"/>
      <c r="L716" s="774"/>
      <c r="M716" s="760"/>
      <c r="N716" s="781"/>
      <c r="O716" s="782"/>
      <c r="P716" s="781"/>
      <c r="Q716" s="756"/>
      <c r="R716" s="756"/>
      <c r="S716" s="757"/>
      <c r="T716" s="758"/>
      <c r="U716" s="759"/>
      <c r="V716" s="757"/>
      <c r="W716" s="757">
        <f t="shared" si="166"/>
        <v>0</v>
      </c>
      <c r="X716" s="757">
        <f t="shared" si="166"/>
        <v>0</v>
      </c>
      <c r="Y716" s="757">
        <f t="shared" si="166"/>
        <v>0</v>
      </c>
      <c r="Z716" s="757">
        <f t="shared" si="166"/>
        <v>0</v>
      </c>
      <c r="AA716" s="757">
        <f t="shared" si="166"/>
        <v>0</v>
      </c>
      <c r="AB716" s="757">
        <f t="shared" si="166"/>
        <v>0</v>
      </c>
      <c r="AC716" s="757">
        <f t="shared" si="166"/>
        <v>0</v>
      </c>
      <c r="AD716" s="757">
        <f t="shared" si="166"/>
        <v>0</v>
      </c>
      <c r="AE716" s="757">
        <f t="shared" si="166"/>
        <v>0</v>
      </c>
      <c r="AF716" s="772" t="e">
        <f>((#REF!+#REF!/12)-(1.5/12)*2)*4+0.25*2</f>
        <v>#REF!</v>
      </c>
      <c r="AI716" s="777"/>
      <c r="AL716" s="777"/>
      <c r="AM716" s="777"/>
    </row>
    <row r="717" spans="1:43" s="776" customFormat="1" ht="22.25" customHeight="1">
      <c r="A717" s="769"/>
      <c r="B717" s="770" t="s">
        <v>484</v>
      </c>
      <c r="C717" s="665"/>
      <c r="D717" s="665">
        <f>T717</f>
        <v>13</v>
      </c>
      <c r="E717" s="665">
        <f>E714</f>
        <v>1</v>
      </c>
      <c r="F717" s="751">
        <f>U717</f>
        <v>0.97072843645230111</v>
      </c>
      <c r="G717" s="779"/>
      <c r="H717" s="780"/>
      <c r="I717" s="774"/>
      <c r="J717" s="492">
        <f>IF(I717=0,1,I717)*IF(H717=0,1,H717)*IF(G717=0,1,G717)*IF(F717=0,1,F717)*IF(E717=0,1,E717)*IF(D717=0,1,D717)*IF(C717=0,1,C717)</f>
        <v>12.619469673879914</v>
      </c>
      <c r="K717" s="480"/>
      <c r="L717" s="774"/>
      <c r="N717" s="781"/>
      <c r="O717" s="782">
        <f>O714</f>
        <v>1</v>
      </c>
      <c r="P717" s="781"/>
      <c r="Q717" s="756" t="s">
        <v>463</v>
      </c>
      <c r="R717" s="756">
        <v>10</v>
      </c>
      <c r="S717" s="757">
        <f>4/(12*3.281)</f>
        <v>0.1015950421619425</v>
      </c>
      <c r="T717" s="758">
        <f>2*(ROUND(2*M715/S717,0))+1</f>
        <v>13</v>
      </c>
      <c r="U717" s="759">
        <f>2*(M714+M715)-8*P714+2*8*R717/1000</f>
        <v>0.97072843645230111</v>
      </c>
      <c r="V717" s="757">
        <f>T717*U717*O717</f>
        <v>12.619469673879914</v>
      </c>
      <c r="W717" s="757">
        <f t="shared" si="166"/>
        <v>0</v>
      </c>
      <c r="X717" s="757">
        <f t="shared" si="166"/>
        <v>0</v>
      </c>
      <c r="Y717" s="757">
        <f t="shared" si="166"/>
        <v>12.619469673879914</v>
      </c>
      <c r="Z717" s="757">
        <f t="shared" si="166"/>
        <v>0</v>
      </c>
      <c r="AA717" s="757">
        <f t="shared" si="166"/>
        <v>0</v>
      </c>
      <c r="AB717" s="757">
        <f t="shared" si="166"/>
        <v>0</v>
      </c>
      <c r="AC717" s="757">
        <f t="shared" si="166"/>
        <v>0</v>
      </c>
      <c r="AD717" s="757">
        <f t="shared" si="166"/>
        <v>0</v>
      </c>
      <c r="AE717" s="757">
        <f t="shared" si="166"/>
        <v>0</v>
      </c>
      <c r="AF717" s="777"/>
      <c r="AI717" s="777"/>
      <c r="AL717" s="777"/>
      <c r="AM717" s="777"/>
    </row>
    <row r="718" spans="1:43" s="776" customFormat="1" ht="22.25" customHeight="1">
      <c r="A718" s="769"/>
      <c r="B718" s="770" t="s">
        <v>484</v>
      </c>
      <c r="C718" s="665"/>
      <c r="D718" s="665">
        <f>T718</f>
        <v>83</v>
      </c>
      <c r="E718" s="665">
        <f>E717</f>
        <v>1</v>
      </c>
      <c r="F718" s="751">
        <f>U718</f>
        <v>0.97072843645230111</v>
      </c>
      <c r="G718" s="779"/>
      <c r="H718" s="780"/>
      <c r="I718" s="774"/>
      <c r="J718" s="492">
        <f>IF(I718=0,1,I718)*IF(H718=0,1,H718)*IF(G718=0,1,G718)*IF(F718=0,1,F718)*IF(E718=0,1,E718)*IF(D718=0,1,D718)*IF(C718=0,1,C718)</f>
        <v>80.570460225540998</v>
      </c>
      <c r="K718" s="480"/>
      <c r="L718" s="774"/>
      <c r="M718" s="760"/>
      <c r="N718" s="781"/>
      <c r="O718" s="782">
        <f>O717</f>
        <v>1</v>
      </c>
      <c r="P718" s="781"/>
      <c r="Q718" s="756" t="s">
        <v>463</v>
      </c>
      <c r="R718" s="756">
        <v>10</v>
      </c>
      <c r="S718" s="757">
        <f>6/(12*3.281)</f>
        <v>0.15239256324291375</v>
      </c>
      <c r="T718" s="758">
        <f>(ROUND((N714-4*M715)/S718,0))+1</f>
        <v>83</v>
      </c>
      <c r="U718" s="759">
        <f>2*(M714+M715)-8*P714+2*8*R718/1000</f>
        <v>0.97072843645230111</v>
      </c>
      <c r="V718" s="757">
        <f>T718*U718*O718</f>
        <v>80.570460225540998</v>
      </c>
      <c r="W718" s="757">
        <f t="shared" si="166"/>
        <v>0</v>
      </c>
      <c r="X718" s="757">
        <f t="shared" si="166"/>
        <v>0</v>
      </c>
      <c r="Y718" s="757">
        <f t="shared" si="166"/>
        <v>80.570460225540998</v>
      </c>
      <c r="Z718" s="757">
        <f t="shared" si="166"/>
        <v>0</v>
      </c>
      <c r="AA718" s="757">
        <f t="shared" si="166"/>
        <v>0</v>
      </c>
      <c r="AB718" s="757">
        <f t="shared" si="166"/>
        <v>0</v>
      </c>
      <c r="AC718" s="757">
        <f t="shared" si="166"/>
        <v>0</v>
      </c>
      <c r="AD718" s="757">
        <f t="shared" si="166"/>
        <v>0</v>
      </c>
      <c r="AE718" s="757">
        <f t="shared" si="166"/>
        <v>0</v>
      </c>
      <c r="AF718" s="777"/>
      <c r="AI718" s="777"/>
      <c r="AL718" s="777"/>
      <c r="AM718" s="777"/>
    </row>
    <row r="719" spans="1:43" s="390" customFormat="1" ht="22.25" customHeight="1">
      <c r="A719" s="454"/>
      <c r="B719" s="657" t="s">
        <v>765</v>
      </c>
      <c r="C719" s="662"/>
      <c r="D719" s="662"/>
      <c r="E719" s="662">
        <v>2</v>
      </c>
      <c r="F719" s="498">
        <f>15+0.83</f>
        <v>15.83</v>
      </c>
      <c r="G719" s="642">
        <f>G712</f>
        <v>0.83</v>
      </c>
      <c r="H719" s="642">
        <f>H712</f>
        <v>1</v>
      </c>
      <c r="I719" s="499"/>
      <c r="J719" s="507"/>
      <c r="K719" s="455"/>
      <c r="L719" s="312"/>
      <c r="M719" s="722"/>
      <c r="N719" s="722"/>
      <c r="O719" s="722"/>
      <c r="P719" s="722"/>
      <c r="Q719" s="611"/>
      <c r="R719" s="611"/>
      <c r="S719" s="624"/>
      <c r="T719" s="625"/>
      <c r="U719" s="626"/>
      <c r="V719" s="624"/>
      <c r="W719" s="624"/>
      <c r="X719" s="624"/>
      <c r="Y719" s="624"/>
      <c r="Z719" s="624"/>
      <c r="AA719" s="624"/>
      <c r="AB719" s="624"/>
      <c r="AC719" s="624"/>
      <c r="AD719" s="624"/>
      <c r="AE719" s="624"/>
      <c r="AF719" s="471"/>
      <c r="AG719" s="473"/>
      <c r="AH719" s="471"/>
      <c r="AI719" s="471"/>
      <c r="AJ719" s="471"/>
      <c r="AM719" s="404"/>
      <c r="AP719" s="404"/>
      <c r="AQ719" s="404"/>
    </row>
    <row r="720" spans="1:43" s="776" customFormat="1" ht="22.25" customHeight="1">
      <c r="A720" s="769"/>
      <c r="B720" s="770" t="s">
        <v>543</v>
      </c>
      <c r="C720" s="665"/>
      <c r="D720" s="665"/>
      <c r="E720" s="665"/>
      <c r="F720" s="751"/>
      <c r="G720" s="773"/>
      <c r="H720" s="778"/>
      <c r="I720" s="774"/>
      <c r="J720" s="778"/>
      <c r="K720" s="480"/>
      <c r="L720" s="774"/>
      <c r="M720" s="760"/>
      <c r="N720" s="781"/>
      <c r="O720" s="782"/>
      <c r="P720" s="781"/>
      <c r="Q720" s="756"/>
      <c r="R720" s="756"/>
      <c r="S720" s="757"/>
      <c r="T720" s="758"/>
      <c r="U720" s="759"/>
      <c r="V720" s="757"/>
      <c r="W720" s="757">
        <f t="shared" si="166"/>
        <v>0</v>
      </c>
      <c r="X720" s="757">
        <f t="shared" si="166"/>
        <v>0</v>
      </c>
      <c r="Y720" s="757">
        <f t="shared" si="166"/>
        <v>0</v>
      </c>
      <c r="Z720" s="757">
        <f t="shared" si="166"/>
        <v>0</v>
      </c>
      <c r="AA720" s="757">
        <f t="shared" si="166"/>
        <v>0</v>
      </c>
      <c r="AB720" s="757">
        <f t="shared" si="166"/>
        <v>0</v>
      </c>
      <c r="AC720" s="757">
        <f t="shared" si="166"/>
        <v>0</v>
      </c>
      <c r="AD720" s="757">
        <f t="shared" si="166"/>
        <v>0</v>
      </c>
      <c r="AE720" s="757">
        <f t="shared" si="166"/>
        <v>0</v>
      </c>
      <c r="AF720" s="772" t="e">
        <f>((#REF!+#REF!/12)-(1.5/12)*2)*4+0.25*2</f>
        <v>#REF!</v>
      </c>
      <c r="AI720" s="777"/>
      <c r="AL720" s="777"/>
      <c r="AM720" s="777"/>
    </row>
    <row r="721" spans="1:43" s="776" customFormat="1" ht="22.25" customHeight="1">
      <c r="A721" s="769"/>
      <c r="B721" s="770" t="s">
        <v>483</v>
      </c>
      <c r="C721" s="665"/>
      <c r="D721" s="665">
        <v>3</v>
      </c>
      <c r="E721" s="665">
        <f>E719</f>
        <v>2</v>
      </c>
      <c r="F721" s="751">
        <f>U721</f>
        <v>5.358122523620847</v>
      </c>
      <c r="G721" s="773"/>
      <c r="H721" s="778"/>
      <c r="I721" s="774"/>
      <c r="J721" s="492">
        <f>IF(I721=0,1,I721)*IF(H721=0,1,H721)*IF(G721=0,1,G721)*IF(F721=0,1,F721)*IF(E721=0,1,E721)*IF(D721=0,1,D721)*IF(C721=0,1,C721)</f>
        <v>32.148735141725084</v>
      </c>
      <c r="K721" s="480"/>
      <c r="L721" s="774"/>
      <c r="M721" s="760">
        <f>G719/3.281</f>
        <v>0.25297165498323682</v>
      </c>
      <c r="N721" s="781">
        <f>F719/3.281</f>
        <v>4.8247485522706492</v>
      </c>
      <c r="O721" s="768">
        <f>E721</f>
        <v>2</v>
      </c>
      <c r="P721" s="781">
        <f>(1.5/12)/3.281</f>
        <v>3.8098140810728431E-2</v>
      </c>
      <c r="Q721" s="756" t="s">
        <v>541</v>
      </c>
      <c r="R721" s="756">
        <v>16</v>
      </c>
      <c r="S721" s="757"/>
      <c r="T721" s="758">
        <f>D721</f>
        <v>3</v>
      </c>
      <c r="U721" s="759">
        <f>N721-2*P721+2*M722</f>
        <v>5.358122523620847</v>
      </c>
      <c r="V721" s="757">
        <f>T721*U721*O721</f>
        <v>32.148735141725084</v>
      </c>
      <c r="W721" s="757">
        <f t="shared" si="166"/>
        <v>0</v>
      </c>
      <c r="X721" s="757">
        <f t="shared" si="166"/>
        <v>0</v>
      </c>
      <c r="Y721" s="757">
        <f t="shared" si="166"/>
        <v>0</v>
      </c>
      <c r="Z721" s="757">
        <f t="shared" si="166"/>
        <v>0</v>
      </c>
      <c r="AA721" s="757">
        <f t="shared" si="166"/>
        <v>32.148735141725084</v>
      </c>
      <c r="AB721" s="757">
        <f t="shared" si="166"/>
        <v>0</v>
      </c>
      <c r="AC721" s="757">
        <f t="shared" si="166"/>
        <v>0</v>
      </c>
      <c r="AD721" s="757">
        <f t="shared" si="166"/>
        <v>0</v>
      </c>
      <c r="AE721" s="757">
        <f t="shared" si="166"/>
        <v>0</v>
      </c>
      <c r="AF721" s="772" t="e">
        <f>(#REF!+#REF!/12)-0.25+0.5+0.25*2</f>
        <v>#REF!</v>
      </c>
      <c r="AI721" s="777"/>
      <c r="AL721" s="777"/>
      <c r="AM721" s="777"/>
    </row>
    <row r="722" spans="1:43" s="776" customFormat="1" ht="22.25" customHeight="1">
      <c r="A722" s="769"/>
      <c r="B722" s="770" t="s">
        <v>483</v>
      </c>
      <c r="C722" s="665"/>
      <c r="D722" s="665">
        <v>3</v>
      </c>
      <c r="E722" s="665">
        <f>E721</f>
        <v>2</v>
      </c>
      <c r="F722" s="751">
        <f>U722</f>
        <v>5.021337397135019</v>
      </c>
      <c r="G722" s="773"/>
      <c r="H722" s="778"/>
      <c r="I722" s="774"/>
      <c r="J722" s="492">
        <f>IF(I722=0,1,I722)*IF(H722=0,1,H722)*IF(G722=0,1,G722)*IF(F722=0,1,F722)*IF(E722=0,1,E722)*IF(D722=0,1,D722)*IF(C722=0,1,C722)</f>
        <v>30.128024382810114</v>
      </c>
      <c r="K722" s="480"/>
      <c r="L722" s="774"/>
      <c r="M722" s="760">
        <f>H719/3.281</f>
        <v>0.30478512648582745</v>
      </c>
      <c r="N722" s="781"/>
      <c r="O722" s="768">
        <f>E722</f>
        <v>2</v>
      </c>
      <c r="P722" s="781">
        <f>(1.5/12)/3.281</f>
        <v>3.8098140810728431E-2</v>
      </c>
      <c r="Q722" s="756" t="s">
        <v>457</v>
      </c>
      <c r="R722" s="756">
        <v>16</v>
      </c>
      <c r="S722" s="757"/>
      <c r="T722" s="758">
        <f>D722</f>
        <v>3</v>
      </c>
      <c r="U722" s="759">
        <f>N721-2*P722-2*R722/1000+2*((M722/2))</f>
        <v>5.021337397135019</v>
      </c>
      <c r="V722" s="757">
        <f>T722*U722*O722</f>
        <v>30.128024382810114</v>
      </c>
      <c r="W722" s="757">
        <f t="shared" ref="W722:AE725" si="167">IF($R722=W$5,$V722,0)</f>
        <v>0</v>
      </c>
      <c r="X722" s="757">
        <f t="shared" si="167"/>
        <v>0</v>
      </c>
      <c r="Y722" s="757">
        <f t="shared" si="167"/>
        <v>0</v>
      </c>
      <c r="Z722" s="757">
        <f t="shared" si="167"/>
        <v>0</v>
      </c>
      <c r="AA722" s="757">
        <f t="shared" si="167"/>
        <v>30.128024382810114</v>
      </c>
      <c r="AB722" s="757">
        <f t="shared" si="167"/>
        <v>0</v>
      </c>
      <c r="AC722" s="757">
        <f t="shared" si="167"/>
        <v>0</v>
      </c>
      <c r="AD722" s="757">
        <f t="shared" si="167"/>
        <v>0</v>
      </c>
      <c r="AE722" s="757">
        <f t="shared" si="167"/>
        <v>0</v>
      </c>
      <c r="AF722" s="772" t="e">
        <f>(#REF!+#REF!/12)-0.25+0.5+0.25*2</f>
        <v>#REF!</v>
      </c>
      <c r="AI722" s="777"/>
      <c r="AL722" s="777"/>
      <c r="AM722" s="777"/>
    </row>
    <row r="723" spans="1:43" s="776" customFormat="1" ht="22.25" customHeight="1">
      <c r="A723" s="769"/>
      <c r="B723" s="770" t="s">
        <v>542</v>
      </c>
      <c r="C723" s="665"/>
      <c r="D723" s="665"/>
      <c r="E723" s="665"/>
      <c r="F723" s="751"/>
      <c r="G723" s="773"/>
      <c r="H723" s="778"/>
      <c r="I723" s="774"/>
      <c r="J723" s="778"/>
      <c r="K723" s="480"/>
      <c r="L723" s="774"/>
      <c r="M723" s="760"/>
      <c r="N723" s="781"/>
      <c r="O723" s="782"/>
      <c r="P723" s="781"/>
      <c r="Q723" s="756"/>
      <c r="R723" s="756"/>
      <c r="S723" s="757"/>
      <c r="T723" s="758"/>
      <c r="U723" s="759"/>
      <c r="V723" s="757"/>
      <c r="W723" s="757">
        <f t="shared" si="167"/>
        <v>0</v>
      </c>
      <c r="X723" s="757">
        <f t="shared" si="167"/>
        <v>0</v>
      </c>
      <c r="Y723" s="757">
        <f t="shared" si="167"/>
        <v>0</v>
      </c>
      <c r="Z723" s="757">
        <f t="shared" si="167"/>
        <v>0</v>
      </c>
      <c r="AA723" s="757">
        <f t="shared" si="167"/>
        <v>0</v>
      </c>
      <c r="AB723" s="757">
        <f t="shared" si="167"/>
        <v>0</v>
      </c>
      <c r="AC723" s="757">
        <f t="shared" si="167"/>
        <v>0</v>
      </c>
      <c r="AD723" s="757">
        <f t="shared" si="167"/>
        <v>0</v>
      </c>
      <c r="AE723" s="757">
        <f t="shared" si="167"/>
        <v>0</v>
      </c>
      <c r="AF723" s="772" t="e">
        <f>((#REF!+#REF!/12)-(1.5/12)*2)*4+0.25*2</f>
        <v>#REF!</v>
      </c>
      <c r="AI723" s="777"/>
      <c r="AL723" s="777"/>
      <c r="AM723" s="777"/>
    </row>
    <row r="724" spans="1:43" s="776" customFormat="1" ht="22.25" customHeight="1">
      <c r="A724" s="769"/>
      <c r="B724" s="770" t="s">
        <v>484</v>
      </c>
      <c r="C724" s="665"/>
      <c r="D724" s="665">
        <f>T724</f>
        <v>13</v>
      </c>
      <c r="E724" s="665">
        <f>E721</f>
        <v>2</v>
      </c>
      <c r="F724" s="751">
        <f>U724</f>
        <v>0.97072843645230111</v>
      </c>
      <c r="G724" s="779"/>
      <c r="H724" s="780"/>
      <c r="I724" s="774"/>
      <c r="J724" s="492">
        <f>IF(I724=0,1,I724)*IF(H724=0,1,H724)*IF(G724=0,1,G724)*IF(F724=0,1,F724)*IF(E724=0,1,E724)*IF(D724=0,1,D724)*IF(C724=0,1,C724)</f>
        <v>25.238939347759828</v>
      </c>
      <c r="K724" s="480"/>
      <c r="L724" s="774"/>
      <c r="N724" s="781"/>
      <c r="O724" s="782">
        <f>O721</f>
        <v>2</v>
      </c>
      <c r="P724" s="781"/>
      <c r="Q724" s="756" t="s">
        <v>463</v>
      </c>
      <c r="R724" s="756">
        <v>10</v>
      </c>
      <c r="S724" s="757">
        <f>4/(12*3.281)</f>
        <v>0.1015950421619425</v>
      </c>
      <c r="T724" s="758">
        <f>2*(ROUND(2*M722/S724,0))+1</f>
        <v>13</v>
      </c>
      <c r="U724" s="759">
        <f>2*(M721+M722)-8*P721+2*8*R724/1000</f>
        <v>0.97072843645230111</v>
      </c>
      <c r="V724" s="757">
        <f>T724*U724*O724</f>
        <v>25.238939347759828</v>
      </c>
      <c r="W724" s="757">
        <f t="shared" si="167"/>
        <v>0</v>
      </c>
      <c r="X724" s="757">
        <f t="shared" si="167"/>
        <v>0</v>
      </c>
      <c r="Y724" s="757">
        <f t="shared" si="167"/>
        <v>25.238939347759828</v>
      </c>
      <c r="Z724" s="757">
        <f t="shared" si="167"/>
        <v>0</v>
      </c>
      <c r="AA724" s="757">
        <f t="shared" si="167"/>
        <v>0</v>
      </c>
      <c r="AB724" s="757">
        <f t="shared" si="167"/>
        <v>0</v>
      </c>
      <c r="AC724" s="757">
        <f t="shared" si="167"/>
        <v>0</v>
      </c>
      <c r="AD724" s="757">
        <f t="shared" si="167"/>
        <v>0</v>
      </c>
      <c r="AE724" s="757">
        <f t="shared" si="167"/>
        <v>0</v>
      </c>
      <c r="AF724" s="777"/>
      <c r="AI724" s="777"/>
      <c r="AL724" s="777"/>
      <c r="AM724" s="777"/>
    </row>
    <row r="725" spans="1:43" s="776" customFormat="1" ht="22.25" customHeight="1">
      <c r="A725" s="769"/>
      <c r="B725" s="770" t="s">
        <v>484</v>
      </c>
      <c r="C725" s="665"/>
      <c r="D725" s="665">
        <f>T725</f>
        <v>25</v>
      </c>
      <c r="E725" s="665">
        <f>E724</f>
        <v>2</v>
      </c>
      <c r="F725" s="751">
        <f>U725</f>
        <v>0.97072843645230111</v>
      </c>
      <c r="G725" s="779"/>
      <c r="H725" s="780"/>
      <c r="I725" s="774"/>
      <c r="J725" s="492">
        <f>IF(I725=0,1,I725)*IF(H725=0,1,H725)*IF(G725=0,1,G725)*IF(F725=0,1,F725)*IF(E725=0,1,E725)*IF(D725=0,1,D725)*IF(C725=0,1,C725)</f>
        <v>48.536421822615054</v>
      </c>
      <c r="K725" s="480"/>
      <c r="L725" s="774"/>
      <c r="M725" s="760"/>
      <c r="N725" s="781"/>
      <c r="O725" s="782">
        <f>O724</f>
        <v>2</v>
      </c>
      <c r="P725" s="781"/>
      <c r="Q725" s="756" t="s">
        <v>463</v>
      </c>
      <c r="R725" s="756">
        <v>10</v>
      </c>
      <c r="S725" s="757">
        <f>6/(12*3.281)</f>
        <v>0.15239256324291375</v>
      </c>
      <c r="T725" s="758">
        <f>(ROUND((N721-4*M722)/S725,0))+1</f>
        <v>25</v>
      </c>
      <c r="U725" s="759">
        <f>2*(M721+M722)-8*P721+2*8*R725/1000</f>
        <v>0.97072843645230111</v>
      </c>
      <c r="V725" s="757">
        <f>T725*U725*O725</f>
        <v>48.536421822615054</v>
      </c>
      <c r="W725" s="757">
        <f t="shared" si="167"/>
        <v>0</v>
      </c>
      <c r="X725" s="757">
        <f t="shared" si="167"/>
        <v>0</v>
      </c>
      <c r="Y725" s="757">
        <f t="shared" si="167"/>
        <v>48.536421822615054</v>
      </c>
      <c r="Z725" s="757">
        <f t="shared" si="167"/>
        <v>0</v>
      </c>
      <c r="AA725" s="757">
        <f t="shared" si="167"/>
        <v>0</v>
      </c>
      <c r="AB725" s="757">
        <f t="shared" si="167"/>
        <v>0</v>
      </c>
      <c r="AC725" s="757">
        <f t="shared" si="167"/>
        <v>0</v>
      </c>
      <c r="AD725" s="757">
        <f t="shared" si="167"/>
        <v>0</v>
      </c>
      <c r="AE725" s="757">
        <f t="shared" si="167"/>
        <v>0</v>
      </c>
      <c r="AF725" s="777"/>
      <c r="AI725" s="777"/>
      <c r="AL725" s="777"/>
      <c r="AM725" s="777"/>
    </row>
    <row r="726" spans="1:43" s="390" customFormat="1" ht="22.25" customHeight="1">
      <c r="A726" s="454"/>
      <c r="B726" s="657" t="s">
        <v>764</v>
      </c>
      <c r="C726" s="662"/>
      <c r="D726" s="662"/>
      <c r="E726" s="662">
        <v>2</v>
      </c>
      <c r="F726" s="498">
        <f>45+5</f>
        <v>50</v>
      </c>
      <c r="G726" s="642">
        <f>G719</f>
        <v>0.83</v>
      </c>
      <c r="H726" s="642">
        <f>H719</f>
        <v>1</v>
      </c>
      <c r="I726" s="499"/>
      <c r="J726" s="507"/>
      <c r="K726" s="455"/>
      <c r="L726" s="312"/>
      <c r="M726" s="722"/>
      <c r="N726" s="722"/>
      <c r="O726" s="722"/>
      <c r="P726" s="722"/>
      <c r="Q726" s="611"/>
      <c r="R726" s="611"/>
      <c r="S726" s="624"/>
      <c r="T726" s="625"/>
      <c r="U726" s="626"/>
      <c r="V726" s="624"/>
      <c r="W726" s="624"/>
      <c r="X726" s="624"/>
      <c r="Y726" s="624"/>
      <c r="Z726" s="624"/>
      <c r="AA726" s="624"/>
      <c r="AB726" s="624"/>
      <c r="AC726" s="624"/>
      <c r="AD726" s="624"/>
      <c r="AE726" s="624"/>
      <c r="AF726" s="471"/>
      <c r="AG726" s="473"/>
      <c r="AH726" s="471"/>
      <c r="AI726" s="471"/>
      <c r="AJ726" s="471"/>
      <c r="AM726" s="404"/>
      <c r="AP726" s="404"/>
      <c r="AQ726" s="404"/>
    </row>
    <row r="727" spans="1:43" s="776" customFormat="1" ht="22.25" customHeight="1">
      <c r="A727" s="769"/>
      <c r="B727" s="770" t="s">
        <v>543</v>
      </c>
      <c r="C727" s="665"/>
      <c r="D727" s="665"/>
      <c r="E727" s="665"/>
      <c r="F727" s="751"/>
      <c r="G727" s="773"/>
      <c r="H727" s="778"/>
      <c r="I727" s="774"/>
      <c r="J727" s="778"/>
      <c r="K727" s="480"/>
      <c r="L727" s="774"/>
      <c r="M727" s="760"/>
      <c r="N727" s="781"/>
      <c r="O727" s="782"/>
      <c r="P727" s="781"/>
      <c r="Q727" s="756"/>
      <c r="R727" s="756"/>
      <c r="S727" s="757"/>
      <c r="T727" s="758"/>
      <c r="U727" s="759"/>
      <c r="V727" s="757"/>
      <c r="W727" s="757">
        <f t="shared" ref="W727:AE742" si="168">IF($R727=W$5,$V727,0)</f>
        <v>0</v>
      </c>
      <c r="X727" s="757">
        <f t="shared" si="168"/>
        <v>0</v>
      </c>
      <c r="Y727" s="757">
        <f t="shared" si="168"/>
        <v>0</v>
      </c>
      <c r="Z727" s="757">
        <f t="shared" si="168"/>
        <v>0</v>
      </c>
      <c r="AA727" s="757">
        <f t="shared" si="168"/>
        <v>0</v>
      </c>
      <c r="AB727" s="757">
        <f t="shared" si="168"/>
        <v>0</v>
      </c>
      <c r="AC727" s="757">
        <f t="shared" si="168"/>
        <v>0</v>
      </c>
      <c r="AD727" s="757">
        <f t="shared" si="168"/>
        <v>0</v>
      </c>
      <c r="AE727" s="757">
        <f t="shared" si="168"/>
        <v>0</v>
      </c>
      <c r="AF727" s="772" t="e">
        <f>((#REF!+#REF!/12)-(1.5/12)*2)*4+0.25*2</f>
        <v>#REF!</v>
      </c>
      <c r="AI727" s="777"/>
      <c r="AL727" s="777"/>
      <c r="AM727" s="777"/>
    </row>
    <row r="728" spans="1:43" s="776" customFormat="1" ht="22.25" customHeight="1">
      <c r="A728" s="769"/>
      <c r="B728" s="770" t="s">
        <v>483</v>
      </c>
      <c r="C728" s="665"/>
      <c r="D728" s="665">
        <v>3</v>
      </c>
      <c r="E728" s="665">
        <f>E726</f>
        <v>2</v>
      </c>
      <c r="F728" s="751">
        <f>U728</f>
        <v>16.382200548613227</v>
      </c>
      <c r="G728" s="773"/>
      <c r="H728" s="778"/>
      <c r="I728" s="774"/>
      <c r="J728" s="492">
        <f>IF(I728=0,1,I728)*IF(H728=0,1,H728)*IF(G728=0,1,G728)*IF(F728=0,1,F728)*IF(E728=0,1,E728)*IF(D728=0,1,D728)*IF(C728=0,1,C728)</f>
        <v>98.293203291679362</v>
      </c>
      <c r="K728" s="480"/>
      <c r="L728" s="774"/>
      <c r="M728" s="760">
        <f>G726/3.281</f>
        <v>0.25297165498323682</v>
      </c>
      <c r="N728" s="781">
        <f>F726/3.281</f>
        <v>15.239256324291373</v>
      </c>
      <c r="O728" s="768">
        <f>E728</f>
        <v>2</v>
      </c>
      <c r="P728" s="781">
        <f>(1.5/12)/3.281</f>
        <v>3.8098140810728431E-2</v>
      </c>
      <c r="Q728" s="756" t="s">
        <v>541</v>
      </c>
      <c r="R728" s="756">
        <v>16</v>
      </c>
      <c r="S728" s="757"/>
      <c r="T728" s="758">
        <f>D728</f>
        <v>3</v>
      </c>
      <c r="U728" s="759">
        <f>N728-2*P728+2*M729+2/3.281</f>
        <v>16.382200548613227</v>
      </c>
      <c r="V728" s="757">
        <f>T728*U728*O728</f>
        <v>98.293203291679362</v>
      </c>
      <c r="W728" s="757">
        <f t="shared" si="168"/>
        <v>0</v>
      </c>
      <c r="X728" s="757">
        <f t="shared" si="168"/>
        <v>0</v>
      </c>
      <c r="Y728" s="757">
        <f t="shared" si="168"/>
        <v>0</v>
      </c>
      <c r="Z728" s="757">
        <f t="shared" si="168"/>
        <v>0</v>
      </c>
      <c r="AA728" s="757">
        <f t="shared" si="168"/>
        <v>98.293203291679362</v>
      </c>
      <c r="AB728" s="757">
        <f t="shared" si="168"/>
        <v>0</v>
      </c>
      <c r="AC728" s="757">
        <f t="shared" si="168"/>
        <v>0</v>
      </c>
      <c r="AD728" s="757">
        <f t="shared" si="168"/>
        <v>0</v>
      </c>
      <c r="AE728" s="757">
        <f t="shared" si="168"/>
        <v>0</v>
      </c>
      <c r="AF728" s="772" t="e">
        <f>(#REF!+#REF!/12)-0.25+0.5+0.25*2</f>
        <v>#REF!</v>
      </c>
      <c r="AI728" s="777"/>
      <c r="AL728" s="777"/>
      <c r="AM728" s="777"/>
    </row>
    <row r="729" spans="1:43" s="776" customFormat="1" ht="22.25" customHeight="1">
      <c r="A729" s="769"/>
      <c r="B729" s="770" t="s">
        <v>483</v>
      </c>
      <c r="C729" s="665"/>
      <c r="D729" s="665">
        <v>3</v>
      </c>
      <c r="E729" s="665">
        <f>E728</f>
        <v>2</v>
      </c>
      <c r="F729" s="751">
        <f>U729</f>
        <v>16.045415422127398</v>
      </c>
      <c r="G729" s="773"/>
      <c r="H729" s="778"/>
      <c r="I729" s="774"/>
      <c r="J729" s="492">
        <f>IF(I729=0,1,I729)*IF(H729=0,1,H729)*IF(G729=0,1,G729)*IF(F729=0,1,F729)*IF(E729=0,1,E729)*IF(D729=0,1,D729)*IF(C729=0,1,C729)</f>
        <v>96.272492532764389</v>
      </c>
      <c r="K729" s="480"/>
      <c r="L729" s="774"/>
      <c r="M729" s="760">
        <f>H726/3.281</f>
        <v>0.30478512648582745</v>
      </c>
      <c r="N729" s="781"/>
      <c r="O729" s="768">
        <f>E729</f>
        <v>2</v>
      </c>
      <c r="P729" s="781">
        <f>(1.5/12)/3.281</f>
        <v>3.8098140810728431E-2</v>
      </c>
      <c r="Q729" s="756" t="s">
        <v>457</v>
      </c>
      <c r="R729" s="756">
        <v>16</v>
      </c>
      <c r="S729" s="757"/>
      <c r="T729" s="758">
        <f>D729</f>
        <v>3</v>
      </c>
      <c r="U729" s="759">
        <f>N728-2*P729-2*R729/1000+2*((M729/2))+2/3.281</f>
        <v>16.045415422127398</v>
      </c>
      <c r="V729" s="757">
        <f>T729*U729*O729</f>
        <v>96.272492532764389</v>
      </c>
      <c r="W729" s="757">
        <f t="shared" si="168"/>
        <v>0</v>
      </c>
      <c r="X729" s="757">
        <f t="shared" si="168"/>
        <v>0</v>
      </c>
      <c r="Y729" s="757">
        <f t="shared" si="168"/>
        <v>0</v>
      </c>
      <c r="Z729" s="757">
        <f t="shared" si="168"/>
        <v>0</v>
      </c>
      <c r="AA729" s="757">
        <f t="shared" si="168"/>
        <v>96.272492532764389</v>
      </c>
      <c r="AB729" s="757">
        <f t="shared" si="168"/>
        <v>0</v>
      </c>
      <c r="AC729" s="757">
        <f t="shared" si="168"/>
        <v>0</v>
      </c>
      <c r="AD729" s="757">
        <f t="shared" si="168"/>
        <v>0</v>
      </c>
      <c r="AE729" s="757">
        <f t="shared" si="168"/>
        <v>0</v>
      </c>
      <c r="AF729" s="772" t="e">
        <f>(#REF!+#REF!/12)-0.25+0.5+0.25*2</f>
        <v>#REF!</v>
      </c>
      <c r="AI729" s="777"/>
      <c r="AL729" s="777"/>
      <c r="AM729" s="777"/>
    </row>
    <row r="730" spans="1:43" s="776" customFormat="1" ht="22.25" customHeight="1">
      <c r="A730" s="769"/>
      <c r="B730" s="770" t="s">
        <v>542</v>
      </c>
      <c r="C730" s="665"/>
      <c r="D730" s="665"/>
      <c r="E730" s="665"/>
      <c r="F730" s="751"/>
      <c r="G730" s="773"/>
      <c r="H730" s="778"/>
      <c r="I730" s="774"/>
      <c r="J730" s="778"/>
      <c r="K730" s="480"/>
      <c r="L730" s="774"/>
      <c r="M730" s="760"/>
      <c r="N730" s="781"/>
      <c r="O730" s="782"/>
      <c r="P730" s="781"/>
      <c r="Q730" s="756"/>
      <c r="R730" s="756"/>
      <c r="S730" s="757"/>
      <c r="T730" s="758"/>
      <c r="U730" s="759"/>
      <c r="V730" s="757"/>
      <c r="W730" s="757">
        <f t="shared" si="168"/>
        <v>0</v>
      </c>
      <c r="X730" s="757">
        <f t="shared" si="168"/>
        <v>0</v>
      </c>
      <c r="Y730" s="757">
        <f t="shared" si="168"/>
        <v>0</v>
      </c>
      <c r="Z730" s="757">
        <f t="shared" si="168"/>
        <v>0</v>
      </c>
      <c r="AA730" s="757">
        <f t="shared" si="168"/>
        <v>0</v>
      </c>
      <c r="AB730" s="757">
        <f t="shared" si="168"/>
        <v>0</v>
      </c>
      <c r="AC730" s="757">
        <f t="shared" si="168"/>
        <v>0</v>
      </c>
      <c r="AD730" s="757">
        <f t="shared" si="168"/>
        <v>0</v>
      </c>
      <c r="AE730" s="757">
        <f t="shared" si="168"/>
        <v>0</v>
      </c>
      <c r="AF730" s="772" t="e">
        <f>((#REF!+#REF!/12)-(1.5/12)*2)*4+0.25*2</f>
        <v>#REF!</v>
      </c>
      <c r="AI730" s="777"/>
      <c r="AL730" s="777"/>
      <c r="AM730" s="777"/>
    </row>
    <row r="731" spans="1:43" s="776" customFormat="1" ht="22.25" customHeight="1">
      <c r="A731" s="769"/>
      <c r="B731" s="770" t="s">
        <v>484</v>
      </c>
      <c r="C731" s="665"/>
      <c r="D731" s="665">
        <f>T731</f>
        <v>13</v>
      </c>
      <c r="E731" s="665">
        <f>E728</f>
        <v>2</v>
      </c>
      <c r="F731" s="751">
        <f>U731</f>
        <v>0.97072843645230111</v>
      </c>
      <c r="G731" s="779"/>
      <c r="H731" s="780"/>
      <c r="I731" s="774"/>
      <c r="J731" s="492">
        <f>IF(I731=0,1,I731)*IF(H731=0,1,H731)*IF(G731=0,1,G731)*IF(F731=0,1,F731)*IF(E731=0,1,E731)*IF(D731=0,1,D731)*IF(C731=0,1,C731)</f>
        <v>25.238939347759828</v>
      </c>
      <c r="K731" s="480"/>
      <c r="L731" s="774"/>
      <c r="N731" s="781"/>
      <c r="O731" s="782">
        <f>O728</f>
        <v>2</v>
      </c>
      <c r="P731" s="781"/>
      <c r="Q731" s="756" t="s">
        <v>463</v>
      </c>
      <c r="R731" s="756">
        <v>10</v>
      </c>
      <c r="S731" s="757">
        <f>4/(12*3.281)</f>
        <v>0.1015950421619425</v>
      </c>
      <c r="T731" s="758">
        <f>2*(ROUND(2*M729/S731,0))+1</f>
        <v>13</v>
      </c>
      <c r="U731" s="759">
        <f>2*(M728+M729)-8*P728+2*8*R731/1000</f>
        <v>0.97072843645230111</v>
      </c>
      <c r="V731" s="757">
        <f>T731*U731*O731</f>
        <v>25.238939347759828</v>
      </c>
      <c r="W731" s="757">
        <f t="shared" si="168"/>
        <v>0</v>
      </c>
      <c r="X731" s="757">
        <f t="shared" si="168"/>
        <v>0</v>
      </c>
      <c r="Y731" s="757">
        <f t="shared" si="168"/>
        <v>25.238939347759828</v>
      </c>
      <c r="Z731" s="757">
        <f t="shared" si="168"/>
        <v>0</v>
      </c>
      <c r="AA731" s="757">
        <f t="shared" si="168"/>
        <v>0</v>
      </c>
      <c r="AB731" s="757">
        <f t="shared" si="168"/>
        <v>0</v>
      </c>
      <c r="AC731" s="757">
        <f t="shared" si="168"/>
        <v>0</v>
      </c>
      <c r="AD731" s="757">
        <f t="shared" si="168"/>
        <v>0</v>
      </c>
      <c r="AE731" s="757">
        <f t="shared" si="168"/>
        <v>0</v>
      </c>
      <c r="AF731" s="777"/>
      <c r="AI731" s="777"/>
      <c r="AL731" s="777"/>
      <c r="AM731" s="777"/>
    </row>
    <row r="732" spans="1:43" s="776" customFormat="1" ht="22.25" customHeight="1">
      <c r="A732" s="769"/>
      <c r="B732" s="770" t="s">
        <v>484</v>
      </c>
      <c r="C732" s="665"/>
      <c r="D732" s="665">
        <f>T732</f>
        <v>93</v>
      </c>
      <c r="E732" s="665">
        <f>E731</f>
        <v>2</v>
      </c>
      <c r="F732" s="751">
        <f>U732</f>
        <v>0.97072843645230111</v>
      </c>
      <c r="G732" s="779"/>
      <c r="H732" s="780"/>
      <c r="I732" s="774"/>
      <c r="J732" s="492">
        <f>IF(I732=0,1,I732)*IF(H732=0,1,H732)*IF(G732=0,1,G732)*IF(F732=0,1,F732)*IF(E732=0,1,E732)*IF(D732=0,1,D732)*IF(C732=0,1,C732)</f>
        <v>180.55548918012801</v>
      </c>
      <c r="K732" s="480"/>
      <c r="L732" s="774"/>
      <c r="M732" s="760"/>
      <c r="N732" s="781"/>
      <c r="O732" s="782">
        <f>O731</f>
        <v>2</v>
      </c>
      <c r="P732" s="781"/>
      <c r="Q732" s="756" t="s">
        <v>463</v>
      </c>
      <c r="R732" s="756">
        <v>10</v>
      </c>
      <c r="S732" s="757">
        <f>6/(12*3.281)</f>
        <v>0.15239256324291375</v>
      </c>
      <c r="T732" s="758">
        <f>(ROUND((N728-4*M729)/S732,0))+1</f>
        <v>93</v>
      </c>
      <c r="U732" s="759">
        <f>2*(M728+M729)-8*P728+2*8*R732/1000</f>
        <v>0.97072843645230111</v>
      </c>
      <c r="V732" s="757">
        <f>T732*U732*O732</f>
        <v>180.55548918012801</v>
      </c>
      <c r="W732" s="757">
        <f t="shared" si="168"/>
        <v>0</v>
      </c>
      <c r="X732" s="757">
        <f t="shared" si="168"/>
        <v>0</v>
      </c>
      <c r="Y732" s="757">
        <f t="shared" si="168"/>
        <v>180.55548918012801</v>
      </c>
      <c r="Z732" s="757">
        <f t="shared" si="168"/>
        <v>0</v>
      </c>
      <c r="AA732" s="757">
        <f t="shared" si="168"/>
        <v>0</v>
      </c>
      <c r="AB732" s="757">
        <f t="shared" si="168"/>
        <v>0</v>
      </c>
      <c r="AC732" s="757">
        <f t="shared" si="168"/>
        <v>0</v>
      </c>
      <c r="AD732" s="757">
        <f t="shared" si="168"/>
        <v>0</v>
      </c>
      <c r="AE732" s="757">
        <f t="shared" si="168"/>
        <v>0</v>
      </c>
      <c r="AF732" s="777"/>
      <c r="AI732" s="777"/>
      <c r="AL732" s="777"/>
      <c r="AM732" s="777"/>
    </row>
    <row r="733" spans="1:43" s="390" customFormat="1" ht="22.25" customHeight="1">
      <c r="A733" s="454"/>
      <c r="B733" s="657" t="s">
        <v>766</v>
      </c>
      <c r="C733" s="662"/>
      <c r="D733" s="662"/>
      <c r="E733" s="662">
        <v>1</v>
      </c>
      <c r="F733" s="498">
        <f>10</f>
        <v>10</v>
      </c>
      <c r="G733" s="642">
        <f>G726</f>
        <v>0.83</v>
      </c>
      <c r="H733" s="642">
        <f>H726</f>
        <v>1</v>
      </c>
      <c r="I733" s="499"/>
      <c r="J733" s="507"/>
      <c r="K733" s="455"/>
      <c r="L733" s="312"/>
      <c r="M733" s="722"/>
      <c r="N733" s="722"/>
      <c r="O733" s="722"/>
      <c r="P733" s="722"/>
      <c r="Q733" s="611"/>
      <c r="R733" s="611"/>
      <c r="S733" s="624"/>
      <c r="T733" s="625"/>
      <c r="U733" s="626"/>
      <c r="V733" s="624"/>
      <c r="W733" s="624"/>
      <c r="X733" s="624"/>
      <c r="Y733" s="624"/>
      <c r="Z733" s="624"/>
      <c r="AA733" s="624"/>
      <c r="AB733" s="624"/>
      <c r="AC733" s="624"/>
      <c r="AD733" s="624"/>
      <c r="AE733" s="624"/>
      <c r="AF733" s="471"/>
      <c r="AG733" s="473"/>
      <c r="AH733" s="471"/>
      <c r="AI733" s="471"/>
      <c r="AJ733" s="471"/>
      <c r="AM733" s="404"/>
      <c r="AP733" s="404"/>
      <c r="AQ733" s="404"/>
    </row>
    <row r="734" spans="1:43" s="776" customFormat="1" ht="22.25" customHeight="1">
      <c r="A734" s="769"/>
      <c r="B734" s="770" t="s">
        <v>543</v>
      </c>
      <c r="C734" s="665"/>
      <c r="D734" s="665"/>
      <c r="E734" s="665"/>
      <c r="F734" s="751"/>
      <c r="G734" s="773"/>
      <c r="H734" s="778"/>
      <c r="I734" s="774"/>
      <c r="J734" s="778"/>
      <c r="K734" s="480"/>
      <c r="L734" s="774"/>
      <c r="M734" s="760"/>
      <c r="N734" s="781"/>
      <c r="O734" s="782"/>
      <c r="P734" s="781"/>
      <c r="Q734" s="756"/>
      <c r="R734" s="756"/>
      <c r="S734" s="757"/>
      <c r="T734" s="758"/>
      <c r="U734" s="759"/>
      <c r="V734" s="757"/>
      <c r="W734" s="757">
        <f t="shared" si="168"/>
        <v>0</v>
      </c>
      <c r="X734" s="757">
        <f t="shared" si="168"/>
        <v>0</v>
      </c>
      <c r="Y734" s="757">
        <f t="shared" si="168"/>
        <v>0</v>
      </c>
      <c r="Z734" s="757">
        <f t="shared" si="168"/>
        <v>0</v>
      </c>
      <c r="AA734" s="757">
        <f t="shared" si="168"/>
        <v>0</v>
      </c>
      <c r="AB734" s="757">
        <f t="shared" si="168"/>
        <v>0</v>
      </c>
      <c r="AC734" s="757">
        <f t="shared" si="168"/>
        <v>0</v>
      </c>
      <c r="AD734" s="757">
        <f t="shared" si="168"/>
        <v>0</v>
      </c>
      <c r="AE734" s="757">
        <f t="shared" si="168"/>
        <v>0</v>
      </c>
      <c r="AF734" s="772" t="e">
        <f>((#REF!+#REF!/12)-(1.5/12)*2)*4+0.25*2</f>
        <v>#REF!</v>
      </c>
      <c r="AI734" s="777"/>
      <c r="AL734" s="777"/>
      <c r="AM734" s="777"/>
    </row>
    <row r="735" spans="1:43" s="776" customFormat="1" ht="22.25" customHeight="1">
      <c r="A735" s="769"/>
      <c r="B735" s="770" t="s">
        <v>483</v>
      </c>
      <c r="C735" s="665"/>
      <c r="D735" s="665">
        <v>3</v>
      </c>
      <c r="E735" s="665">
        <f>E733</f>
        <v>1</v>
      </c>
      <c r="F735" s="751">
        <f>U735</f>
        <v>3.5812252362084731</v>
      </c>
      <c r="G735" s="773"/>
      <c r="H735" s="778"/>
      <c r="I735" s="774"/>
      <c r="J735" s="492">
        <f>IF(I735=0,1,I735)*IF(H735=0,1,H735)*IF(G735=0,1,G735)*IF(F735=0,1,F735)*IF(E735=0,1,E735)*IF(D735=0,1,D735)*IF(C735=0,1,C735)</f>
        <v>10.743675708625419</v>
      </c>
      <c r="K735" s="480"/>
      <c r="L735" s="774"/>
      <c r="M735" s="760">
        <f>G733/3.281</f>
        <v>0.25297165498323682</v>
      </c>
      <c r="N735" s="781">
        <f>F733/3.281</f>
        <v>3.047851264858275</v>
      </c>
      <c r="O735" s="768">
        <f>E735</f>
        <v>1</v>
      </c>
      <c r="P735" s="781">
        <f>(1.5/12)/3.281</f>
        <v>3.8098140810728431E-2</v>
      </c>
      <c r="Q735" s="756" t="s">
        <v>541</v>
      </c>
      <c r="R735" s="756">
        <v>16</v>
      </c>
      <c r="S735" s="757"/>
      <c r="T735" s="758">
        <f>D735</f>
        <v>3</v>
      </c>
      <c r="U735" s="759">
        <f>N735-2*P735+2*M736</f>
        <v>3.5812252362084731</v>
      </c>
      <c r="V735" s="757">
        <f>T735*U735*O735</f>
        <v>10.743675708625419</v>
      </c>
      <c r="W735" s="757">
        <f t="shared" si="168"/>
        <v>0</v>
      </c>
      <c r="X735" s="757">
        <f t="shared" si="168"/>
        <v>0</v>
      </c>
      <c r="Y735" s="757">
        <f t="shared" si="168"/>
        <v>0</v>
      </c>
      <c r="Z735" s="757">
        <f t="shared" si="168"/>
        <v>0</v>
      </c>
      <c r="AA735" s="757">
        <f t="shared" si="168"/>
        <v>10.743675708625419</v>
      </c>
      <c r="AB735" s="757">
        <f t="shared" si="168"/>
        <v>0</v>
      </c>
      <c r="AC735" s="757">
        <f t="shared" si="168"/>
        <v>0</v>
      </c>
      <c r="AD735" s="757">
        <f t="shared" si="168"/>
        <v>0</v>
      </c>
      <c r="AE735" s="757">
        <f t="shared" si="168"/>
        <v>0</v>
      </c>
      <c r="AF735" s="772" t="e">
        <f>(#REF!+#REF!/12)-0.25+0.5+0.25*2</f>
        <v>#REF!</v>
      </c>
      <c r="AI735" s="777"/>
      <c r="AL735" s="777"/>
      <c r="AM735" s="777"/>
    </row>
    <row r="736" spans="1:43" s="776" customFormat="1" ht="22.25" customHeight="1">
      <c r="A736" s="769"/>
      <c r="B736" s="770" t="s">
        <v>483</v>
      </c>
      <c r="C736" s="665"/>
      <c r="D736" s="665">
        <v>3</v>
      </c>
      <c r="E736" s="665">
        <f>E735</f>
        <v>1</v>
      </c>
      <c r="F736" s="751">
        <f>U736</f>
        <v>3.2444401097226456</v>
      </c>
      <c r="G736" s="773"/>
      <c r="H736" s="778"/>
      <c r="I736" s="774"/>
      <c r="J736" s="492">
        <f>IF(I736=0,1,I736)*IF(H736=0,1,H736)*IF(G736=0,1,G736)*IF(F736=0,1,F736)*IF(E736=0,1,E736)*IF(D736=0,1,D736)*IF(C736=0,1,C736)</f>
        <v>9.7333203291679364</v>
      </c>
      <c r="K736" s="480"/>
      <c r="L736" s="774"/>
      <c r="M736" s="760">
        <f>H733/3.281</f>
        <v>0.30478512648582745</v>
      </c>
      <c r="N736" s="781"/>
      <c r="O736" s="768">
        <f>E736</f>
        <v>1</v>
      </c>
      <c r="P736" s="781">
        <f>(1.5/12)/3.281</f>
        <v>3.8098140810728431E-2</v>
      </c>
      <c r="Q736" s="756" t="s">
        <v>457</v>
      </c>
      <c r="R736" s="756">
        <v>16</v>
      </c>
      <c r="S736" s="757"/>
      <c r="T736" s="758">
        <f>D736</f>
        <v>3</v>
      </c>
      <c r="U736" s="759">
        <f>N735-2*P736-2*R736/1000+2*((M736/2))</f>
        <v>3.2444401097226456</v>
      </c>
      <c r="V736" s="757">
        <f>T736*U736*O736</f>
        <v>9.7333203291679364</v>
      </c>
      <c r="W736" s="757">
        <f t="shared" si="168"/>
        <v>0</v>
      </c>
      <c r="X736" s="757">
        <f t="shared" si="168"/>
        <v>0</v>
      </c>
      <c r="Y736" s="757">
        <f t="shared" si="168"/>
        <v>0</v>
      </c>
      <c r="Z736" s="757">
        <f t="shared" si="168"/>
        <v>0</v>
      </c>
      <c r="AA736" s="757">
        <f t="shared" si="168"/>
        <v>9.7333203291679364</v>
      </c>
      <c r="AB736" s="757">
        <f t="shared" si="168"/>
        <v>0</v>
      </c>
      <c r="AC736" s="757">
        <f t="shared" si="168"/>
        <v>0</v>
      </c>
      <c r="AD736" s="757">
        <f t="shared" si="168"/>
        <v>0</v>
      </c>
      <c r="AE736" s="757">
        <f t="shared" si="168"/>
        <v>0</v>
      </c>
      <c r="AF736" s="772" t="e">
        <f>(#REF!+#REF!/12)-0.25+0.5+0.25*2</f>
        <v>#REF!</v>
      </c>
      <c r="AI736" s="777"/>
      <c r="AL736" s="777"/>
      <c r="AM736" s="777"/>
    </row>
    <row r="737" spans="1:43" s="776" customFormat="1" ht="22.25" customHeight="1">
      <c r="A737" s="769"/>
      <c r="B737" s="770" t="s">
        <v>542</v>
      </c>
      <c r="C737" s="665"/>
      <c r="D737" s="665"/>
      <c r="E737" s="665"/>
      <c r="F737" s="751"/>
      <c r="G737" s="773"/>
      <c r="H737" s="778"/>
      <c r="I737" s="774"/>
      <c r="J737" s="778"/>
      <c r="K737" s="480"/>
      <c r="L737" s="774"/>
      <c r="M737" s="760"/>
      <c r="N737" s="781"/>
      <c r="O737" s="782"/>
      <c r="P737" s="781"/>
      <c r="Q737" s="756"/>
      <c r="R737" s="756"/>
      <c r="S737" s="757"/>
      <c r="T737" s="758"/>
      <c r="U737" s="759"/>
      <c r="V737" s="757"/>
      <c r="W737" s="757">
        <f t="shared" si="168"/>
        <v>0</v>
      </c>
      <c r="X737" s="757">
        <f t="shared" si="168"/>
        <v>0</v>
      </c>
      <c r="Y737" s="757">
        <f t="shared" si="168"/>
        <v>0</v>
      </c>
      <c r="Z737" s="757">
        <f t="shared" si="168"/>
        <v>0</v>
      </c>
      <c r="AA737" s="757">
        <f t="shared" si="168"/>
        <v>0</v>
      </c>
      <c r="AB737" s="757">
        <f t="shared" si="168"/>
        <v>0</v>
      </c>
      <c r="AC737" s="757">
        <f t="shared" si="168"/>
        <v>0</v>
      </c>
      <c r="AD737" s="757">
        <f t="shared" si="168"/>
        <v>0</v>
      </c>
      <c r="AE737" s="757">
        <f t="shared" si="168"/>
        <v>0</v>
      </c>
      <c r="AF737" s="772" t="e">
        <f>((#REF!+#REF!/12)-(1.5/12)*2)*4+0.25*2</f>
        <v>#REF!</v>
      </c>
      <c r="AI737" s="777"/>
      <c r="AL737" s="777"/>
      <c r="AM737" s="777"/>
    </row>
    <row r="738" spans="1:43" s="776" customFormat="1" ht="22.25" customHeight="1">
      <c r="A738" s="769"/>
      <c r="B738" s="770" t="s">
        <v>484</v>
      </c>
      <c r="C738" s="665"/>
      <c r="D738" s="665">
        <f>T738</f>
        <v>13</v>
      </c>
      <c r="E738" s="665">
        <f>E735</f>
        <v>1</v>
      </c>
      <c r="F738" s="751">
        <f>U738</f>
        <v>0.97072843645230111</v>
      </c>
      <c r="G738" s="779"/>
      <c r="H738" s="780"/>
      <c r="I738" s="774"/>
      <c r="J738" s="492">
        <f>IF(I738=0,1,I738)*IF(H738=0,1,H738)*IF(G738=0,1,G738)*IF(F738=0,1,F738)*IF(E738=0,1,E738)*IF(D738=0,1,D738)*IF(C738=0,1,C738)</f>
        <v>12.619469673879914</v>
      </c>
      <c r="K738" s="480"/>
      <c r="L738" s="774"/>
      <c r="N738" s="781"/>
      <c r="O738" s="782">
        <f>O735</f>
        <v>1</v>
      </c>
      <c r="P738" s="781"/>
      <c r="Q738" s="756" t="s">
        <v>463</v>
      </c>
      <c r="R738" s="756">
        <v>10</v>
      </c>
      <c r="S738" s="757">
        <f>4/(12*3.281)</f>
        <v>0.1015950421619425</v>
      </c>
      <c r="T738" s="758">
        <f>2*(ROUND(2*M736/S738,0))+1</f>
        <v>13</v>
      </c>
      <c r="U738" s="759">
        <f>2*(M735+M736)-8*P735+2*8*R738/1000</f>
        <v>0.97072843645230111</v>
      </c>
      <c r="V738" s="757">
        <f>T738*U738*O738</f>
        <v>12.619469673879914</v>
      </c>
      <c r="W738" s="757">
        <f t="shared" si="168"/>
        <v>0</v>
      </c>
      <c r="X738" s="757">
        <f t="shared" si="168"/>
        <v>0</v>
      </c>
      <c r="Y738" s="757">
        <f t="shared" si="168"/>
        <v>12.619469673879914</v>
      </c>
      <c r="Z738" s="757">
        <f t="shared" si="168"/>
        <v>0</v>
      </c>
      <c r="AA738" s="757">
        <f t="shared" si="168"/>
        <v>0</v>
      </c>
      <c r="AB738" s="757">
        <f t="shared" si="168"/>
        <v>0</v>
      </c>
      <c r="AC738" s="757">
        <f t="shared" si="168"/>
        <v>0</v>
      </c>
      <c r="AD738" s="757">
        <f t="shared" si="168"/>
        <v>0</v>
      </c>
      <c r="AE738" s="757">
        <f t="shared" si="168"/>
        <v>0</v>
      </c>
      <c r="AF738" s="777"/>
      <c r="AI738" s="777"/>
      <c r="AL738" s="777"/>
      <c r="AM738" s="777"/>
    </row>
    <row r="739" spans="1:43" s="776" customFormat="1" ht="22.25" customHeight="1">
      <c r="A739" s="769"/>
      <c r="B739" s="770" t="s">
        <v>484</v>
      </c>
      <c r="C739" s="665"/>
      <c r="D739" s="665">
        <f>T739</f>
        <v>13</v>
      </c>
      <c r="E739" s="665">
        <f>E738</f>
        <v>1</v>
      </c>
      <c r="F739" s="751">
        <f>U739</f>
        <v>0.97072843645230111</v>
      </c>
      <c r="G739" s="779"/>
      <c r="H739" s="780"/>
      <c r="I739" s="774"/>
      <c r="J739" s="492">
        <f>IF(I739=0,1,I739)*IF(H739=0,1,H739)*IF(G739=0,1,G739)*IF(F739=0,1,F739)*IF(E739=0,1,E739)*IF(D739=0,1,D739)*IF(C739=0,1,C739)</f>
        <v>12.619469673879914</v>
      </c>
      <c r="K739" s="480"/>
      <c r="L739" s="774"/>
      <c r="M739" s="760"/>
      <c r="N739" s="781"/>
      <c r="O739" s="782">
        <f>O738</f>
        <v>1</v>
      </c>
      <c r="P739" s="781"/>
      <c r="Q739" s="756" t="s">
        <v>463</v>
      </c>
      <c r="R739" s="756">
        <v>10</v>
      </c>
      <c r="S739" s="757">
        <f>6/(12*3.281)</f>
        <v>0.15239256324291375</v>
      </c>
      <c r="T739" s="758">
        <f>(ROUND((N735-4*M736)/S739,0))+1</f>
        <v>13</v>
      </c>
      <c r="U739" s="759">
        <f>2*(M735+M736)-8*P735+2*8*R739/1000</f>
        <v>0.97072843645230111</v>
      </c>
      <c r="V739" s="757">
        <f>T739*U739*O739</f>
        <v>12.619469673879914</v>
      </c>
      <c r="W739" s="757">
        <f t="shared" si="168"/>
        <v>0</v>
      </c>
      <c r="X739" s="757">
        <f t="shared" si="168"/>
        <v>0</v>
      </c>
      <c r="Y739" s="757">
        <f t="shared" si="168"/>
        <v>12.619469673879914</v>
      </c>
      <c r="Z739" s="757">
        <f t="shared" si="168"/>
        <v>0</v>
      </c>
      <c r="AA739" s="757">
        <f t="shared" si="168"/>
        <v>0</v>
      </c>
      <c r="AB739" s="757">
        <f t="shared" si="168"/>
        <v>0</v>
      </c>
      <c r="AC739" s="757">
        <f t="shared" si="168"/>
        <v>0</v>
      </c>
      <c r="AD739" s="757">
        <f t="shared" si="168"/>
        <v>0</v>
      </c>
      <c r="AE739" s="757">
        <f t="shared" si="168"/>
        <v>0</v>
      </c>
      <c r="AF739" s="777"/>
      <c r="AI739" s="777"/>
      <c r="AL739" s="777"/>
      <c r="AM739" s="777"/>
    </row>
    <row r="740" spans="1:43" s="390" customFormat="1" ht="22.25" customHeight="1">
      <c r="A740" s="454"/>
      <c r="B740" s="657" t="s">
        <v>767</v>
      </c>
      <c r="C740" s="662"/>
      <c r="D740" s="662"/>
      <c r="E740" s="662">
        <v>1</v>
      </c>
      <c r="F740" s="498">
        <f>30</f>
        <v>30</v>
      </c>
      <c r="G740" s="642">
        <f>G733</f>
        <v>0.83</v>
      </c>
      <c r="H740" s="642">
        <f>H733</f>
        <v>1</v>
      </c>
      <c r="I740" s="499"/>
      <c r="J740" s="507"/>
      <c r="K740" s="455"/>
      <c r="L740" s="312"/>
      <c r="M740" s="722"/>
      <c r="N740" s="722"/>
      <c r="O740" s="722"/>
      <c r="P740" s="722"/>
      <c r="Q740" s="611"/>
      <c r="R740" s="611"/>
      <c r="S740" s="624"/>
      <c r="T740" s="625"/>
      <c r="U740" s="626"/>
      <c r="V740" s="624"/>
      <c r="W740" s="624"/>
      <c r="X740" s="624"/>
      <c r="Y740" s="624"/>
      <c r="Z740" s="624"/>
      <c r="AA740" s="624"/>
      <c r="AB740" s="624"/>
      <c r="AC740" s="624"/>
      <c r="AD740" s="624"/>
      <c r="AE740" s="624"/>
      <c r="AF740" s="471"/>
      <c r="AG740" s="473"/>
      <c r="AH740" s="471"/>
      <c r="AI740" s="471"/>
      <c r="AJ740" s="471"/>
      <c r="AM740" s="404"/>
      <c r="AP740" s="404"/>
      <c r="AQ740" s="404"/>
    </row>
    <row r="741" spans="1:43" s="776" customFormat="1" ht="22.25" customHeight="1">
      <c r="A741" s="769"/>
      <c r="B741" s="770" t="s">
        <v>543</v>
      </c>
      <c r="C741" s="665"/>
      <c r="D741" s="665"/>
      <c r="E741" s="665"/>
      <c r="F741" s="751"/>
      <c r="G741" s="773"/>
      <c r="H741" s="778"/>
      <c r="I741" s="774"/>
      <c r="J741" s="778"/>
      <c r="K741" s="480"/>
      <c r="L741" s="774"/>
      <c r="M741" s="760"/>
      <c r="N741" s="781"/>
      <c r="O741" s="782"/>
      <c r="P741" s="781"/>
      <c r="Q741" s="756"/>
      <c r="R741" s="756"/>
      <c r="S741" s="757"/>
      <c r="T741" s="758"/>
      <c r="U741" s="759"/>
      <c r="V741" s="757"/>
      <c r="W741" s="757">
        <f t="shared" si="168"/>
        <v>0</v>
      </c>
      <c r="X741" s="757">
        <f t="shared" si="168"/>
        <v>0</v>
      </c>
      <c r="Y741" s="757">
        <f t="shared" si="168"/>
        <v>0</v>
      </c>
      <c r="Z741" s="757">
        <f t="shared" si="168"/>
        <v>0</v>
      </c>
      <c r="AA741" s="757">
        <f t="shared" si="168"/>
        <v>0</v>
      </c>
      <c r="AB741" s="757">
        <f t="shared" si="168"/>
        <v>0</v>
      </c>
      <c r="AC741" s="757">
        <f t="shared" si="168"/>
        <v>0</v>
      </c>
      <c r="AD741" s="757">
        <f t="shared" si="168"/>
        <v>0</v>
      </c>
      <c r="AE741" s="757">
        <f t="shared" si="168"/>
        <v>0</v>
      </c>
      <c r="AF741" s="772" t="e">
        <f>((#REF!+#REF!/12)-(1.5/12)*2)*4+0.25*2</f>
        <v>#REF!</v>
      </c>
      <c r="AI741" s="777"/>
      <c r="AL741" s="777"/>
      <c r="AM741" s="777"/>
    </row>
    <row r="742" spans="1:43" s="776" customFormat="1" ht="22.25" customHeight="1">
      <c r="A742" s="769"/>
      <c r="B742" s="770" t="s">
        <v>483</v>
      </c>
      <c r="C742" s="665"/>
      <c r="D742" s="665">
        <v>3</v>
      </c>
      <c r="E742" s="665">
        <f>E740</f>
        <v>1</v>
      </c>
      <c r="F742" s="751">
        <f>U742</f>
        <v>9.6769277659250221</v>
      </c>
      <c r="G742" s="773"/>
      <c r="H742" s="778"/>
      <c r="I742" s="774"/>
      <c r="J742" s="492">
        <f>IF(I742=0,1,I742)*IF(H742=0,1,H742)*IF(G742=0,1,G742)*IF(F742=0,1,F742)*IF(E742=0,1,E742)*IF(D742=0,1,D742)*IF(C742=0,1,C742)</f>
        <v>29.030783297775066</v>
      </c>
      <c r="K742" s="480"/>
      <c r="L742" s="774"/>
      <c r="M742" s="760">
        <f>G740/3.281</f>
        <v>0.25297165498323682</v>
      </c>
      <c r="N742" s="781">
        <f>F740/3.281</f>
        <v>9.1435537945748244</v>
      </c>
      <c r="O742" s="768">
        <f>E742</f>
        <v>1</v>
      </c>
      <c r="P742" s="781">
        <f>(1.5/12)/3.281</f>
        <v>3.8098140810728431E-2</v>
      </c>
      <c r="Q742" s="756" t="s">
        <v>541</v>
      </c>
      <c r="R742" s="756">
        <v>16</v>
      </c>
      <c r="S742" s="757"/>
      <c r="T742" s="758">
        <f>D742</f>
        <v>3</v>
      </c>
      <c r="U742" s="759">
        <f>N742-2*P742+2*M743</f>
        <v>9.6769277659250221</v>
      </c>
      <c r="V742" s="757">
        <f>T742*U742*O742</f>
        <v>29.030783297775066</v>
      </c>
      <c r="W742" s="757">
        <f t="shared" si="168"/>
        <v>0</v>
      </c>
      <c r="X742" s="757">
        <f t="shared" si="168"/>
        <v>0</v>
      </c>
      <c r="Y742" s="757">
        <f t="shared" si="168"/>
        <v>0</v>
      </c>
      <c r="Z742" s="757">
        <f t="shared" si="168"/>
        <v>0</v>
      </c>
      <c r="AA742" s="757">
        <f t="shared" si="168"/>
        <v>29.030783297775066</v>
      </c>
      <c r="AB742" s="757">
        <f t="shared" si="168"/>
        <v>0</v>
      </c>
      <c r="AC742" s="757">
        <f t="shared" si="168"/>
        <v>0</v>
      </c>
      <c r="AD742" s="757">
        <f t="shared" si="168"/>
        <v>0</v>
      </c>
      <c r="AE742" s="757">
        <f t="shared" si="168"/>
        <v>0</v>
      </c>
      <c r="AF742" s="772" t="e">
        <f>(#REF!+#REF!/12)-0.25+0.5+0.25*2</f>
        <v>#REF!</v>
      </c>
      <c r="AI742" s="777"/>
      <c r="AL742" s="777"/>
      <c r="AM742" s="777"/>
    </row>
    <row r="743" spans="1:43" s="776" customFormat="1" ht="22.25" customHeight="1">
      <c r="A743" s="769"/>
      <c r="B743" s="770" t="s">
        <v>483</v>
      </c>
      <c r="C743" s="665"/>
      <c r="D743" s="665">
        <v>3</v>
      </c>
      <c r="E743" s="665">
        <f>E742</f>
        <v>1</v>
      </c>
      <c r="F743" s="751">
        <f>U743</f>
        <v>9.3401426394391951</v>
      </c>
      <c r="G743" s="773"/>
      <c r="H743" s="778"/>
      <c r="I743" s="774"/>
      <c r="J743" s="492">
        <f>IF(I743=0,1,I743)*IF(H743=0,1,H743)*IF(G743=0,1,G743)*IF(F743=0,1,F743)*IF(E743=0,1,E743)*IF(D743=0,1,D743)*IF(C743=0,1,C743)</f>
        <v>28.020427918317587</v>
      </c>
      <c r="K743" s="480"/>
      <c r="L743" s="774"/>
      <c r="M743" s="760">
        <f>H740/3.281</f>
        <v>0.30478512648582745</v>
      </c>
      <c r="N743" s="781"/>
      <c r="O743" s="768">
        <f>E743</f>
        <v>1</v>
      </c>
      <c r="P743" s="781">
        <f>(1.5/12)/3.281</f>
        <v>3.8098140810728431E-2</v>
      </c>
      <c r="Q743" s="756" t="s">
        <v>457</v>
      </c>
      <c r="R743" s="756">
        <v>16</v>
      </c>
      <c r="S743" s="757"/>
      <c r="T743" s="758">
        <f>D743</f>
        <v>3</v>
      </c>
      <c r="U743" s="759">
        <f>N742-2*P743-2*R743/1000+2*((M743/2))</f>
        <v>9.3401426394391951</v>
      </c>
      <c r="V743" s="757">
        <f>T743*U743*O743</f>
        <v>28.020427918317587</v>
      </c>
      <c r="W743" s="757">
        <f t="shared" ref="W743:AE746" si="169">IF($R743=W$5,$V743,0)</f>
        <v>0</v>
      </c>
      <c r="X743" s="757">
        <f t="shared" si="169"/>
        <v>0</v>
      </c>
      <c r="Y743" s="757">
        <f t="shared" si="169"/>
        <v>0</v>
      </c>
      <c r="Z743" s="757">
        <f t="shared" si="169"/>
        <v>0</v>
      </c>
      <c r="AA743" s="757">
        <f t="shared" si="169"/>
        <v>28.020427918317587</v>
      </c>
      <c r="AB743" s="757">
        <f t="shared" si="169"/>
        <v>0</v>
      </c>
      <c r="AC743" s="757">
        <f t="shared" si="169"/>
        <v>0</v>
      </c>
      <c r="AD743" s="757">
        <f t="shared" si="169"/>
        <v>0</v>
      </c>
      <c r="AE743" s="757">
        <f t="shared" si="169"/>
        <v>0</v>
      </c>
      <c r="AF743" s="772" t="e">
        <f>(#REF!+#REF!/12)-0.25+0.5+0.25*2</f>
        <v>#REF!</v>
      </c>
      <c r="AI743" s="777"/>
      <c r="AL743" s="777"/>
      <c r="AM743" s="777"/>
    </row>
    <row r="744" spans="1:43" s="776" customFormat="1" ht="22.25" customHeight="1">
      <c r="A744" s="769"/>
      <c r="B744" s="770" t="s">
        <v>542</v>
      </c>
      <c r="C744" s="665"/>
      <c r="D744" s="665"/>
      <c r="E744" s="665"/>
      <c r="F744" s="751"/>
      <c r="G744" s="773"/>
      <c r="H744" s="778"/>
      <c r="I744" s="774"/>
      <c r="J744" s="778"/>
      <c r="K744" s="480"/>
      <c r="L744" s="774"/>
      <c r="M744" s="760"/>
      <c r="N744" s="781"/>
      <c r="O744" s="782"/>
      <c r="P744" s="781"/>
      <c r="Q744" s="756"/>
      <c r="R744" s="756"/>
      <c r="S744" s="757"/>
      <c r="T744" s="758"/>
      <c r="U744" s="759"/>
      <c r="V744" s="757"/>
      <c r="W744" s="757">
        <f t="shared" si="169"/>
        <v>0</v>
      </c>
      <c r="X744" s="757">
        <f t="shared" si="169"/>
        <v>0</v>
      </c>
      <c r="Y744" s="757">
        <f t="shared" si="169"/>
        <v>0</v>
      </c>
      <c r="Z744" s="757">
        <f t="shared" si="169"/>
        <v>0</v>
      </c>
      <c r="AA744" s="757">
        <f t="shared" si="169"/>
        <v>0</v>
      </c>
      <c r="AB744" s="757">
        <f t="shared" si="169"/>
        <v>0</v>
      </c>
      <c r="AC744" s="757">
        <f t="shared" si="169"/>
        <v>0</v>
      </c>
      <c r="AD744" s="757">
        <f t="shared" si="169"/>
        <v>0</v>
      </c>
      <c r="AE744" s="757">
        <f t="shared" si="169"/>
        <v>0</v>
      </c>
      <c r="AF744" s="772" t="e">
        <f>((#REF!+#REF!/12)-(1.5/12)*2)*4+0.25*2</f>
        <v>#REF!</v>
      </c>
      <c r="AI744" s="777"/>
      <c r="AL744" s="777"/>
      <c r="AM744" s="777"/>
    </row>
    <row r="745" spans="1:43" s="776" customFormat="1" ht="22.25" customHeight="1">
      <c r="A745" s="769"/>
      <c r="B745" s="770" t="s">
        <v>484</v>
      </c>
      <c r="C745" s="665"/>
      <c r="D745" s="665">
        <f>T745</f>
        <v>13</v>
      </c>
      <c r="E745" s="665">
        <f>E742</f>
        <v>1</v>
      </c>
      <c r="F745" s="751">
        <f>U745</f>
        <v>0.97072843645230111</v>
      </c>
      <c r="G745" s="779"/>
      <c r="H745" s="780"/>
      <c r="I745" s="774"/>
      <c r="J745" s="492">
        <f>IF(I745=0,1,I745)*IF(H745=0,1,H745)*IF(G745=0,1,G745)*IF(F745=0,1,F745)*IF(E745=0,1,E745)*IF(D745=0,1,D745)*IF(C745=0,1,C745)</f>
        <v>12.619469673879914</v>
      </c>
      <c r="K745" s="480"/>
      <c r="L745" s="774"/>
      <c r="N745" s="781"/>
      <c r="O745" s="782">
        <f>O742</f>
        <v>1</v>
      </c>
      <c r="P745" s="781"/>
      <c r="Q745" s="756" t="s">
        <v>463</v>
      </c>
      <c r="R745" s="756">
        <v>10</v>
      </c>
      <c r="S745" s="757">
        <f>4/(12*3.281)</f>
        <v>0.1015950421619425</v>
      </c>
      <c r="T745" s="758">
        <f>2*(ROUND(2*M743/S745,0))+1</f>
        <v>13</v>
      </c>
      <c r="U745" s="759">
        <f>2*(M742+M743)-8*P742+2*8*R745/1000</f>
        <v>0.97072843645230111</v>
      </c>
      <c r="V745" s="757">
        <f>T745*U745*O745</f>
        <v>12.619469673879914</v>
      </c>
      <c r="W745" s="757">
        <f t="shared" si="169"/>
        <v>0</v>
      </c>
      <c r="X745" s="757">
        <f t="shared" si="169"/>
        <v>0</v>
      </c>
      <c r="Y745" s="757">
        <f t="shared" si="169"/>
        <v>12.619469673879914</v>
      </c>
      <c r="Z745" s="757">
        <f t="shared" si="169"/>
        <v>0</v>
      </c>
      <c r="AA745" s="757">
        <f t="shared" si="169"/>
        <v>0</v>
      </c>
      <c r="AB745" s="757">
        <f t="shared" si="169"/>
        <v>0</v>
      </c>
      <c r="AC745" s="757">
        <f t="shared" si="169"/>
        <v>0</v>
      </c>
      <c r="AD745" s="757">
        <f t="shared" si="169"/>
        <v>0</v>
      </c>
      <c r="AE745" s="757">
        <f t="shared" si="169"/>
        <v>0</v>
      </c>
      <c r="AF745" s="777"/>
      <c r="AI745" s="777"/>
      <c r="AL745" s="777"/>
      <c r="AM745" s="777"/>
    </row>
    <row r="746" spans="1:43" s="776" customFormat="1" ht="22.25" customHeight="1">
      <c r="A746" s="769"/>
      <c r="B746" s="770" t="s">
        <v>484</v>
      </c>
      <c r="C746" s="665"/>
      <c r="D746" s="665">
        <f>T746</f>
        <v>53</v>
      </c>
      <c r="E746" s="665">
        <f>E745</f>
        <v>1</v>
      </c>
      <c r="F746" s="751">
        <f>U746</f>
        <v>0.97072843645230111</v>
      </c>
      <c r="G746" s="779"/>
      <c r="H746" s="780"/>
      <c r="I746" s="774"/>
      <c r="J746" s="492">
        <f>IF(I746=0,1,I746)*IF(H746=0,1,H746)*IF(G746=0,1,G746)*IF(F746=0,1,F746)*IF(E746=0,1,E746)*IF(D746=0,1,D746)*IF(C746=0,1,C746)</f>
        <v>51.448607131971961</v>
      </c>
      <c r="K746" s="480"/>
      <c r="L746" s="774"/>
      <c r="M746" s="760"/>
      <c r="N746" s="781"/>
      <c r="O746" s="782">
        <f>O745</f>
        <v>1</v>
      </c>
      <c r="P746" s="781"/>
      <c r="Q746" s="756" t="s">
        <v>463</v>
      </c>
      <c r="R746" s="756">
        <v>10</v>
      </c>
      <c r="S746" s="757">
        <f>6/(12*3.281)</f>
        <v>0.15239256324291375</v>
      </c>
      <c r="T746" s="758">
        <f>(ROUND((N742-4*M743)/S746,0))+1</f>
        <v>53</v>
      </c>
      <c r="U746" s="759">
        <f>2*(M742+M743)-8*P742+2*8*R746/1000</f>
        <v>0.97072843645230111</v>
      </c>
      <c r="V746" s="757">
        <f>T746*U746*O746</f>
        <v>51.448607131971961</v>
      </c>
      <c r="W746" s="757">
        <f t="shared" si="169"/>
        <v>0</v>
      </c>
      <c r="X746" s="757">
        <f t="shared" si="169"/>
        <v>0</v>
      </c>
      <c r="Y746" s="757">
        <f t="shared" si="169"/>
        <v>51.448607131971961</v>
      </c>
      <c r="Z746" s="757">
        <f t="shared" si="169"/>
        <v>0</v>
      </c>
      <c r="AA746" s="757">
        <f t="shared" si="169"/>
        <v>0</v>
      </c>
      <c r="AB746" s="757">
        <f t="shared" si="169"/>
        <v>0</v>
      </c>
      <c r="AC746" s="757">
        <f t="shared" si="169"/>
        <v>0</v>
      </c>
      <c r="AD746" s="757">
        <f t="shared" si="169"/>
        <v>0</v>
      </c>
      <c r="AE746" s="757">
        <f t="shared" si="169"/>
        <v>0</v>
      </c>
      <c r="AF746" s="777"/>
      <c r="AI746" s="777"/>
      <c r="AL746" s="777"/>
      <c r="AM746" s="777"/>
    </row>
    <row r="747" spans="1:43" s="390" customFormat="1" ht="22.25" customHeight="1">
      <c r="A747" s="454"/>
      <c r="B747" s="657" t="s">
        <v>610</v>
      </c>
      <c r="C747" s="662"/>
      <c r="D747" s="662"/>
      <c r="E747" s="662">
        <v>1</v>
      </c>
      <c r="F747" s="498">
        <f>5+2*0.83</f>
        <v>6.66</v>
      </c>
      <c r="G747" s="642">
        <f>G740</f>
        <v>0.83</v>
      </c>
      <c r="H747" s="642">
        <f>H733</f>
        <v>1</v>
      </c>
      <c r="I747" s="499"/>
      <c r="J747" s="507"/>
      <c r="K747" s="455"/>
      <c r="L747" s="312"/>
      <c r="M747" s="722"/>
      <c r="N747" s="722"/>
      <c r="O747" s="722"/>
      <c r="P747" s="722"/>
      <c r="Q747" s="611"/>
      <c r="R747" s="611"/>
      <c r="S747" s="624"/>
      <c r="T747" s="625"/>
      <c r="U747" s="626"/>
      <c r="V747" s="624"/>
      <c r="W747" s="624"/>
      <c r="X747" s="624"/>
      <c r="Y747" s="624"/>
      <c r="Z747" s="624"/>
      <c r="AA747" s="624"/>
      <c r="AB747" s="624"/>
      <c r="AC747" s="624"/>
      <c r="AD747" s="624"/>
      <c r="AE747" s="624"/>
      <c r="AF747" s="471"/>
      <c r="AG747" s="473"/>
      <c r="AH747" s="471"/>
      <c r="AI747" s="471"/>
      <c r="AJ747" s="471"/>
      <c r="AM747" s="404"/>
      <c r="AP747" s="404"/>
      <c r="AQ747" s="404"/>
    </row>
    <row r="748" spans="1:43" s="776" customFormat="1" ht="22.25" customHeight="1">
      <c r="A748" s="769"/>
      <c r="B748" s="770" t="s">
        <v>543</v>
      </c>
      <c r="C748" s="665"/>
      <c r="D748" s="665"/>
      <c r="E748" s="665"/>
      <c r="F748" s="751"/>
      <c r="G748" s="773"/>
      <c r="H748" s="778"/>
      <c r="I748" s="774"/>
      <c r="J748" s="778"/>
      <c r="K748" s="480"/>
      <c r="L748" s="774"/>
      <c r="M748" s="760"/>
      <c r="N748" s="781"/>
      <c r="O748" s="782"/>
      <c r="P748" s="781"/>
      <c r="Q748" s="756"/>
      <c r="R748" s="756"/>
      <c r="S748" s="757"/>
      <c r="T748" s="758"/>
      <c r="U748" s="759"/>
      <c r="V748" s="757"/>
      <c r="W748" s="757">
        <f t="shared" ref="W748:AE753" si="170">IF($R748=W$5,$V748,0)</f>
        <v>0</v>
      </c>
      <c r="X748" s="757">
        <f t="shared" si="170"/>
        <v>0</v>
      </c>
      <c r="Y748" s="757">
        <f t="shared" si="170"/>
        <v>0</v>
      </c>
      <c r="Z748" s="757">
        <f t="shared" si="170"/>
        <v>0</v>
      </c>
      <c r="AA748" s="757">
        <f t="shared" si="170"/>
        <v>0</v>
      </c>
      <c r="AB748" s="757">
        <f t="shared" si="170"/>
        <v>0</v>
      </c>
      <c r="AC748" s="757">
        <f t="shared" si="170"/>
        <v>0</v>
      </c>
      <c r="AD748" s="757">
        <f t="shared" si="170"/>
        <v>0</v>
      </c>
      <c r="AE748" s="757">
        <f t="shared" si="170"/>
        <v>0</v>
      </c>
      <c r="AF748" s="772" t="e">
        <f>((#REF!+#REF!/12)-(1.5/12)*2)*4+0.25*2</f>
        <v>#REF!</v>
      </c>
      <c r="AI748" s="777"/>
      <c r="AL748" s="777"/>
      <c r="AM748" s="777"/>
    </row>
    <row r="749" spans="1:43" s="776" customFormat="1" ht="22.25" customHeight="1">
      <c r="A749" s="769"/>
      <c r="B749" s="770" t="s">
        <v>483</v>
      </c>
      <c r="C749" s="665"/>
      <c r="D749" s="665">
        <v>3</v>
      </c>
      <c r="E749" s="665">
        <f>E747</f>
        <v>1</v>
      </c>
      <c r="F749" s="751">
        <f>U749</f>
        <v>2.563242913745809</v>
      </c>
      <c r="G749" s="773"/>
      <c r="H749" s="778"/>
      <c r="I749" s="774"/>
      <c r="J749" s="492">
        <f>IF(I749=0,1,I749)*IF(H749=0,1,H749)*IF(G749=0,1,G749)*IF(F749=0,1,F749)*IF(E749=0,1,E749)*IF(D749=0,1,D749)*IF(C749=0,1,C749)</f>
        <v>7.6897287412374276</v>
      </c>
      <c r="K749" s="480"/>
      <c r="L749" s="774"/>
      <c r="M749" s="760">
        <f>G747/3.281</f>
        <v>0.25297165498323682</v>
      </c>
      <c r="N749" s="781">
        <f>F747/3.281</f>
        <v>2.0298689423956109</v>
      </c>
      <c r="O749" s="768">
        <f>E749</f>
        <v>1</v>
      </c>
      <c r="P749" s="781">
        <f>(1.5/12)/3.281</f>
        <v>3.8098140810728431E-2</v>
      </c>
      <c r="Q749" s="756" t="s">
        <v>541</v>
      </c>
      <c r="R749" s="756">
        <v>16</v>
      </c>
      <c r="S749" s="757"/>
      <c r="T749" s="758">
        <f>D749</f>
        <v>3</v>
      </c>
      <c r="U749" s="759">
        <f>N749-2*P749+2*M750</f>
        <v>2.563242913745809</v>
      </c>
      <c r="V749" s="757">
        <f>T749*U749*O749</f>
        <v>7.6897287412374276</v>
      </c>
      <c r="W749" s="757">
        <f t="shared" si="170"/>
        <v>0</v>
      </c>
      <c r="X749" s="757">
        <f t="shared" si="170"/>
        <v>0</v>
      </c>
      <c r="Y749" s="757">
        <f t="shared" si="170"/>
        <v>0</v>
      </c>
      <c r="Z749" s="757">
        <f t="shared" si="170"/>
        <v>0</v>
      </c>
      <c r="AA749" s="757">
        <f t="shared" si="170"/>
        <v>7.6897287412374276</v>
      </c>
      <c r="AB749" s="757">
        <f t="shared" si="170"/>
        <v>0</v>
      </c>
      <c r="AC749" s="757">
        <f t="shared" si="170"/>
        <v>0</v>
      </c>
      <c r="AD749" s="757">
        <f t="shared" si="170"/>
        <v>0</v>
      </c>
      <c r="AE749" s="757">
        <f t="shared" si="170"/>
        <v>0</v>
      </c>
      <c r="AF749" s="772" t="e">
        <f>(#REF!+#REF!/12)-0.25+0.5+0.25*2</f>
        <v>#REF!</v>
      </c>
      <c r="AI749" s="777"/>
      <c r="AL749" s="777"/>
      <c r="AM749" s="777"/>
    </row>
    <row r="750" spans="1:43" s="776" customFormat="1" ht="22.25" customHeight="1">
      <c r="A750" s="769"/>
      <c r="B750" s="770" t="s">
        <v>483</v>
      </c>
      <c r="C750" s="665"/>
      <c r="D750" s="665">
        <v>3</v>
      </c>
      <c r="E750" s="665">
        <f>E749</f>
        <v>1</v>
      </c>
      <c r="F750" s="751">
        <f>U750</f>
        <v>2.2264577872599816</v>
      </c>
      <c r="G750" s="773"/>
      <c r="H750" s="778"/>
      <c r="I750" s="774"/>
      <c r="J750" s="492">
        <f>IF(I750=0,1,I750)*IF(H750=0,1,H750)*IF(G750=0,1,G750)*IF(F750=0,1,F750)*IF(E750=0,1,E750)*IF(D750=0,1,D750)*IF(C750=0,1,C750)</f>
        <v>6.6793733617799447</v>
      </c>
      <c r="K750" s="480"/>
      <c r="L750" s="774"/>
      <c r="M750" s="760">
        <f>H747/3.281</f>
        <v>0.30478512648582745</v>
      </c>
      <c r="N750" s="781"/>
      <c r="O750" s="768">
        <f>E750</f>
        <v>1</v>
      </c>
      <c r="P750" s="781">
        <f>(1.5/12)/3.281</f>
        <v>3.8098140810728431E-2</v>
      </c>
      <c r="Q750" s="756" t="s">
        <v>457</v>
      </c>
      <c r="R750" s="756">
        <v>16</v>
      </c>
      <c r="S750" s="757"/>
      <c r="T750" s="758">
        <f>D750</f>
        <v>3</v>
      </c>
      <c r="U750" s="759">
        <f>N749-2*P750-2*R750/1000+2*((M750/2))</f>
        <v>2.2264577872599816</v>
      </c>
      <c r="V750" s="757">
        <f>T750*U750*O750</f>
        <v>6.6793733617799447</v>
      </c>
      <c r="W750" s="757">
        <f t="shared" si="170"/>
        <v>0</v>
      </c>
      <c r="X750" s="757">
        <f t="shared" si="170"/>
        <v>0</v>
      </c>
      <c r="Y750" s="757">
        <f t="shared" si="170"/>
        <v>0</v>
      </c>
      <c r="Z750" s="757">
        <f t="shared" si="170"/>
        <v>0</v>
      </c>
      <c r="AA750" s="757">
        <f t="shared" si="170"/>
        <v>6.6793733617799447</v>
      </c>
      <c r="AB750" s="757">
        <f t="shared" si="170"/>
        <v>0</v>
      </c>
      <c r="AC750" s="757">
        <f t="shared" si="170"/>
        <v>0</v>
      </c>
      <c r="AD750" s="757">
        <f t="shared" si="170"/>
        <v>0</v>
      </c>
      <c r="AE750" s="757">
        <f t="shared" si="170"/>
        <v>0</v>
      </c>
      <c r="AF750" s="772" t="e">
        <f>(#REF!+#REF!/12)-0.25+0.5+0.25*2</f>
        <v>#REF!</v>
      </c>
      <c r="AI750" s="777"/>
      <c r="AL750" s="777"/>
      <c r="AM750" s="777"/>
    </row>
    <row r="751" spans="1:43" s="776" customFormat="1" ht="22.25" customHeight="1">
      <c r="A751" s="769"/>
      <c r="B751" s="770" t="s">
        <v>542</v>
      </c>
      <c r="C751" s="665"/>
      <c r="D751" s="665"/>
      <c r="E751" s="665"/>
      <c r="F751" s="751"/>
      <c r="G751" s="773"/>
      <c r="H751" s="778"/>
      <c r="I751" s="774"/>
      <c r="J751" s="778"/>
      <c r="K751" s="480"/>
      <c r="L751" s="774"/>
      <c r="M751" s="760"/>
      <c r="N751" s="781"/>
      <c r="O751" s="782"/>
      <c r="P751" s="781"/>
      <c r="Q751" s="756"/>
      <c r="R751" s="756"/>
      <c r="S751" s="757"/>
      <c r="T751" s="758"/>
      <c r="U751" s="759"/>
      <c r="V751" s="757"/>
      <c r="W751" s="757">
        <f t="shared" si="170"/>
        <v>0</v>
      </c>
      <c r="X751" s="757">
        <f t="shared" si="170"/>
        <v>0</v>
      </c>
      <c r="Y751" s="757">
        <f t="shared" si="170"/>
        <v>0</v>
      </c>
      <c r="Z751" s="757">
        <f t="shared" si="170"/>
        <v>0</v>
      </c>
      <c r="AA751" s="757">
        <f t="shared" si="170"/>
        <v>0</v>
      </c>
      <c r="AB751" s="757">
        <f t="shared" si="170"/>
        <v>0</v>
      </c>
      <c r="AC751" s="757">
        <f t="shared" si="170"/>
        <v>0</v>
      </c>
      <c r="AD751" s="757">
        <f t="shared" si="170"/>
        <v>0</v>
      </c>
      <c r="AE751" s="757">
        <f t="shared" si="170"/>
        <v>0</v>
      </c>
      <c r="AF751" s="772" t="e">
        <f>((#REF!+#REF!/12)-(1.5/12)*2)*4+0.25*2</f>
        <v>#REF!</v>
      </c>
      <c r="AI751" s="777"/>
      <c r="AL751" s="777"/>
      <c r="AM751" s="777"/>
    </row>
    <row r="752" spans="1:43" s="776" customFormat="1" ht="22.25" customHeight="1">
      <c r="A752" s="769"/>
      <c r="B752" s="770" t="s">
        <v>484</v>
      </c>
      <c r="C752" s="665"/>
      <c r="D752" s="665">
        <f>T752</f>
        <v>13</v>
      </c>
      <c r="E752" s="665">
        <f>E749</f>
        <v>1</v>
      </c>
      <c r="F752" s="751">
        <f>U752</f>
        <v>0.97072843645230111</v>
      </c>
      <c r="G752" s="779"/>
      <c r="H752" s="780"/>
      <c r="I752" s="774"/>
      <c r="J752" s="492">
        <f>IF(I752=0,1,I752)*IF(H752=0,1,H752)*IF(G752=0,1,G752)*IF(F752=0,1,F752)*IF(E752=0,1,E752)*IF(D752=0,1,D752)*IF(C752=0,1,C752)</f>
        <v>12.619469673879914</v>
      </c>
      <c r="K752" s="480"/>
      <c r="L752" s="774"/>
      <c r="N752" s="781"/>
      <c r="O752" s="782">
        <f>O749</f>
        <v>1</v>
      </c>
      <c r="P752" s="781"/>
      <c r="Q752" s="756" t="s">
        <v>463</v>
      </c>
      <c r="R752" s="756">
        <v>10</v>
      </c>
      <c r="S752" s="757">
        <f>4/(12*3.281)</f>
        <v>0.1015950421619425</v>
      </c>
      <c r="T752" s="758">
        <f>2*(ROUND(2*M750/S752,0))+1</f>
        <v>13</v>
      </c>
      <c r="U752" s="759">
        <f>2*(M749+M750)-8*P749+2*8*R752/1000</f>
        <v>0.97072843645230111</v>
      </c>
      <c r="V752" s="757">
        <f>T752*U752*O752</f>
        <v>12.619469673879914</v>
      </c>
      <c r="W752" s="757">
        <f t="shared" si="170"/>
        <v>0</v>
      </c>
      <c r="X752" s="757">
        <f t="shared" si="170"/>
        <v>0</v>
      </c>
      <c r="Y752" s="757">
        <f t="shared" si="170"/>
        <v>12.619469673879914</v>
      </c>
      <c r="Z752" s="757">
        <f t="shared" si="170"/>
        <v>0</v>
      </c>
      <c r="AA752" s="757">
        <f t="shared" si="170"/>
        <v>0</v>
      </c>
      <c r="AB752" s="757">
        <f t="shared" si="170"/>
        <v>0</v>
      </c>
      <c r="AC752" s="757">
        <f t="shared" si="170"/>
        <v>0</v>
      </c>
      <c r="AD752" s="757">
        <f t="shared" si="170"/>
        <v>0</v>
      </c>
      <c r="AE752" s="757">
        <f t="shared" si="170"/>
        <v>0</v>
      </c>
      <c r="AF752" s="777"/>
      <c r="AI752" s="777"/>
      <c r="AL752" s="777"/>
      <c r="AM752" s="777"/>
    </row>
    <row r="753" spans="1:48" s="776" customFormat="1" ht="22.25" customHeight="1">
      <c r="A753" s="769"/>
      <c r="B753" s="770" t="s">
        <v>484</v>
      </c>
      <c r="C753" s="665"/>
      <c r="D753" s="665">
        <f>T753</f>
        <v>6</v>
      </c>
      <c r="E753" s="665">
        <f>E752</f>
        <v>1</v>
      </c>
      <c r="F753" s="751">
        <f>U753</f>
        <v>0.97072843645230111</v>
      </c>
      <c r="G753" s="779"/>
      <c r="H753" s="780"/>
      <c r="I753" s="774"/>
      <c r="J753" s="492">
        <f>IF(I753=0,1,I753)*IF(H753=0,1,H753)*IF(G753=0,1,G753)*IF(F753=0,1,F753)*IF(E753=0,1,E753)*IF(D753=0,1,D753)*IF(C753=0,1,C753)</f>
        <v>5.8243706187138065</v>
      </c>
      <c r="K753" s="480"/>
      <c r="L753" s="774"/>
      <c r="M753" s="760"/>
      <c r="N753" s="781"/>
      <c r="O753" s="782">
        <f>O752</f>
        <v>1</v>
      </c>
      <c r="P753" s="781"/>
      <c r="Q753" s="756" t="s">
        <v>463</v>
      </c>
      <c r="R753" s="756">
        <v>10</v>
      </c>
      <c r="S753" s="757">
        <f>6/(12*3.281)</f>
        <v>0.15239256324291375</v>
      </c>
      <c r="T753" s="758">
        <f>(ROUND((N749-4*M750)/S753,0))+1</f>
        <v>6</v>
      </c>
      <c r="U753" s="759">
        <f>2*(M749+M750)-8*P749+2*8*R753/1000</f>
        <v>0.97072843645230111</v>
      </c>
      <c r="V753" s="757">
        <f>T753*U753*O753</f>
        <v>5.8243706187138065</v>
      </c>
      <c r="W753" s="757">
        <f t="shared" si="170"/>
        <v>0</v>
      </c>
      <c r="X753" s="757">
        <f t="shared" si="170"/>
        <v>0</v>
      </c>
      <c r="Y753" s="757">
        <f t="shared" si="170"/>
        <v>5.8243706187138065</v>
      </c>
      <c r="Z753" s="757">
        <f t="shared" si="170"/>
        <v>0</v>
      </c>
      <c r="AA753" s="757">
        <f t="shared" si="170"/>
        <v>0</v>
      </c>
      <c r="AB753" s="757">
        <f t="shared" si="170"/>
        <v>0</v>
      </c>
      <c r="AC753" s="757">
        <f t="shared" si="170"/>
        <v>0</v>
      </c>
      <c r="AD753" s="757">
        <f t="shared" si="170"/>
        <v>0</v>
      </c>
      <c r="AE753" s="757">
        <f t="shared" si="170"/>
        <v>0</v>
      </c>
      <c r="AF753" s="777"/>
      <c r="AI753" s="777"/>
      <c r="AL753" s="777"/>
      <c r="AM753" s="777"/>
    </row>
    <row r="754" spans="1:48" s="885" customFormat="1" ht="23.4" customHeight="1">
      <c r="A754" s="788"/>
      <c r="B754" s="958"/>
      <c r="C754" s="940"/>
      <c r="D754" s="940"/>
      <c r="E754" s="940"/>
      <c r="F754" s="959"/>
      <c r="G754" s="960"/>
      <c r="H754" s="962"/>
      <c r="I754" s="802"/>
      <c r="J754" s="958" t="s">
        <v>483</v>
      </c>
      <c r="K754" s="963">
        <f>SUMIF($B$651:$B$754,J754,$J$651:$J$754)</f>
        <v>1019.0218884486437</v>
      </c>
      <c r="L754" s="791" t="s">
        <v>46</v>
      </c>
      <c r="M754" s="964"/>
      <c r="N754" s="964"/>
      <c r="O754" s="965"/>
      <c r="P754" s="964"/>
      <c r="Q754" s="618"/>
      <c r="R754" s="618"/>
      <c r="S754" s="618"/>
      <c r="T754" s="618"/>
      <c r="U754" s="618"/>
      <c r="V754" s="624"/>
      <c r="W754" s="624">
        <f t="shared" ref="W754:AE760" si="171">IF($R754=W$5,$V754,0)</f>
        <v>0</v>
      </c>
      <c r="X754" s="624">
        <f t="shared" si="171"/>
        <v>0</v>
      </c>
      <c r="Y754" s="624">
        <f t="shared" si="171"/>
        <v>0</v>
      </c>
      <c r="Z754" s="624">
        <f t="shared" si="171"/>
        <v>0</v>
      </c>
      <c r="AA754" s="624">
        <f t="shared" si="171"/>
        <v>0</v>
      </c>
      <c r="AB754" s="624">
        <f t="shared" si="171"/>
        <v>0</v>
      </c>
      <c r="AC754" s="624">
        <f t="shared" si="171"/>
        <v>0</v>
      </c>
      <c r="AD754" s="624">
        <f t="shared" si="171"/>
        <v>0</v>
      </c>
      <c r="AE754" s="624">
        <f t="shared" si="171"/>
        <v>0</v>
      </c>
      <c r="AF754" s="944"/>
      <c r="AG754" s="966"/>
      <c r="AH754" s="966"/>
      <c r="AI754" s="966"/>
      <c r="AJ754" s="944"/>
      <c r="AK754" s="944"/>
      <c r="AN754" s="886"/>
      <c r="AQ754" s="886"/>
      <c r="AR754" s="886"/>
    </row>
    <row r="755" spans="1:48" s="390" customFormat="1" ht="23.4" customHeight="1">
      <c r="A755" s="788"/>
      <c r="B755" s="958"/>
      <c r="C755" s="940"/>
      <c r="D755" s="940"/>
      <c r="E755" s="940"/>
      <c r="F755" s="959"/>
      <c r="G755" s="960"/>
      <c r="H755" s="958"/>
      <c r="I755" s="791"/>
      <c r="J755" s="513"/>
      <c r="K755" s="963">
        <f>K754*$AA$889</f>
        <v>1610.3061940916839</v>
      </c>
      <c r="L755" s="513" t="s">
        <v>172</v>
      </c>
      <c r="M755" s="722"/>
      <c r="N755" s="722"/>
      <c r="O755" s="957"/>
      <c r="P755" s="722"/>
      <c r="Q755" s="611"/>
      <c r="R755" s="611"/>
      <c r="S755" s="624"/>
      <c r="T755" s="625"/>
      <c r="U755" s="611"/>
      <c r="V755" s="624"/>
      <c r="W755" s="624">
        <f t="shared" si="171"/>
        <v>0</v>
      </c>
      <c r="X755" s="624">
        <f t="shared" si="171"/>
        <v>0</v>
      </c>
      <c r="Y755" s="624">
        <f t="shared" si="171"/>
        <v>0</v>
      </c>
      <c r="Z755" s="624">
        <f t="shared" si="171"/>
        <v>0</v>
      </c>
      <c r="AA755" s="624">
        <f t="shared" si="171"/>
        <v>0</v>
      </c>
      <c r="AB755" s="624">
        <f t="shared" si="171"/>
        <v>0</v>
      </c>
      <c r="AC755" s="624">
        <f t="shared" si="171"/>
        <v>0</v>
      </c>
      <c r="AD755" s="624">
        <f t="shared" si="171"/>
        <v>0</v>
      </c>
      <c r="AE755" s="624">
        <f t="shared" si="171"/>
        <v>0</v>
      </c>
      <c r="AF755" s="471" t="e">
        <f>1/#REF!</f>
        <v>#REF!</v>
      </c>
      <c r="AG755" s="471" t="e">
        <f>#REF!*2.8</f>
        <v>#REF!</v>
      </c>
      <c r="AH755" s="471"/>
      <c r="AI755" s="471"/>
      <c r="AJ755" s="471"/>
      <c r="AK755" s="471"/>
      <c r="AL755" s="471"/>
      <c r="AM755" s="471"/>
      <c r="AN755" s="471"/>
      <c r="AO755" s="471"/>
      <c r="AR755" s="404"/>
      <c r="AU755" s="404"/>
      <c r="AV755" s="404"/>
    </row>
    <row r="756" spans="1:48" s="885" customFormat="1" ht="23.4" customHeight="1">
      <c r="A756" s="788"/>
      <c r="B756" s="958"/>
      <c r="C756" s="940"/>
      <c r="D756" s="940"/>
      <c r="E756" s="940"/>
      <c r="F756" s="959"/>
      <c r="G756" s="960"/>
      <c r="H756" s="962"/>
      <c r="I756" s="802"/>
      <c r="J756" s="958" t="s">
        <v>545</v>
      </c>
      <c r="K756" s="963">
        <f>SUMIF($B$651:$B$754,J756,$J$651:$J$754)</f>
        <v>0</v>
      </c>
      <c r="L756" s="791" t="s">
        <v>46</v>
      </c>
      <c r="M756" s="964"/>
      <c r="N756" s="964"/>
      <c r="O756" s="965"/>
      <c r="P756" s="964"/>
      <c r="Q756" s="618"/>
      <c r="R756" s="618"/>
      <c r="S756" s="618"/>
      <c r="T756" s="618"/>
      <c r="U756" s="618"/>
      <c r="V756" s="624"/>
      <c r="W756" s="624">
        <f t="shared" si="171"/>
        <v>0</v>
      </c>
      <c r="X756" s="624">
        <f t="shared" si="171"/>
        <v>0</v>
      </c>
      <c r="Y756" s="624">
        <f t="shared" si="171"/>
        <v>0</v>
      </c>
      <c r="Z756" s="624">
        <f t="shared" si="171"/>
        <v>0</v>
      </c>
      <c r="AA756" s="624">
        <f t="shared" si="171"/>
        <v>0</v>
      </c>
      <c r="AB756" s="624">
        <f t="shared" si="171"/>
        <v>0</v>
      </c>
      <c r="AC756" s="624">
        <f t="shared" si="171"/>
        <v>0</v>
      </c>
      <c r="AD756" s="624">
        <f t="shared" si="171"/>
        <v>0</v>
      </c>
      <c r="AE756" s="624">
        <f t="shared" si="171"/>
        <v>0</v>
      </c>
      <c r="AF756" s="944"/>
      <c r="AG756" s="966"/>
      <c r="AH756" s="966"/>
      <c r="AI756" s="966"/>
      <c r="AJ756" s="944"/>
      <c r="AK756" s="944"/>
      <c r="AN756" s="886"/>
      <c r="AQ756" s="886"/>
      <c r="AR756" s="886"/>
    </row>
    <row r="757" spans="1:48" s="390" customFormat="1" ht="23.4" customHeight="1">
      <c r="A757" s="788"/>
      <c r="B757" s="958"/>
      <c r="C757" s="940"/>
      <c r="D757" s="940"/>
      <c r="E757" s="940"/>
      <c r="F757" s="959"/>
      <c r="G757" s="960"/>
      <c r="H757" s="958"/>
      <c r="I757" s="791"/>
      <c r="J757" s="513"/>
      <c r="K757" s="963">
        <f>K756*$Z$889</f>
        <v>0</v>
      </c>
      <c r="L757" s="513" t="s">
        <v>172</v>
      </c>
      <c r="M757" s="722"/>
      <c r="N757" s="722"/>
      <c r="O757" s="957"/>
      <c r="P757" s="722"/>
      <c r="Q757" s="611"/>
      <c r="R757" s="611"/>
      <c r="S757" s="624"/>
      <c r="T757" s="625"/>
      <c r="U757" s="611"/>
      <c r="V757" s="624"/>
      <c r="W757" s="624">
        <f t="shared" si="171"/>
        <v>0</v>
      </c>
      <c r="X757" s="624">
        <f t="shared" si="171"/>
        <v>0</v>
      </c>
      <c r="Y757" s="624">
        <f t="shared" si="171"/>
        <v>0</v>
      </c>
      <c r="Z757" s="624">
        <f t="shared" si="171"/>
        <v>0</v>
      </c>
      <c r="AA757" s="624">
        <f t="shared" si="171"/>
        <v>0</v>
      </c>
      <c r="AB757" s="624">
        <f t="shared" si="171"/>
        <v>0</v>
      </c>
      <c r="AC757" s="624">
        <f t="shared" si="171"/>
        <v>0</v>
      </c>
      <c r="AD757" s="624">
        <f t="shared" si="171"/>
        <v>0</v>
      </c>
      <c r="AE757" s="624">
        <f t="shared" si="171"/>
        <v>0</v>
      </c>
      <c r="AF757" s="471" t="e">
        <f>1/#REF!</f>
        <v>#REF!</v>
      </c>
      <c r="AG757" s="471" t="e">
        <f>#REF!*2.8</f>
        <v>#REF!</v>
      </c>
      <c r="AH757" s="471"/>
      <c r="AI757" s="471"/>
      <c r="AJ757" s="471"/>
      <c r="AK757" s="471"/>
      <c r="AL757" s="471"/>
      <c r="AM757" s="471"/>
      <c r="AN757" s="471"/>
      <c r="AO757" s="471"/>
      <c r="AR757" s="404"/>
      <c r="AU757" s="404"/>
      <c r="AV757" s="404"/>
    </row>
    <row r="758" spans="1:48" s="885" customFormat="1" ht="23.4" customHeight="1">
      <c r="A758" s="788"/>
      <c r="B758" s="958"/>
      <c r="C758" s="940"/>
      <c r="D758" s="940"/>
      <c r="E758" s="940"/>
      <c r="F758" s="959"/>
      <c r="G758" s="960"/>
      <c r="H758" s="962"/>
      <c r="I758" s="802"/>
      <c r="J758" s="958" t="s">
        <v>484</v>
      </c>
      <c r="K758" s="963">
        <f>SUMIF($B$651:$B$754,J758,$J$651:$J$754)</f>
        <v>1164.4135812252359</v>
      </c>
      <c r="L758" s="791" t="s">
        <v>46</v>
      </c>
      <c r="M758" s="964"/>
      <c r="N758" s="964"/>
      <c r="O758" s="965"/>
      <c r="P758" s="964"/>
      <c r="Q758" s="618"/>
      <c r="R758" s="618"/>
      <c r="S758" s="618"/>
      <c r="T758" s="618"/>
      <c r="U758" s="618"/>
      <c r="V758" s="624"/>
      <c r="W758" s="624">
        <f t="shared" si="171"/>
        <v>0</v>
      </c>
      <c r="X758" s="624">
        <f t="shared" si="171"/>
        <v>0</v>
      </c>
      <c r="Y758" s="624">
        <f t="shared" si="171"/>
        <v>0</v>
      </c>
      <c r="Z758" s="624">
        <f t="shared" si="171"/>
        <v>0</v>
      </c>
      <c r="AA758" s="624">
        <f t="shared" si="171"/>
        <v>0</v>
      </c>
      <c r="AB758" s="624">
        <f t="shared" si="171"/>
        <v>0</v>
      </c>
      <c r="AC758" s="624">
        <f t="shared" si="171"/>
        <v>0</v>
      </c>
      <c r="AD758" s="624">
        <f t="shared" si="171"/>
        <v>0</v>
      </c>
      <c r="AE758" s="624">
        <f t="shared" si="171"/>
        <v>0</v>
      </c>
      <c r="AF758" s="944"/>
      <c r="AG758" s="966"/>
      <c r="AH758" s="966"/>
      <c r="AI758" s="966"/>
      <c r="AJ758" s="944"/>
      <c r="AK758" s="944"/>
      <c r="AN758" s="886"/>
      <c r="AQ758" s="886"/>
      <c r="AR758" s="886"/>
    </row>
    <row r="759" spans="1:48" s="390" customFormat="1" ht="23.4" customHeight="1">
      <c r="A759" s="788"/>
      <c r="B759" s="958"/>
      <c r="C759" s="940"/>
      <c r="D759" s="940"/>
      <c r="E759" s="940"/>
      <c r="F759" s="959"/>
      <c r="G759" s="960"/>
      <c r="H759" s="958"/>
      <c r="I759" s="791"/>
      <c r="J759" s="513"/>
      <c r="K759" s="963">
        <f>K758*$Y$889</f>
        <v>718.77381557113324</v>
      </c>
      <c r="L759" s="513" t="s">
        <v>172</v>
      </c>
      <c r="M759" s="722"/>
      <c r="N759" s="722"/>
      <c r="O759" s="957"/>
      <c r="P759" s="722"/>
      <c r="Q759" s="611"/>
      <c r="R759" s="611"/>
      <c r="S759" s="624"/>
      <c r="T759" s="625"/>
      <c r="U759" s="611"/>
      <c r="V759" s="624"/>
      <c r="W759" s="624">
        <f t="shared" si="171"/>
        <v>0</v>
      </c>
      <c r="X759" s="624">
        <f t="shared" si="171"/>
        <v>0</v>
      </c>
      <c r="Y759" s="624">
        <f t="shared" si="171"/>
        <v>0</v>
      </c>
      <c r="Z759" s="624">
        <f t="shared" si="171"/>
        <v>0</v>
      </c>
      <c r="AA759" s="624">
        <f t="shared" si="171"/>
        <v>0</v>
      </c>
      <c r="AB759" s="624">
        <f t="shared" si="171"/>
        <v>0</v>
      </c>
      <c r="AC759" s="624">
        <f t="shared" si="171"/>
        <v>0</v>
      </c>
      <c r="AD759" s="624">
        <f t="shared" si="171"/>
        <v>0</v>
      </c>
      <c r="AE759" s="624">
        <f t="shared" si="171"/>
        <v>0</v>
      </c>
      <c r="AF759" s="471" t="e">
        <f>1/#REF!</f>
        <v>#REF!</v>
      </c>
      <c r="AG759" s="471" t="e">
        <f>#REF!*2.8</f>
        <v>#REF!</v>
      </c>
      <c r="AH759" s="471"/>
      <c r="AI759" s="471"/>
      <c r="AJ759" s="471"/>
      <c r="AK759" s="471"/>
      <c r="AL759" s="471"/>
      <c r="AM759" s="471"/>
      <c r="AN759" s="471"/>
      <c r="AO759" s="471"/>
      <c r="AR759" s="404"/>
      <c r="AU759" s="404"/>
      <c r="AV759" s="404"/>
    </row>
    <row r="760" spans="1:48" s="476" customFormat="1" ht="26.4" customHeight="1">
      <c r="A760" s="478"/>
      <c r="B760" s="767"/>
      <c r="C760" s="665"/>
      <c r="D760" s="665"/>
      <c r="E760" s="665"/>
      <c r="F760" s="751"/>
      <c r="G760" s="645"/>
      <c r="H760" s="645"/>
      <c r="I760" s="485"/>
      <c r="J760" s="481"/>
      <c r="K760" s="492"/>
      <c r="L760" s="482"/>
      <c r="M760" s="754"/>
      <c r="N760" s="754"/>
      <c r="O760" s="765"/>
      <c r="P760" s="754"/>
      <c r="Q760" s="755"/>
      <c r="R760" s="755"/>
      <c r="S760" s="755"/>
      <c r="T760" s="755"/>
      <c r="U760" s="755"/>
      <c r="V760" s="757"/>
      <c r="W760" s="757">
        <f t="shared" si="171"/>
        <v>0</v>
      </c>
      <c r="X760" s="757">
        <f t="shared" si="171"/>
        <v>0</v>
      </c>
      <c r="Y760" s="757">
        <f t="shared" si="171"/>
        <v>0</v>
      </c>
      <c r="Z760" s="757">
        <f t="shared" si="171"/>
        <v>0</v>
      </c>
      <c r="AA760" s="757">
        <f t="shared" si="171"/>
        <v>0</v>
      </c>
      <c r="AB760" s="757">
        <f t="shared" si="171"/>
        <v>0</v>
      </c>
      <c r="AC760" s="757">
        <f t="shared" si="171"/>
        <v>0</v>
      </c>
      <c r="AD760" s="757">
        <f t="shared" si="171"/>
        <v>0</v>
      </c>
      <c r="AE760" s="757">
        <f t="shared" si="171"/>
        <v>0</v>
      </c>
      <c r="AF760" s="475"/>
      <c r="AG760" s="762"/>
      <c r="AH760" s="475"/>
      <c r="AI760" s="475"/>
      <c r="AJ760" s="475"/>
      <c r="AM760" s="477"/>
      <c r="AP760" s="477"/>
      <c r="AQ760" s="477"/>
    </row>
    <row r="761" spans="1:48" s="390" customFormat="1" ht="21.9" customHeight="1">
      <c r="A761" s="454"/>
      <c r="B761" s="659" t="s">
        <v>480</v>
      </c>
      <c r="C761" s="662"/>
      <c r="D761" s="662"/>
      <c r="E761" s="662"/>
      <c r="F761" s="498"/>
      <c r="G761" s="642"/>
      <c r="H761" s="648"/>
      <c r="I761" s="501"/>
      <c r="J761" s="455"/>
      <c r="K761" s="455"/>
      <c r="L761" s="312"/>
      <c r="M761" s="726"/>
      <c r="N761" s="726"/>
      <c r="O761" s="726"/>
      <c r="P761" s="726"/>
      <c r="Q761" s="611"/>
      <c r="R761" s="611"/>
      <c r="S761" s="624"/>
      <c r="T761" s="625"/>
      <c r="U761" s="626"/>
      <c r="V761" s="624"/>
      <c r="W761" s="624">
        <f t="shared" ref="W761:AE780" si="172">IF($R761=W$5,$V761,0)</f>
        <v>0</v>
      </c>
      <c r="X761" s="624">
        <f t="shared" si="172"/>
        <v>0</v>
      </c>
      <c r="Y761" s="624">
        <f t="shared" si="172"/>
        <v>0</v>
      </c>
      <c r="Z761" s="624">
        <f t="shared" si="172"/>
        <v>0</v>
      </c>
      <c r="AA761" s="624">
        <f t="shared" si="172"/>
        <v>0</v>
      </c>
      <c r="AB761" s="624">
        <f t="shared" si="172"/>
        <v>0</v>
      </c>
      <c r="AC761" s="624">
        <f t="shared" si="172"/>
        <v>0</v>
      </c>
      <c r="AD761" s="624">
        <f t="shared" si="172"/>
        <v>0</v>
      </c>
      <c r="AE761" s="624">
        <f t="shared" si="172"/>
        <v>0</v>
      </c>
      <c r="AF761" s="404"/>
      <c r="AG761" s="471"/>
      <c r="AH761" s="471"/>
      <c r="AI761" s="471"/>
      <c r="AJ761" s="471"/>
      <c r="AM761" s="404"/>
      <c r="AP761" s="404"/>
      <c r="AQ761" s="404"/>
    </row>
    <row r="762" spans="1:48" s="390" customFormat="1" ht="21.9" customHeight="1">
      <c r="A762" s="454"/>
      <c r="B762" s="659" t="s">
        <v>768</v>
      </c>
      <c r="C762" s="662"/>
      <c r="D762" s="662"/>
      <c r="E762" s="662"/>
      <c r="F762" s="498"/>
      <c r="G762" s="642"/>
      <c r="H762" s="648"/>
      <c r="I762" s="501"/>
      <c r="J762" s="455"/>
      <c r="K762" s="455"/>
      <c r="L762" s="312"/>
      <c r="M762" s="726"/>
      <c r="N762" s="726"/>
      <c r="O762" s="726"/>
      <c r="P762" s="726"/>
      <c r="Q762" s="611"/>
      <c r="R762" s="611"/>
      <c r="S762" s="624"/>
      <c r="T762" s="625"/>
      <c r="U762" s="626"/>
      <c r="V762" s="624"/>
      <c r="W762" s="624">
        <f t="shared" ref="W762:AE762" si="173">IF($R762=W$5,$V762,0)</f>
        <v>0</v>
      </c>
      <c r="X762" s="624">
        <f t="shared" si="173"/>
        <v>0</v>
      </c>
      <c r="Y762" s="624">
        <f t="shared" si="173"/>
        <v>0</v>
      </c>
      <c r="Z762" s="624">
        <f t="shared" si="173"/>
        <v>0</v>
      </c>
      <c r="AA762" s="624">
        <f t="shared" si="173"/>
        <v>0</v>
      </c>
      <c r="AB762" s="624">
        <f t="shared" si="173"/>
        <v>0</v>
      </c>
      <c r="AC762" s="624">
        <f t="shared" si="173"/>
        <v>0</v>
      </c>
      <c r="AD762" s="624">
        <f t="shared" si="173"/>
        <v>0</v>
      </c>
      <c r="AE762" s="624">
        <f t="shared" si="173"/>
        <v>0</v>
      </c>
      <c r="AF762" s="404"/>
      <c r="AG762" s="471"/>
      <c r="AH762" s="471"/>
      <c r="AI762" s="471"/>
      <c r="AJ762" s="471"/>
      <c r="AM762" s="404"/>
      <c r="AP762" s="404"/>
      <c r="AQ762" s="404"/>
    </row>
    <row r="763" spans="1:48" s="476" customFormat="1" ht="21.9" customHeight="1">
      <c r="A763" s="478"/>
      <c r="B763" s="659" t="s">
        <v>481</v>
      </c>
      <c r="C763" s="665"/>
      <c r="D763" s="665"/>
      <c r="E763" s="665"/>
      <c r="F763" s="751"/>
      <c r="G763" s="752"/>
      <c r="H763" s="914"/>
      <c r="I763" s="753"/>
      <c r="J763" s="479"/>
      <c r="K763" s="479"/>
      <c r="L763" s="483"/>
      <c r="M763" s="764"/>
      <c r="N763" s="764"/>
      <c r="O763" s="764"/>
      <c r="P763" s="764"/>
      <c r="Q763" s="756"/>
      <c r="R763" s="756"/>
      <c r="S763" s="757"/>
      <c r="T763" s="758"/>
      <c r="U763" s="759"/>
      <c r="V763" s="757"/>
      <c r="W763" s="757">
        <f t="shared" si="172"/>
        <v>0</v>
      </c>
      <c r="X763" s="757">
        <f t="shared" si="172"/>
        <v>0</v>
      </c>
      <c r="Y763" s="757">
        <f t="shared" si="172"/>
        <v>0</v>
      </c>
      <c r="Z763" s="757">
        <f t="shared" si="172"/>
        <v>0</v>
      </c>
      <c r="AA763" s="757">
        <f t="shared" si="172"/>
        <v>0</v>
      </c>
      <c r="AB763" s="757">
        <f t="shared" si="172"/>
        <v>0</v>
      </c>
      <c r="AC763" s="757">
        <f t="shared" si="172"/>
        <v>0</v>
      </c>
      <c r="AD763" s="757">
        <f t="shared" si="172"/>
        <v>0</v>
      </c>
      <c r="AE763" s="757">
        <f t="shared" si="172"/>
        <v>0</v>
      </c>
      <c r="AF763" s="477"/>
      <c r="AG763" s="475"/>
      <c r="AH763" s="475"/>
      <c r="AI763" s="475"/>
      <c r="AJ763" s="475"/>
      <c r="AM763" s="477"/>
      <c r="AP763" s="477"/>
      <c r="AQ763" s="477"/>
    </row>
    <row r="764" spans="1:48" s="476" customFormat="1" ht="22.25" customHeight="1">
      <c r="A764" s="478"/>
      <c r="B764" s="657" t="s">
        <v>769</v>
      </c>
      <c r="C764" s="662"/>
      <c r="D764" s="662">
        <v>1</v>
      </c>
      <c r="E764" s="662">
        <v>1</v>
      </c>
      <c r="F764" s="498">
        <v>9.5</v>
      </c>
      <c r="G764" s="642">
        <v>5.83</v>
      </c>
      <c r="H764" s="642">
        <v>0.42</v>
      </c>
      <c r="I764" s="753"/>
      <c r="J764" s="492"/>
      <c r="K764" s="479"/>
      <c r="L764" s="483"/>
      <c r="M764" s="754"/>
      <c r="N764" s="754"/>
      <c r="O764" s="754"/>
      <c r="P764" s="754"/>
      <c r="Q764" s="756"/>
      <c r="R764" s="756"/>
      <c r="S764" s="757"/>
      <c r="T764" s="758"/>
      <c r="U764" s="759"/>
      <c r="V764" s="757"/>
      <c r="W764" s="757">
        <f t="shared" si="172"/>
        <v>0</v>
      </c>
      <c r="X764" s="757">
        <f t="shared" si="172"/>
        <v>0</v>
      </c>
      <c r="Y764" s="757">
        <f t="shared" si="172"/>
        <v>0</v>
      </c>
      <c r="Z764" s="757">
        <f t="shared" si="172"/>
        <v>0</v>
      </c>
      <c r="AA764" s="757">
        <f t="shared" si="172"/>
        <v>0</v>
      </c>
      <c r="AB764" s="757">
        <f t="shared" si="172"/>
        <v>0</v>
      </c>
      <c r="AC764" s="757">
        <f t="shared" si="172"/>
        <v>0</v>
      </c>
      <c r="AD764" s="757">
        <f t="shared" si="172"/>
        <v>0</v>
      </c>
      <c r="AE764" s="757">
        <f t="shared" si="172"/>
        <v>0</v>
      </c>
      <c r="AF764" s="475"/>
      <c r="AG764" s="762"/>
      <c r="AH764" s="475"/>
      <c r="AI764" s="475"/>
      <c r="AJ764" s="475"/>
      <c r="AM764" s="477"/>
      <c r="AP764" s="477"/>
      <c r="AQ764" s="477"/>
    </row>
    <row r="765" spans="1:48" s="776" customFormat="1" ht="22.25" customHeight="1">
      <c r="A765" s="769"/>
      <c r="B765" s="770" t="s">
        <v>790</v>
      </c>
      <c r="C765" s="665"/>
      <c r="D765" s="665"/>
      <c r="E765" s="665"/>
      <c r="F765" s="751"/>
      <c r="G765" s="773"/>
      <c r="H765" s="778"/>
      <c r="I765" s="774"/>
      <c r="J765" s="778"/>
      <c r="K765" s="480"/>
      <c r="L765" s="774"/>
      <c r="M765" s="760"/>
      <c r="N765" s="781"/>
      <c r="O765" s="782"/>
      <c r="P765" s="781"/>
      <c r="Q765" s="756"/>
      <c r="R765" s="756"/>
      <c r="S765" s="757"/>
      <c r="T765" s="758"/>
      <c r="U765" s="759"/>
      <c r="V765" s="757"/>
      <c r="W765" s="757">
        <f t="shared" si="172"/>
        <v>0</v>
      </c>
      <c r="X765" s="757">
        <f t="shared" si="172"/>
        <v>0</v>
      </c>
      <c r="Y765" s="757">
        <f t="shared" si="172"/>
        <v>0</v>
      </c>
      <c r="Z765" s="757">
        <f t="shared" si="172"/>
        <v>0</v>
      </c>
      <c r="AA765" s="757">
        <f t="shared" si="172"/>
        <v>0</v>
      </c>
      <c r="AB765" s="757">
        <f t="shared" si="172"/>
        <v>0</v>
      </c>
      <c r="AC765" s="757">
        <f t="shared" si="172"/>
        <v>0</v>
      </c>
      <c r="AD765" s="757">
        <f t="shared" si="172"/>
        <v>0</v>
      </c>
      <c r="AE765" s="757">
        <f t="shared" si="172"/>
        <v>0</v>
      </c>
      <c r="AF765" s="772" t="e">
        <f>((#REF!+#REF!/12)-(1.5/12)*2)*4+0.25*2</f>
        <v>#REF!</v>
      </c>
      <c r="AI765" s="777"/>
      <c r="AL765" s="777"/>
      <c r="AM765" s="777"/>
    </row>
    <row r="766" spans="1:48" s="776" customFormat="1" ht="22.25" customHeight="1">
      <c r="A766" s="769"/>
      <c r="B766" s="770" t="s">
        <v>545</v>
      </c>
      <c r="C766" s="665"/>
      <c r="D766" s="665">
        <f>T766</f>
        <v>13</v>
      </c>
      <c r="E766" s="665">
        <f>E764</f>
        <v>1</v>
      </c>
      <c r="F766" s="751">
        <f>U766</f>
        <v>3.3252057299603779</v>
      </c>
      <c r="G766" s="773"/>
      <c r="H766" s="778"/>
      <c r="I766" s="774"/>
      <c r="J766" s="492">
        <f>IF(I766=0,1,I766)*IF(H766=0,1,H766)*IF(G766=0,1,G766)*IF(F766=0,1,F766)*IF(E766=0,1,E766)*IF(D766=0,1,D766)*IF(C766=0,1,C766)</f>
        <v>43.227674489484912</v>
      </c>
      <c r="K766" s="480"/>
      <c r="L766" s="774"/>
      <c r="M766" s="760">
        <f>G764/3.281</f>
        <v>1.7768972874123743</v>
      </c>
      <c r="N766" s="781">
        <f>F764/3.281</f>
        <v>2.895458701615361</v>
      </c>
      <c r="O766" s="768">
        <f>E766</f>
        <v>1</v>
      </c>
      <c r="P766" s="781">
        <f>(1.5/12)/3.281</f>
        <v>3.8098140810728431E-2</v>
      </c>
      <c r="Q766" s="756" t="s">
        <v>616</v>
      </c>
      <c r="R766" s="756">
        <v>12</v>
      </c>
      <c r="S766" s="757">
        <f>6/(12*3.281)</f>
        <v>0.15239256324291375</v>
      </c>
      <c r="T766" s="758">
        <f>(ROUND(M766/S766,0))+1</f>
        <v>13</v>
      </c>
      <c r="U766" s="759">
        <f>N766-2*P766+2*$M$656</f>
        <v>3.3252057299603779</v>
      </c>
      <c r="V766" s="757">
        <f>T766*U766*O766</f>
        <v>43.227674489484912</v>
      </c>
      <c r="W766" s="757">
        <f t="shared" si="172"/>
        <v>0</v>
      </c>
      <c r="X766" s="757">
        <f t="shared" si="172"/>
        <v>0</v>
      </c>
      <c r="Y766" s="757">
        <f t="shared" si="172"/>
        <v>0</v>
      </c>
      <c r="Z766" s="757">
        <f t="shared" si="172"/>
        <v>43.227674489484912</v>
      </c>
      <c r="AA766" s="757">
        <f t="shared" si="172"/>
        <v>0</v>
      </c>
      <c r="AB766" s="757">
        <f t="shared" si="172"/>
        <v>0</v>
      </c>
      <c r="AC766" s="757">
        <f t="shared" si="172"/>
        <v>0</v>
      </c>
      <c r="AD766" s="757">
        <f t="shared" si="172"/>
        <v>0</v>
      </c>
      <c r="AE766" s="757">
        <f t="shared" si="172"/>
        <v>0</v>
      </c>
      <c r="AF766" s="772" t="e">
        <f>(#REF!+#REF!/12)-0.25+0.5+0.25*2</f>
        <v>#REF!</v>
      </c>
      <c r="AI766" s="777"/>
      <c r="AL766" s="777"/>
      <c r="AM766" s="777"/>
    </row>
    <row r="767" spans="1:48" s="776" customFormat="1" ht="22.25" customHeight="1">
      <c r="A767" s="769"/>
      <c r="B767" s="770" t="s">
        <v>545</v>
      </c>
      <c r="C767" s="665"/>
      <c r="D767" s="665">
        <f>T767</f>
        <v>20</v>
      </c>
      <c r="E767" s="665">
        <f>E766</f>
        <v>1</v>
      </c>
      <c r="F767" s="751">
        <f>U767</f>
        <v>2.2066443157573912</v>
      </c>
      <c r="G767" s="773"/>
      <c r="H767" s="778"/>
      <c r="I767" s="774"/>
      <c r="J767" s="492">
        <f>IF(I767=0,1,I767)*IF(H767=0,1,H767)*IF(G767=0,1,G767)*IF(F767=0,1,F767)*IF(E767=0,1,E767)*IF(D767=0,1,D767)*IF(C767=0,1,C767)</f>
        <v>44.132886315147822</v>
      </c>
      <c r="K767" s="480"/>
      <c r="L767" s="774"/>
      <c r="M767" s="760">
        <f>H764/3.281</f>
        <v>0.12800975312404753</v>
      </c>
      <c r="N767" s="781"/>
      <c r="O767" s="768">
        <f>E767</f>
        <v>1</v>
      </c>
      <c r="P767" s="781">
        <f>(1.5/12)/3.281</f>
        <v>3.8098140810728431E-2</v>
      </c>
      <c r="Q767" s="756" t="s">
        <v>617</v>
      </c>
      <c r="R767" s="756">
        <v>12</v>
      </c>
      <c r="S767" s="757">
        <f>6/(12*3.281)</f>
        <v>0.15239256324291375</v>
      </c>
      <c r="T767" s="758">
        <f>(ROUND(N766/S767,0))+1</f>
        <v>20</v>
      </c>
      <c r="U767" s="759">
        <f>M766-2*P767+2*$M$656</f>
        <v>2.2066443157573912</v>
      </c>
      <c r="V767" s="757">
        <f>T767*U767*O767</f>
        <v>44.132886315147822</v>
      </c>
      <c r="W767" s="757">
        <f t="shared" si="172"/>
        <v>0</v>
      </c>
      <c r="X767" s="757">
        <f t="shared" si="172"/>
        <v>0</v>
      </c>
      <c r="Y767" s="757">
        <f t="shared" si="172"/>
        <v>0</v>
      </c>
      <c r="Z767" s="757">
        <f t="shared" si="172"/>
        <v>44.132886315147822</v>
      </c>
      <c r="AA767" s="757">
        <f t="shared" si="172"/>
        <v>0</v>
      </c>
      <c r="AB767" s="757">
        <f t="shared" si="172"/>
        <v>0</v>
      </c>
      <c r="AC767" s="757">
        <f t="shared" si="172"/>
        <v>0</v>
      </c>
      <c r="AD767" s="757">
        <f t="shared" si="172"/>
        <v>0</v>
      </c>
      <c r="AE767" s="757">
        <f t="shared" si="172"/>
        <v>0</v>
      </c>
      <c r="AF767" s="772" t="e">
        <f>(#REF!+#REF!/12)-0.25+0.5+0.25*2</f>
        <v>#REF!</v>
      </c>
      <c r="AI767" s="777"/>
      <c r="AL767" s="777"/>
      <c r="AM767" s="777"/>
    </row>
    <row r="768" spans="1:48" s="776" customFormat="1" ht="22.25" customHeight="1">
      <c r="A768" s="769"/>
      <c r="B768" s="770" t="s">
        <v>545</v>
      </c>
      <c r="C768" s="665"/>
      <c r="D768" s="665">
        <f>T768</f>
        <v>13</v>
      </c>
      <c r="E768" s="665">
        <f>E766</f>
        <v>1</v>
      </c>
      <c r="F768" s="751">
        <f>U768</f>
        <v>3.5172057299603781</v>
      </c>
      <c r="G768" s="773"/>
      <c r="H768" s="778"/>
      <c r="I768" s="774"/>
      <c r="J768" s="492">
        <f>IF(I768=0,1,I768)*IF(H768=0,1,H768)*IF(G768=0,1,G768)*IF(F768=0,1,F768)*IF(E768=0,1,E768)*IF(D768=0,1,D768)*IF(C768=0,1,C768)</f>
        <v>45.723674489484914</v>
      </c>
      <c r="K768" s="480"/>
      <c r="L768" s="774"/>
      <c r="M768" s="760"/>
      <c r="N768" s="781"/>
      <c r="O768" s="768">
        <f>E768</f>
        <v>1</v>
      </c>
      <c r="P768" s="781">
        <f>(1.5/12)/3.281</f>
        <v>3.8098140810728431E-2</v>
      </c>
      <c r="Q768" s="756" t="s">
        <v>618</v>
      </c>
      <c r="R768" s="756">
        <v>12</v>
      </c>
      <c r="S768" s="757">
        <f>6/(12*3.281)</f>
        <v>0.15239256324291375</v>
      </c>
      <c r="T768" s="758">
        <f>(ROUND(M766/S768,0))+1</f>
        <v>13</v>
      </c>
      <c r="U768" s="759">
        <f>N766-2*P768+2*$M$656+2*8*R768/1000</f>
        <v>3.5172057299603781</v>
      </c>
      <c r="V768" s="757">
        <f>T768*U768*O768</f>
        <v>45.723674489484914</v>
      </c>
      <c r="W768" s="757">
        <f t="shared" si="172"/>
        <v>0</v>
      </c>
      <c r="X768" s="757">
        <f t="shared" si="172"/>
        <v>0</v>
      </c>
      <c r="Y768" s="757">
        <f t="shared" si="172"/>
        <v>0</v>
      </c>
      <c r="Z768" s="757">
        <f t="shared" si="172"/>
        <v>45.723674489484914</v>
      </c>
      <c r="AA768" s="757">
        <f t="shared" si="172"/>
        <v>0</v>
      </c>
      <c r="AB768" s="757">
        <f t="shared" si="172"/>
        <v>0</v>
      </c>
      <c r="AC768" s="757">
        <f t="shared" si="172"/>
        <v>0</v>
      </c>
      <c r="AD768" s="757">
        <f t="shared" si="172"/>
        <v>0</v>
      </c>
      <c r="AE768" s="757">
        <f t="shared" si="172"/>
        <v>0</v>
      </c>
      <c r="AF768" s="772" t="e">
        <f>(#REF!+#REF!/12)-0.25+0.5+0.25*2</f>
        <v>#REF!</v>
      </c>
      <c r="AI768" s="777"/>
      <c r="AL768" s="777"/>
      <c r="AM768" s="777"/>
    </row>
    <row r="769" spans="1:48" s="776" customFormat="1" ht="22.25" customHeight="1">
      <c r="A769" s="769"/>
      <c r="B769" s="770" t="s">
        <v>545</v>
      </c>
      <c r="C769" s="665"/>
      <c r="D769" s="665">
        <f>T769</f>
        <v>20</v>
      </c>
      <c r="E769" s="665">
        <f>E768</f>
        <v>1</v>
      </c>
      <c r="F769" s="751">
        <f>U769</f>
        <v>2.3986443157573913</v>
      </c>
      <c r="G769" s="773"/>
      <c r="H769" s="778"/>
      <c r="I769" s="774"/>
      <c r="J769" s="492">
        <f>IF(I769=0,1,I769)*IF(H769=0,1,H769)*IF(G769=0,1,G769)*IF(F769=0,1,F769)*IF(E769=0,1,E769)*IF(D769=0,1,D769)*IF(C769=0,1,C769)</f>
        <v>47.972886315147825</v>
      </c>
      <c r="K769" s="480"/>
      <c r="L769" s="774"/>
      <c r="M769" s="760"/>
      <c r="N769" s="781"/>
      <c r="O769" s="768">
        <f>E769</f>
        <v>1</v>
      </c>
      <c r="P769" s="781">
        <f>(1.5/12)/3.281</f>
        <v>3.8098140810728431E-2</v>
      </c>
      <c r="Q769" s="756" t="s">
        <v>619</v>
      </c>
      <c r="R769" s="756">
        <v>12</v>
      </c>
      <c r="S769" s="757">
        <f>6/(12*3.281)</f>
        <v>0.15239256324291375</v>
      </c>
      <c r="T769" s="758">
        <f>(ROUND(N766/S769,0))+1</f>
        <v>20</v>
      </c>
      <c r="U769" s="759">
        <f>M766-2*P769+2*$M$656+2*8*R769/1000</f>
        <v>2.3986443157573913</v>
      </c>
      <c r="V769" s="757">
        <f>T769*U769*O769</f>
        <v>47.972886315147825</v>
      </c>
      <c r="W769" s="757">
        <f t="shared" si="172"/>
        <v>0</v>
      </c>
      <c r="X769" s="757">
        <f t="shared" si="172"/>
        <v>0</v>
      </c>
      <c r="Y769" s="757">
        <f t="shared" si="172"/>
        <v>0</v>
      </c>
      <c r="Z769" s="757">
        <f t="shared" si="172"/>
        <v>47.972886315147825</v>
      </c>
      <c r="AA769" s="757">
        <f t="shared" si="172"/>
        <v>0</v>
      </c>
      <c r="AB769" s="757">
        <f t="shared" si="172"/>
        <v>0</v>
      </c>
      <c r="AC769" s="757">
        <f t="shared" si="172"/>
        <v>0</v>
      </c>
      <c r="AD769" s="757">
        <f t="shared" si="172"/>
        <v>0</v>
      </c>
      <c r="AE769" s="757">
        <f t="shared" si="172"/>
        <v>0</v>
      </c>
      <c r="AF769" s="772" t="e">
        <f>(#REF!+#REF!/12)-0.25+0.5+0.25*2</f>
        <v>#REF!</v>
      </c>
      <c r="AI769" s="777"/>
      <c r="AL769" s="777"/>
      <c r="AM769" s="777"/>
    </row>
    <row r="770" spans="1:48" s="390" customFormat="1" ht="22.25" customHeight="1">
      <c r="A770" s="454"/>
      <c r="B770" s="659" t="s">
        <v>770</v>
      </c>
      <c r="C770" s="662"/>
      <c r="D770" s="662"/>
      <c r="E770" s="662"/>
      <c r="F770" s="498"/>
      <c r="G770" s="642"/>
      <c r="H770" s="642"/>
      <c r="I770" s="499"/>
      <c r="J770" s="507"/>
      <c r="K770" s="455"/>
      <c r="L770" s="312"/>
      <c r="M770" s="722"/>
      <c r="N770" s="722"/>
      <c r="O770" s="722"/>
      <c r="P770" s="722"/>
      <c r="Q770" s="611"/>
      <c r="R770" s="611"/>
      <c r="S770" s="624"/>
      <c r="T770" s="625"/>
      <c r="U770" s="626"/>
      <c r="V770" s="624"/>
      <c r="W770" s="624"/>
      <c r="X770" s="624"/>
      <c r="Y770" s="624"/>
      <c r="Z770" s="624"/>
      <c r="AA770" s="624"/>
      <c r="AB770" s="624"/>
      <c r="AC770" s="624"/>
      <c r="AD770" s="624"/>
      <c r="AE770" s="624"/>
      <c r="AF770" s="471"/>
      <c r="AG770" s="473"/>
      <c r="AH770" s="471"/>
      <c r="AI770" s="471"/>
      <c r="AJ770" s="471"/>
      <c r="AM770" s="404"/>
      <c r="AP770" s="404"/>
      <c r="AQ770" s="404"/>
    </row>
    <row r="771" spans="1:48" s="476" customFormat="1" ht="22.25" customHeight="1">
      <c r="A771" s="478"/>
      <c r="B771" s="657" t="s">
        <v>771</v>
      </c>
      <c r="C771" s="662"/>
      <c r="D771" s="662">
        <v>1</v>
      </c>
      <c r="E771" s="662">
        <v>1</v>
      </c>
      <c r="F771" s="498">
        <v>204</v>
      </c>
      <c r="G771" s="642">
        <v>3</v>
      </c>
      <c r="H771" s="642">
        <v>0.33</v>
      </c>
      <c r="I771" s="753"/>
      <c r="J771" s="492"/>
      <c r="K771" s="479"/>
      <c r="L771" s="483"/>
      <c r="M771" s="754"/>
      <c r="N771" s="754"/>
      <c r="O771" s="754"/>
      <c r="P771" s="754"/>
      <c r="Q771" s="756"/>
      <c r="R771" s="756"/>
      <c r="S771" s="757"/>
      <c r="T771" s="758"/>
      <c r="U771" s="759"/>
      <c r="V771" s="757"/>
      <c r="W771" s="757">
        <f t="shared" si="172"/>
        <v>0</v>
      </c>
      <c r="X771" s="757">
        <f t="shared" si="172"/>
        <v>0</v>
      </c>
      <c r="Y771" s="757">
        <f t="shared" si="172"/>
        <v>0</v>
      </c>
      <c r="Z771" s="757">
        <f t="shared" si="172"/>
        <v>0</v>
      </c>
      <c r="AA771" s="757">
        <f t="shared" si="172"/>
        <v>0</v>
      </c>
      <c r="AB771" s="757">
        <f t="shared" si="172"/>
        <v>0</v>
      </c>
      <c r="AC771" s="757">
        <f t="shared" si="172"/>
        <v>0</v>
      </c>
      <c r="AD771" s="757">
        <f t="shared" si="172"/>
        <v>0</v>
      </c>
      <c r="AE771" s="757">
        <f t="shared" si="172"/>
        <v>0</v>
      </c>
      <c r="AF771" s="475"/>
      <c r="AG771" s="762"/>
      <c r="AH771" s="475"/>
      <c r="AI771" s="475"/>
      <c r="AJ771" s="475"/>
      <c r="AM771" s="477"/>
      <c r="AP771" s="477"/>
      <c r="AQ771" s="477"/>
    </row>
    <row r="772" spans="1:48" s="776" customFormat="1" ht="22.25" customHeight="1">
      <c r="A772" s="769"/>
      <c r="B772" s="770" t="s">
        <v>791</v>
      </c>
      <c r="C772" s="665"/>
      <c r="D772" s="665"/>
      <c r="E772" s="665"/>
      <c r="F772" s="751"/>
      <c r="G772" s="773"/>
      <c r="H772" s="778"/>
      <c r="I772" s="774"/>
      <c r="J772" s="778"/>
      <c r="K772" s="480"/>
      <c r="L772" s="774"/>
      <c r="M772" s="760"/>
      <c r="N772" s="781"/>
      <c r="O772" s="782"/>
      <c r="P772" s="781"/>
      <c r="Q772" s="756"/>
      <c r="R772" s="756"/>
      <c r="S772" s="757"/>
      <c r="T772" s="758"/>
      <c r="U772" s="759"/>
      <c r="V772" s="757"/>
      <c r="W772" s="757">
        <f t="shared" si="172"/>
        <v>0</v>
      </c>
      <c r="X772" s="757">
        <f t="shared" si="172"/>
        <v>0</v>
      </c>
      <c r="Y772" s="757">
        <f t="shared" si="172"/>
        <v>0</v>
      </c>
      <c r="Z772" s="757">
        <f t="shared" si="172"/>
        <v>0</v>
      </c>
      <c r="AA772" s="757">
        <f t="shared" si="172"/>
        <v>0</v>
      </c>
      <c r="AB772" s="757">
        <f t="shared" si="172"/>
        <v>0</v>
      </c>
      <c r="AC772" s="757">
        <f t="shared" si="172"/>
        <v>0</v>
      </c>
      <c r="AD772" s="757">
        <f t="shared" si="172"/>
        <v>0</v>
      </c>
      <c r="AE772" s="757">
        <f t="shared" si="172"/>
        <v>0</v>
      </c>
      <c r="AF772" s="772" t="e">
        <f>((#REF!+#REF!/12)-(1.5/12)*2)*4+0.25*2</f>
        <v>#REF!</v>
      </c>
      <c r="AI772" s="777"/>
      <c r="AL772" s="777"/>
      <c r="AM772" s="777"/>
    </row>
    <row r="773" spans="1:48" s="776" customFormat="1" ht="22.25" customHeight="1">
      <c r="A773" s="769"/>
      <c r="B773" s="770" t="s">
        <v>484</v>
      </c>
      <c r="C773" s="665"/>
      <c r="D773" s="665">
        <f>T773</f>
        <v>7</v>
      </c>
      <c r="E773" s="665">
        <f>E771</f>
        <v>1</v>
      </c>
      <c r="F773" s="751">
        <f>U773</f>
        <v>63.264787535057202</v>
      </c>
      <c r="G773" s="773"/>
      <c r="H773" s="778"/>
      <c r="I773" s="774"/>
      <c r="J773" s="492">
        <f>IF(I773=0,1,I773)*IF(H773=0,1,H773)*IF(G773=0,1,G773)*IF(F773=0,1,F773)*IF(E773=0,1,E773)*IF(D773=0,1,D773)*IF(C773=0,1,C773)</f>
        <v>442.85351274540039</v>
      </c>
      <c r="K773" s="480"/>
      <c r="L773" s="774"/>
      <c r="M773" s="760">
        <f>G771/3.281</f>
        <v>0.91435537945748246</v>
      </c>
      <c r="N773" s="781">
        <f>F771/3.281</f>
        <v>62.176165803108809</v>
      </c>
      <c r="O773" s="768">
        <f>E773</f>
        <v>1</v>
      </c>
      <c r="P773" s="781">
        <f>(1.5/12)/3.281</f>
        <v>3.8098140810728431E-2</v>
      </c>
      <c r="Q773" s="756" t="s">
        <v>616</v>
      </c>
      <c r="R773" s="756">
        <v>10</v>
      </c>
      <c r="S773" s="757">
        <f>6/(12*3.281)</f>
        <v>0.15239256324291375</v>
      </c>
      <c r="T773" s="758">
        <f>(ROUND(M773/S773,0))+1</f>
        <v>7</v>
      </c>
      <c r="U773" s="759">
        <f>N773-2*P773+2*M774+(N773/39.33)*2/3.281</f>
        <v>63.264787535057202</v>
      </c>
      <c r="V773" s="757">
        <f>T773*U773*O773</f>
        <v>442.85351274540039</v>
      </c>
      <c r="W773" s="757">
        <f t="shared" si="172"/>
        <v>0</v>
      </c>
      <c r="X773" s="757">
        <f t="shared" si="172"/>
        <v>0</v>
      </c>
      <c r="Y773" s="757">
        <f t="shared" si="172"/>
        <v>442.85351274540039</v>
      </c>
      <c r="Z773" s="757">
        <f t="shared" si="172"/>
        <v>0</v>
      </c>
      <c r="AA773" s="757">
        <f t="shared" si="172"/>
        <v>0</v>
      </c>
      <c r="AB773" s="757">
        <f t="shared" si="172"/>
        <v>0</v>
      </c>
      <c r="AC773" s="757">
        <f t="shared" si="172"/>
        <v>0</v>
      </c>
      <c r="AD773" s="757">
        <f t="shared" si="172"/>
        <v>0</v>
      </c>
      <c r="AE773" s="757">
        <f t="shared" si="172"/>
        <v>0</v>
      </c>
      <c r="AF773" s="772" t="e">
        <f>(#REF!+#REF!/12)-0.25+0.5+0.25*2</f>
        <v>#REF!</v>
      </c>
      <c r="AI773" s="777"/>
      <c r="AL773" s="777"/>
      <c r="AM773" s="777"/>
    </row>
    <row r="774" spans="1:48" s="776" customFormat="1" ht="22.25" customHeight="1">
      <c r="A774" s="769"/>
      <c r="B774" s="770" t="s">
        <v>484</v>
      </c>
      <c r="C774" s="665"/>
      <c r="D774" s="665">
        <f>T774</f>
        <v>409</v>
      </c>
      <c r="E774" s="665">
        <f>E773</f>
        <v>1</v>
      </c>
      <c r="F774" s="751">
        <f>U774</f>
        <v>1.496494971045413</v>
      </c>
      <c r="G774" s="773"/>
      <c r="H774" s="778"/>
      <c r="I774" s="774"/>
      <c r="J774" s="492">
        <f>IF(I774=0,1,I774)*IF(H774=0,1,H774)*IF(G774=0,1,G774)*IF(F774=0,1,F774)*IF(E774=0,1,E774)*IF(D774=0,1,D774)*IF(C774=0,1,C774)</f>
        <v>612.06644315757387</v>
      </c>
      <c r="K774" s="480"/>
      <c r="L774" s="774"/>
      <c r="M774" s="760">
        <f>H771/3.281</f>
        <v>0.10057909174032308</v>
      </c>
      <c r="N774" s="781"/>
      <c r="O774" s="768">
        <f>E774</f>
        <v>1</v>
      </c>
      <c r="P774" s="781">
        <f>(1.5/12)/3.281</f>
        <v>3.8098140810728431E-2</v>
      </c>
      <c r="Q774" s="756" t="s">
        <v>617</v>
      </c>
      <c r="R774" s="756">
        <v>10</v>
      </c>
      <c r="S774" s="757">
        <f>6/(12*3.281)</f>
        <v>0.15239256324291375</v>
      </c>
      <c r="T774" s="758">
        <f>(ROUND(N773/S774,0))+1</f>
        <v>409</v>
      </c>
      <c r="U774" s="759">
        <f>M773-2*P774+1*M774+$M$687+$M$686</f>
        <v>1.496494971045413</v>
      </c>
      <c r="V774" s="757">
        <f>T774*U774*O774</f>
        <v>612.06644315757387</v>
      </c>
      <c r="W774" s="757">
        <f t="shared" si="172"/>
        <v>0</v>
      </c>
      <c r="X774" s="757">
        <f t="shared" si="172"/>
        <v>0</v>
      </c>
      <c r="Y774" s="757">
        <f t="shared" si="172"/>
        <v>612.06644315757387</v>
      </c>
      <c r="Z774" s="757">
        <f t="shared" si="172"/>
        <v>0</v>
      </c>
      <c r="AA774" s="757">
        <f t="shared" si="172"/>
        <v>0</v>
      </c>
      <c r="AB774" s="757">
        <f t="shared" si="172"/>
        <v>0</v>
      </c>
      <c r="AC774" s="757">
        <f t="shared" si="172"/>
        <v>0</v>
      </c>
      <c r="AD774" s="757">
        <f t="shared" si="172"/>
        <v>0</v>
      </c>
      <c r="AE774" s="757">
        <f t="shared" si="172"/>
        <v>0</v>
      </c>
      <c r="AF774" s="772" t="e">
        <f>(#REF!+#REF!/12)-0.25+0.5+0.25*2</f>
        <v>#REF!</v>
      </c>
      <c r="AI774" s="777"/>
      <c r="AL774" s="777"/>
      <c r="AM774" s="777"/>
    </row>
    <row r="775" spans="1:48" s="776" customFormat="1" ht="22.25" customHeight="1">
      <c r="A775" s="769"/>
      <c r="B775" s="770" t="s">
        <v>484</v>
      </c>
      <c r="C775" s="665"/>
      <c r="D775" s="665">
        <f>T775</f>
        <v>7</v>
      </c>
      <c r="E775" s="665">
        <f>E773</f>
        <v>1</v>
      </c>
      <c r="F775" s="751">
        <f>U775</f>
        <v>63.264787535057202</v>
      </c>
      <c r="G775" s="773"/>
      <c r="H775" s="778"/>
      <c r="I775" s="774"/>
      <c r="J775" s="492">
        <f>IF(I775=0,1,I775)*IF(H775=0,1,H775)*IF(G775=0,1,G775)*IF(F775=0,1,F775)*IF(E775=0,1,E775)*IF(D775=0,1,D775)*IF(C775=0,1,C775)</f>
        <v>442.85351274540039</v>
      </c>
      <c r="K775" s="480"/>
      <c r="L775" s="774"/>
      <c r="M775" s="760"/>
      <c r="N775" s="781"/>
      <c r="O775" s="768">
        <f>E775</f>
        <v>1</v>
      </c>
      <c r="P775" s="781">
        <f>(1.5/12)/3.281</f>
        <v>3.8098140810728431E-2</v>
      </c>
      <c r="Q775" s="756" t="s">
        <v>618</v>
      </c>
      <c r="R775" s="756">
        <v>10</v>
      </c>
      <c r="S775" s="757">
        <f>6/(12*3.281)</f>
        <v>0.15239256324291375</v>
      </c>
      <c r="T775" s="758">
        <f>(ROUND(M773/S775,0))+1</f>
        <v>7</v>
      </c>
      <c r="U775" s="759">
        <f>N773-2*P775+2*M774+(N773/39.33)*2/3.281</f>
        <v>63.264787535057202</v>
      </c>
      <c r="V775" s="757">
        <f>T775*U775*O775</f>
        <v>442.85351274540039</v>
      </c>
      <c r="W775" s="757">
        <f t="shared" si="172"/>
        <v>0</v>
      </c>
      <c r="X775" s="757">
        <f t="shared" si="172"/>
        <v>0</v>
      </c>
      <c r="Y775" s="757">
        <f t="shared" si="172"/>
        <v>442.85351274540039</v>
      </c>
      <c r="Z775" s="757">
        <f t="shared" si="172"/>
        <v>0</v>
      </c>
      <c r="AA775" s="757">
        <f t="shared" si="172"/>
        <v>0</v>
      </c>
      <c r="AB775" s="757">
        <f t="shared" si="172"/>
        <v>0</v>
      </c>
      <c r="AC775" s="757">
        <f t="shared" si="172"/>
        <v>0</v>
      </c>
      <c r="AD775" s="757">
        <f t="shared" si="172"/>
        <v>0</v>
      </c>
      <c r="AE775" s="757">
        <f t="shared" si="172"/>
        <v>0</v>
      </c>
      <c r="AF775" s="772" t="e">
        <f>(#REF!+#REF!/12)-0.25+0.5+0.25*2</f>
        <v>#REF!</v>
      </c>
      <c r="AI775" s="777"/>
      <c r="AL775" s="777"/>
      <c r="AM775" s="777"/>
    </row>
    <row r="776" spans="1:48" s="776" customFormat="1" ht="22.25" customHeight="1">
      <c r="A776" s="769"/>
      <c r="B776" s="770" t="s">
        <v>484</v>
      </c>
      <c r="C776" s="665"/>
      <c r="D776" s="665">
        <f>T776</f>
        <v>409</v>
      </c>
      <c r="E776" s="665">
        <f>E775</f>
        <v>1</v>
      </c>
      <c r="F776" s="751">
        <f>U776</f>
        <v>1.2435233160621761</v>
      </c>
      <c r="G776" s="773"/>
      <c r="H776" s="778"/>
      <c r="I776" s="774"/>
      <c r="J776" s="492">
        <f>IF(I776=0,1,I776)*IF(H776=0,1,H776)*IF(G776=0,1,G776)*IF(F776=0,1,F776)*IF(E776=0,1,E776)*IF(D776=0,1,D776)*IF(C776=0,1,C776)</f>
        <v>508.60103626943004</v>
      </c>
      <c r="K776" s="480"/>
      <c r="L776" s="774"/>
      <c r="M776" s="760"/>
      <c r="N776" s="781"/>
      <c r="O776" s="768">
        <f>E776</f>
        <v>1</v>
      </c>
      <c r="P776" s="781">
        <f>(1.5/12)/3.281</f>
        <v>3.8098140810728431E-2</v>
      </c>
      <c r="Q776" s="756" t="s">
        <v>619</v>
      </c>
      <c r="R776" s="756">
        <v>10</v>
      </c>
      <c r="S776" s="757">
        <f>6/(12*3.281)</f>
        <v>0.15239256324291375</v>
      </c>
      <c r="T776" s="758">
        <f>(ROUND(N773/S776,0))+1</f>
        <v>409</v>
      </c>
      <c r="U776" s="759">
        <f>M773-2*P776+1*M774+$M$687</f>
        <v>1.2435233160621761</v>
      </c>
      <c r="V776" s="757">
        <f>T776*U776*O776</f>
        <v>508.60103626943004</v>
      </c>
      <c r="W776" s="757">
        <f t="shared" si="172"/>
        <v>0</v>
      </c>
      <c r="X776" s="757">
        <f t="shared" si="172"/>
        <v>0</v>
      </c>
      <c r="Y776" s="757">
        <f t="shared" si="172"/>
        <v>508.60103626943004</v>
      </c>
      <c r="Z776" s="757">
        <f t="shared" si="172"/>
        <v>0</v>
      </c>
      <c r="AA776" s="757">
        <f t="shared" si="172"/>
        <v>0</v>
      </c>
      <c r="AB776" s="757">
        <f t="shared" si="172"/>
        <v>0</v>
      </c>
      <c r="AC776" s="757">
        <f t="shared" si="172"/>
        <v>0</v>
      </c>
      <c r="AD776" s="757">
        <f t="shared" si="172"/>
        <v>0</v>
      </c>
      <c r="AE776" s="757">
        <f t="shared" si="172"/>
        <v>0</v>
      </c>
      <c r="AF776" s="772" t="e">
        <f>(#REF!+#REF!/12)-0.25+0.5+0.25*2</f>
        <v>#REF!</v>
      </c>
      <c r="AI776" s="777"/>
      <c r="AL776" s="777"/>
      <c r="AM776" s="777"/>
    </row>
    <row r="777" spans="1:48" s="476" customFormat="1" ht="22.25" customHeight="1">
      <c r="A777" s="478"/>
      <c r="B777" s="761"/>
      <c r="C777" s="665"/>
      <c r="D777" s="662">
        <v>1</v>
      </c>
      <c r="E777" s="662">
        <v>1</v>
      </c>
      <c r="F777" s="498">
        <f>F771</f>
        <v>204</v>
      </c>
      <c r="G777" s="642">
        <v>0.33</v>
      </c>
      <c r="H777" s="642">
        <v>1.5</v>
      </c>
      <c r="I777" s="753"/>
      <c r="J777" s="492"/>
      <c r="K777" s="479"/>
      <c r="L777" s="483"/>
      <c r="M777" s="754"/>
      <c r="N777" s="754"/>
      <c r="O777" s="754"/>
      <c r="P777" s="754"/>
      <c r="Q777" s="756"/>
      <c r="R777" s="756"/>
      <c r="S777" s="757"/>
      <c r="T777" s="758"/>
      <c r="U777" s="759"/>
      <c r="V777" s="757"/>
      <c r="W777" s="757">
        <f t="shared" si="172"/>
        <v>0</v>
      </c>
      <c r="X777" s="757">
        <f t="shared" si="172"/>
        <v>0</v>
      </c>
      <c r="Y777" s="757">
        <f t="shared" si="172"/>
        <v>0</v>
      </c>
      <c r="Z777" s="757">
        <f t="shared" si="172"/>
        <v>0</v>
      </c>
      <c r="AA777" s="757">
        <f t="shared" si="172"/>
        <v>0</v>
      </c>
      <c r="AB777" s="757">
        <f t="shared" si="172"/>
        <v>0</v>
      </c>
      <c r="AC777" s="757">
        <f t="shared" si="172"/>
        <v>0</v>
      </c>
      <c r="AD777" s="757">
        <f t="shared" si="172"/>
        <v>0</v>
      </c>
      <c r="AE777" s="757">
        <f t="shared" si="172"/>
        <v>0</v>
      </c>
      <c r="AF777" s="475"/>
      <c r="AG777" s="762"/>
      <c r="AH777" s="475"/>
      <c r="AI777" s="475"/>
      <c r="AJ777" s="475"/>
      <c r="AM777" s="477"/>
      <c r="AP777" s="477"/>
      <c r="AQ777" s="477"/>
    </row>
    <row r="778" spans="1:48" s="776" customFormat="1" ht="22.25" customHeight="1">
      <c r="A778" s="769"/>
      <c r="B778" s="770" t="s">
        <v>615</v>
      </c>
      <c r="C778" s="665"/>
      <c r="D778" s="665"/>
      <c r="E778" s="665"/>
      <c r="F778" s="751"/>
      <c r="G778" s="773"/>
      <c r="H778" s="778"/>
      <c r="I778" s="774"/>
      <c r="J778" s="778"/>
      <c r="K778" s="480"/>
      <c r="L778" s="774"/>
      <c r="M778" s="760"/>
      <c r="N778" s="781"/>
      <c r="O778" s="782"/>
      <c r="P778" s="781"/>
      <c r="Q778" s="756"/>
      <c r="R778" s="756"/>
      <c r="S778" s="757"/>
      <c r="T778" s="758"/>
      <c r="U778" s="759"/>
      <c r="V778" s="757"/>
      <c r="W778" s="757">
        <f t="shared" si="172"/>
        <v>0</v>
      </c>
      <c r="X778" s="757">
        <f t="shared" si="172"/>
        <v>0</v>
      </c>
      <c r="Y778" s="757">
        <f t="shared" si="172"/>
        <v>0</v>
      </c>
      <c r="Z778" s="757">
        <f t="shared" si="172"/>
        <v>0</v>
      </c>
      <c r="AA778" s="757">
        <f t="shared" si="172"/>
        <v>0</v>
      </c>
      <c r="AB778" s="757">
        <f t="shared" si="172"/>
        <v>0</v>
      </c>
      <c r="AC778" s="757">
        <f t="shared" si="172"/>
        <v>0</v>
      </c>
      <c r="AD778" s="757">
        <f t="shared" si="172"/>
        <v>0</v>
      </c>
      <c r="AE778" s="757">
        <f t="shared" si="172"/>
        <v>0</v>
      </c>
      <c r="AF778" s="772" t="e">
        <f>((#REF!+#REF!/12)-(1.5/12)*2)*4+0.25*2</f>
        <v>#REF!</v>
      </c>
      <c r="AI778" s="777"/>
      <c r="AL778" s="777"/>
      <c r="AM778" s="777"/>
    </row>
    <row r="779" spans="1:48" s="776" customFormat="1" ht="22.25" customHeight="1">
      <c r="A779" s="769"/>
      <c r="B779" s="770" t="s">
        <v>484</v>
      </c>
      <c r="C779" s="665"/>
      <c r="D779" s="665">
        <f>T779</f>
        <v>4</v>
      </c>
      <c r="E779" s="665">
        <f>E777</f>
        <v>1</v>
      </c>
      <c r="F779" s="751">
        <f>U779</f>
        <v>63.977984731034041</v>
      </c>
      <c r="G779" s="773"/>
      <c r="H779" s="778"/>
      <c r="I779" s="774"/>
      <c r="J779" s="492">
        <f>IF(I779=0,1,I779)*IF(H779=0,1,H779)*IF(G779=0,1,G779)*IF(F779=0,1,F779)*IF(E779=0,1,E779)*IF(D779=0,1,D779)*IF(C779=0,1,C779)</f>
        <v>255.91193892413617</v>
      </c>
      <c r="K779" s="480"/>
      <c r="L779" s="774"/>
      <c r="M779" s="760">
        <f>G777/3.281</f>
        <v>0.10057909174032308</v>
      </c>
      <c r="N779" s="781">
        <f>F777/3.281</f>
        <v>62.176165803108809</v>
      </c>
      <c r="O779" s="768">
        <f>E779</f>
        <v>1</v>
      </c>
      <c r="P779" s="781">
        <f>(1.5/12)/3.281</f>
        <v>3.8098140810728431E-2</v>
      </c>
      <c r="Q779" s="756" t="s">
        <v>616</v>
      </c>
      <c r="R779" s="756">
        <v>10</v>
      </c>
      <c r="S779" s="757">
        <f>6/(12*3.281)</f>
        <v>0.15239256324291375</v>
      </c>
      <c r="T779" s="758">
        <f>(ROUND(M780/S779,0))+1</f>
        <v>4</v>
      </c>
      <c r="U779" s="759">
        <f>N779-2*P779+2*M780+(N773/39.33)*2/3.281</f>
        <v>63.977984731034041</v>
      </c>
      <c r="V779" s="757">
        <f>T779*U779*O779</f>
        <v>255.91193892413617</v>
      </c>
      <c r="W779" s="757">
        <f t="shared" si="172"/>
        <v>0</v>
      </c>
      <c r="X779" s="757">
        <f t="shared" si="172"/>
        <v>0</v>
      </c>
      <c r="Y779" s="757">
        <f t="shared" si="172"/>
        <v>255.91193892413617</v>
      </c>
      <c r="Z779" s="757">
        <f t="shared" si="172"/>
        <v>0</v>
      </c>
      <c r="AA779" s="757">
        <f t="shared" si="172"/>
        <v>0</v>
      </c>
      <c r="AB779" s="757">
        <f t="shared" si="172"/>
        <v>0</v>
      </c>
      <c r="AC779" s="757">
        <f t="shared" si="172"/>
        <v>0</v>
      </c>
      <c r="AD779" s="757">
        <f t="shared" si="172"/>
        <v>0</v>
      </c>
      <c r="AE779" s="757">
        <f t="shared" si="172"/>
        <v>0</v>
      </c>
      <c r="AF779" s="772" t="e">
        <f>(#REF!+#REF!/12)-0.25+0.5+0.25*2</f>
        <v>#REF!</v>
      </c>
      <c r="AI779" s="777"/>
      <c r="AL779" s="777"/>
      <c r="AM779" s="777"/>
    </row>
    <row r="780" spans="1:48" s="776" customFormat="1" ht="22.25" customHeight="1">
      <c r="A780" s="769"/>
      <c r="B780" s="770" t="s">
        <v>484</v>
      </c>
      <c r="C780" s="665"/>
      <c r="D780" s="665">
        <f>T780</f>
        <v>409</v>
      </c>
      <c r="E780" s="665">
        <f>E779</f>
        <v>1</v>
      </c>
      <c r="F780" s="751">
        <f>U780</f>
        <v>3</v>
      </c>
      <c r="G780" s="773"/>
      <c r="H780" s="778"/>
      <c r="I780" s="774"/>
      <c r="J780" s="492">
        <f>IF(I780=0,1,I780)*IF(H780=0,1,H780)*IF(G780=0,1,G780)*IF(F780=0,1,F780)*IF(E780=0,1,E780)*IF(D780=0,1,D780)*IF(C780=0,1,C780)</f>
        <v>1227</v>
      </c>
      <c r="K780" s="480"/>
      <c r="L780" s="774"/>
      <c r="M780" s="760">
        <f>H777/3.281</f>
        <v>0.45717768972874123</v>
      </c>
      <c r="N780" s="781"/>
      <c r="O780" s="768">
        <f>E780</f>
        <v>1</v>
      </c>
      <c r="P780" s="781">
        <f>(1.5/12)/3.281</f>
        <v>3.8098140810728431E-2</v>
      </c>
      <c r="Q780" s="756" t="s">
        <v>617</v>
      </c>
      <c r="R780" s="756">
        <v>10</v>
      </c>
      <c r="S780" s="757">
        <f>6/(12*3.281)</f>
        <v>0.15239256324291375</v>
      </c>
      <c r="T780" s="758">
        <f>(ROUND(N779/S780,0))+1</f>
        <v>409</v>
      </c>
      <c r="U780" s="759">
        <v>3</v>
      </c>
      <c r="V780" s="757">
        <f>T780*U780*O780</f>
        <v>1227</v>
      </c>
      <c r="W780" s="757">
        <f t="shared" si="172"/>
        <v>0</v>
      </c>
      <c r="X780" s="757">
        <f t="shared" si="172"/>
        <v>0</v>
      </c>
      <c r="Y780" s="757">
        <f t="shared" si="172"/>
        <v>1227</v>
      </c>
      <c r="Z780" s="757">
        <f t="shared" si="172"/>
        <v>0</v>
      </c>
      <c r="AA780" s="757">
        <f t="shared" si="172"/>
        <v>0</v>
      </c>
      <c r="AB780" s="757">
        <f t="shared" si="172"/>
        <v>0</v>
      </c>
      <c r="AC780" s="757">
        <f t="shared" si="172"/>
        <v>0</v>
      </c>
      <c r="AD780" s="757">
        <f t="shared" si="172"/>
        <v>0</v>
      </c>
      <c r="AE780" s="757">
        <f t="shared" si="172"/>
        <v>0</v>
      </c>
      <c r="AF780" s="772" t="e">
        <f>(#REF!+#REF!/12)-0.25+0.5+0.25*2</f>
        <v>#REF!</v>
      </c>
      <c r="AI780" s="777"/>
      <c r="AL780" s="777"/>
      <c r="AM780" s="777"/>
    </row>
    <row r="781" spans="1:48" s="885" customFormat="1" ht="24.65" customHeight="1">
      <c r="A781" s="788"/>
      <c r="B781" s="958"/>
      <c r="C781" s="940"/>
      <c r="D781" s="940"/>
      <c r="E781" s="940"/>
      <c r="F781" s="959"/>
      <c r="G781" s="960"/>
      <c r="H781" s="962"/>
      <c r="I781" s="802"/>
      <c r="J781" s="958" t="s">
        <v>484</v>
      </c>
      <c r="K781" s="963">
        <f>SUMIF($B$763:$B$781,J781,$J$763:$J$781)</f>
        <v>3489.286443841941</v>
      </c>
      <c r="L781" s="791" t="s">
        <v>46</v>
      </c>
      <c r="M781" s="964"/>
      <c r="N781" s="964"/>
      <c r="O781" s="965"/>
      <c r="P781" s="964"/>
      <c r="Q781" s="618"/>
      <c r="R781" s="618"/>
      <c r="S781" s="618"/>
      <c r="T781" s="618"/>
      <c r="U781" s="618"/>
      <c r="V781" s="624"/>
      <c r="W781" s="624">
        <f t="shared" ref="W781:AE784" si="174">IF($R781=W$5,$V781,0)</f>
        <v>0</v>
      </c>
      <c r="X781" s="624">
        <f t="shared" si="174"/>
        <v>0</v>
      </c>
      <c r="Y781" s="624">
        <f t="shared" si="174"/>
        <v>0</v>
      </c>
      <c r="Z781" s="624">
        <f t="shared" si="174"/>
        <v>0</v>
      </c>
      <c r="AA781" s="624">
        <f t="shared" si="174"/>
        <v>0</v>
      </c>
      <c r="AB781" s="624">
        <f t="shared" si="174"/>
        <v>0</v>
      </c>
      <c r="AC781" s="624">
        <f t="shared" si="174"/>
        <v>0</v>
      </c>
      <c r="AD781" s="624">
        <f t="shared" si="174"/>
        <v>0</v>
      </c>
      <c r="AE781" s="624">
        <f t="shared" si="174"/>
        <v>0</v>
      </c>
      <c r="AF781" s="944"/>
      <c r="AG781" s="966"/>
      <c r="AH781" s="966"/>
      <c r="AI781" s="966"/>
      <c r="AJ781" s="944"/>
      <c r="AK781" s="944"/>
      <c r="AN781" s="886"/>
      <c r="AQ781" s="886"/>
      <c r="AR781" s="886"/>
    </row>
    <row r="782" spans="1:48" s="390" customFormat="1" ht="24.65" customHeight="1">
      <c r="A782" s="788"/>
      <c r="B782" s="958"/>
      <c r="C782" s="940"/>
      <c r="D782" s="940"/>
      <c r="E782" s="940"/>
      <c r="F782" s="959"/>
      <c r="G782" s="960"/>
      <c r="H782" s="958"/>
      <c r="I782" s="791"/>
      <c r="J782" s="513"/>
      <c r="K782" s="963">
        <f>K781*$Y$889</f>
        <v>2153.8805208900872</v>
      </c>
      <c r="L782" s="513" t="s">
        <v>172</v>
      </c>
      <c r="M782" s="722"/>
      <c r="N782" s="722"/>
      <c r="O782" s="957"/>
      <c r="P782" s="722"/>
      <c r="Q782" s="611"/>
      <c r="R782" s="611"/>
      <c r="S782" s="624"/>
      <c r="T782" s="625"/>
      <c r="U782" s="611"/>
      <c r="V782" s="624"/>
      <c r="W782" s="624">
        <f t="shared" si="174"/>
        <v>0</v>
      </c>
      <c r="X782" s="624">
        <f t="shared" si="174"/>
        <v>0</v>
      </c>
      <c r="Y782" s="624">
        <f t="shared" si="174"/>
        <v>0</v>
      </c>
      <c r="Z782" s="624">
        <f t="shared" si="174"/>
        <v>0</v>
      </c>
      <c r="AA782" s="624">
        <f t="shared" si="174"/>
        <v>0</v>
      </c>
      <c r="AB782" s="624">
        <f t="shared" si="174"/>
        <v>0</v>
      </c>
      <c r="AC782" s="624">
        <f t="shared" si="174"/>
        <v>0</v>
      </c>
      <c r="AD782" s="624">
        <f t="shared" si="174"/>
        <v>0</v>
      </c>
      <c r="AE782" s="624">
        <f t="shared" si="174"/>
        <v>0</v>
      </c>
      <c r="AF782" s="471" t="e">
        <f>1/#REF!</f>
        <v>#REF!</v>
      </c>
      <c r="AG782" s="471" t="e">
        <f>#REF!*2.8</f>
        <v>#REF!</v>
      </c>
      <c r="AH782" s="471"/>
      <c r="AI782" s="471"/>
      <c r="AJ782" s="471"/>
      <c r="AK782" s="471"/>
      <c r="AL782" s="471"/>
      <c r="AM782" s="471"/>
      <c r="AN782" s="471"/>
      <c r="AO782" s="471"/>
      <c r="AR782" s="404"/>
      <c r="AU782" s="404"/>
      <c r="AV782" s="404"/>
    </row>
    <row r="783" spans="1:48" s="885" customFormat="1" ht="24.65" customHeight="1">
      <c r="A783" s="788"/>
      <c r="B783" s="958"/>
      <c r="C783" s="940"/>
      <c r="D783" s="940"/>
      <c r="E783" s="940"/>
      <c r="F783" s="959"/>
      <c r="G783" s="960"/>
      <c r="H783" s="962"/>
      <c r="I783" s="802"/>
      <c r="J783" s="958" t="s">
        <v>545</v>
      </c>
      <c r="K783" s="963">
        <f>SUMIF($B$763:$B$781,J783,$J$763:$J$781)</f>
        <v>181.05712160926549</v>
      </c>
      <c r="L783" s="791" t="s">
        <v>46</v>
      </c>
      <c r="M783" s="964"/>
      <c r="N783" s="964"/>
      <c r="O783" s="965"/>
      <c r="P783" s="964"/>
      <c r="Q783" s="618"/>
      <c r="R783" s="618"/>
      <c r="S783" s="618"/>
      <c r="T783" s="618"/>
      <c r="U783" s="618"/>
      <c r="V783" s="624"/>
      <c r="W783" s="624">
        <f t="shared" si="174"/>
        <v>0</v>
      </c>
      <c r="X783" s="624">
        <f t="shared" si="174"/>
        <v>0</v>
      </c>
      <c r="Y783" s="624">
        <f t="shared" si="174"/>
        <v>0</v>
      </c>
      <c r="Z783" s="624">
        <f t="shared" si="174"/>
        <v>0</v>
      </c>
      <c r="AA783" s="624">
        <f t="shared" si="174"/>
        <v>0</v>
      </c>
      <c r="AB783" s="624">
        <f t="shared" si="174"/>
        <v>0</v>
      </c>
      <c r="AC783" s="624">
        <f t="shared" si="174"/>
        <v>0</v>
      </c>
      <c r="AD783" s="624">
        <f t="shared" si="174"/>
        <v>0</v>
      </c>
      <c r="AE783" s="624">
        <f t="shared" si="174"/>
        <v>0</v>
      </c>
      <c r="AF783" s="944"/>
      <c r="AG783" s="966"/>
      <c r="AH783" s="966"/>
      <c r="AI783" s="966"/>
      <c r="AJ783" s="944"/>
      <c r="AK783" s="944"/>
      <c r="AN783" s="886"/>
      <c r="AQ783" s="886"/>
      <c r="AR783" s="886"/>
    </row>
    <row r="784" spans="1:48" s="390" customFormat="1" ht="24.65" customHeight="1">
      <c r="A784" s="788"/>
      <c r="B784" s="958"/>
      <c r="C784" s="940"/>
      <c r="D784" s="940"/>
      <c r="E784" s="940"/>
      <c r="F784" s="959"/>
      <c r="G784" s="960"/>
      <c r="H784" s="958"/>
      <c r="I784" s="791"/>
      <c r="J784" s="513"/>
      <c r="K784" s="963">
        <f>K783*$Z$889</f>
        <v>160.93966365268042</v>
      </c>
      <c r="L784" s="513" t="s">
        <v>172</v>
      </c>
      <c r="M784" s="722"/>
      <c r="N784" s="722"/>
      <c r="O784" s="957"/>
      <c r="P784" s="722"/>
      <c r="Q784" s="611"/>
      <c r="R784" s="611"/>
      <c r="S784" s="624"/>
      <c r="T784" s="625"/>
      <c r="U784" s="611"/>
      <c r="V784" s="624"/>
      <c r="W784" s="624">
        <f t="shared" si="174"/>
        <v>0</v>
      </c>
      <c r="X784" s="624">
        <f t="shared" si="174"/>
        <v>0</v>
      </c>
      <c r="Y784" s="624">
        <f t="shared" si="174"/>
        <v>0</v>
      </c>
      <c r="Z784" s="624">
        <f t="shared" si="174"/>
        <v>0</v>
      </c>
      <c r="AA784" s="624">
        <f t="shared" si="174"/>
        <v>0</v>
      </c>
      <c r="AB784" s="624">
        <f t="shared" si="174"/>
        <v>0</v>
      </c>
      <c r="AC784" s="624">
        <f t="shared" si="174"/>
        <v>0</v>
      </c>
      <c r="AD784" s="624">
        <f t="shared" si="174"/>
        <v>0</v>
      </c>
      <c r="AE784" s="624">
        <f t="shared" si="174"/>
        <v>0</v>
      </c>
      <c r="AF784" s="471" t="e">
        <f>1/#REF!</f>
        <v>#REF!</v>
      </c>
      <c r="AG784" s="471" t="e">
        <f>#REF!*2.8</f>
        <v>#REF!</v>
      </c>
      <c r="AH784" s="471"/>
      <c r="AI784" s="471"/>
      <c r="AJ784" s="471"/>
      <c r="AK784" s="471"/>
      <c r="AL784" s="471"/>
      <c r="AM784" s="471"/>
      <c r="AN784" s="471"/>
      <c r="AO784" s="471"/>
      <c r="AR784" s="404"/>
      <c r="AU784" s="404"/>
      <c r="AV784" s="404"/>
    </row>
    <row r="785" spans="1:43" s="476" customFormat="1" ht="21.9" customHeight="1">
      <c r="A785" s="478"/>
      <c r="B785" s="763" t="s">
        <v>603</v>
      </c>
      <c r="C785" s="665"/>
      <c r="D785" s="665"/>
      <c r="E785" s="665"/>
      <c r="F785" s="751"/>
      <c r="G785" s="752"/>
      <c r="H785" s="651"/>
      <c r="I785" s="485"/>
      <c r="J785" s="479"/>
      <c r="K785" s="479"/>
      <c r="L785" s="483"/>
      <c r="M785" s="764"/>
      <c r="N785" s="764"/>
      <c r="O785" s="764"/>
      <c r="P785" s="764"/>
      <c r="Q785" s="756"/>
      <c r="R785" s="756"/>
      <c r="S785" s="757"/>
      <c r="T785" s="758"/>
      <c r="U785" s="759"/>
      <c r="V785" s="757"/>
      <c r="W785" s="757">
        <f t="shared" ref="W785:AE787" si="175">IF($R785=W$5,$V785,0)</f>
        <v>0</v>
      </c>
      <c r="X785" s="757">
        <f t="shared" si="175"/>
        <v>0</v>
      </c>
      <c r="Y785" s="757">
        <f t="shared" si="175"/>
        <v>0</v>
      </c>
      <c r="Z785" s="757">
        <f t="shared" si="175"/>
        <v>0</v>
      </c>
      <c r="AA785" s="757">
        <f t="shared" si="175"/>
        <v>0</v>
      </c>
      <c r="AB785" s="757">
        <f t="shared" si="175"/>
        <v>0</v>
      </c>
      <c r="AC785" s="757">
        <f t="shared" si="175"/>
        <v>0</v>
      </c>
      <c r="AD785" s="757">
        <f t="shared" si="175"/>
        <v>0</v>
      </c>
      <c r="AE785" s="757">
        <f t="shared" si="175"/>
        <v>0</v>
      </c>
      <c r="AF785" s="477"/>
      <c r="AG785" s="475"/>
      <c r="AH785" s="475"/>
      <c r="AI785" s="475"/>
      <c r="AJ785" s="475"/>
      <c r="AM785" s="477"/>
      <c r="AP785" s="477"/>
      <c r="AQ785" s="477"/>
    </row>
    <row r="786" spans="1:43" s="476" customFormat="1" ht="22.25" customHeight="1">
      <c r="A786" s="478"/>
      <c r="B786" s="763" t="s">
        <v>151</v>
      </c>
      <c r="C786" s="665"/>
      <c r="D786" s="665"/>
      <c r="E786" s="665"/>
      <c r="F786" s="751"/>
      <c r="G786" s="752"/>
      <c r="H786" s="752"/>
      <c r="I786" s="753"/>
      <c r="J786" s="492"/>
      <c r="K786" s="479"/>
      <c r="L786" s="483"/>
      <c r="M786" s="754">
        <f>F786*2+G786*2</f>
        <v>0</v>
      </c>
      <c r="N786" s="754">
        <f>M786*H786</f>
        <v>0</v>
      </c>
      <c r="O786" s="479">
        <f>F786*G786</f>
        <v>0</v>
      </c>
      <c r="P786" s="754"/>
      <c r="Q786" s="756"/>
      <c r="R786" s="756"/>
      <c r="S786" s="757"/>
      <c r="T786" s="758"/>
      <c r="U786" s="759"/>
      <c r="V786" s="757"/>
      <c r="W786" s="757">
        <f t="shared" si="175"/>
        <v>0</v>
      </c>
      <c r="X786" s="757">
        <f t="shared" si="175"/>
        <v>0</v>
      </c>
      <c r="Y786" s="757">
        <f t="shared" si="175"/>
        <v>0</v>
      </c>
      <c r="Z786" s="757">
        <f t="shared" si="175"/>
        <v>0</v>
      </c>
      <c r="AA786" s="757">
        <f t="shared" si="175"/>
        <v>0</v>
      </c>
      <c r="AB786" s="757">
        <f t="shared" si="175"/>
        <v>0</v>
      </c>
      <c r="AC786" s="757">
        <f t="shared" si="175"/>
        <v>0</v>
      </c>
      <c r="AD786" s="757">
        <f t="shared" si="175"/>
        <v>0</v>
      </c>
      <c r="AE786" s="757">
        <f t="shared" si="175"/>
        <v>0</v>
      </c>
      <c r="AF786" s="475"/>
      <c r="AG786" s="762"/>
      <c r="AH786" s="475"/>
      <c r="AI786" s="475"/>
      <c r="AJ786" s="475"/>
      <c r="AM786" s="477"/>
      <c r="AP786" s="477"/>
      <c r="AQ786" s="477"/>
    </row>
    <row r="787" spans="1:43" s="476" customFormat="1" ht="22.25" customHeight="1">
      <c r="A787" s="478"/>
      <c r="B787" s="657" t="s">
        <v>763</v>
      </c>
      <c r="C787" s="662"/>
      <c r="D787" s="662">
        <v>2</v>
      </c>
      <c r="E787" s="662">
        <v>2</v>
      </c>
      <c r="F787" s="498">
        <v>45</v>
      </c>
      <c r="G787" s="642">
        <v>0.5</v>
      </c>
      <c r="H787" s="642">
        <v>0.5</v>
      </c>
      <c r="I787" s="753"/>
      <c r="J787" s="492"/>
      <c r="K787" s="479"/>
      <c r="L787" s="441"/>
      <c r="M787" s="754"/>
      <c r="N787" s="754"/>
      <c r="O787" s="866"/>
      <c r="P787" s="754"/>
      <c r="Q787" s="756"/>
      <c r="R787" s="756"/>
      <c r="S787" s="757"/>
      <c r="T787" s="758"/>
      <c r="U787" s="759"/>
      <c r="V787" s="757"/>
      <c r="W787" s="757">
        <f t="shared" si="175"/>
        <v>0</v>
      </c>
      <c r="X787" s="757">
        <f t="shared" si="175"/>
        <v>0</v>
      </c>
      <c r="Y787" s="757">
        <f t="shared" si="175"/>
        <v>0</v>
      </c>
      <c r="Z787" s="757">
        <f t="shared" si="175"/>
        <v>0</v>
      </c>
      <c r="AA787" s="757">
        <f t="shared" si="175"/>
        <v>0</v>
      </c>
      <c r="AB787" s="757">
        <f t="shared" si="175"/>
        <v>0</v>
      </c>
      <c r="AC787" s="757">
        <f t="shared" si="175"/>
        <v>0</v>
      </c>
      <c r="AD787" s="757">
        <f t="shared" si="175"/>
        <v>0</v>
      </c>
      <c r="AE787" s="757">
        <f t="shared" si="175"/>
        <v>0</v>
      </c>
      <c r="AF787" s="475"/>
      <c r="AG787" s="762"/>
      <c r="AH787" s="475"/>
      <c r="AI787" s="475"/>
      <c r="AJ787" s="475"/>
      <c r="AM787" s="477"/>
      <c r="AP787" s="477"/>
      <c r="AQ787" s="477"/>
    </row>
    <row r="788" spans="1:43" s="476" customFormat="1" ht="22.25" customHeight="1">
      <c r="A788" s="478"/>
      <c r="B788" s="761" t="s">
        <v>620</v>
      </c>
      <c r="C788" s="665"/>
      <c r="D788" s="665"/>
      <c r="E788" s="665"/>
      <c r="F788" s="751"/>
      <c r="G788" s="752"/>
      <c r="H788" s="752"/>
      <c r="I788" s="753"/>
      <c r="J788" s="871"/>
      <c r="K788" s="479"/>
      <c r="L788" s="483"/>
      <c r="M788" s="754"/>
      <c r="N788" s="754"/>
      <c r="O788" s="866"/>
      <c r="P788" s="754"/>
      <c r="Q788" s="756"/>
      <c r="R788" s="756"/>
      <c r="S788" s="757"/>
      <c r="T788" s="758"/>
      <c r="U788" s="759"/>
      <c r="V788" s="757"/>
      <c r="W788" s="757">
        <f t="shared" ref="W788:AE812" si="176">IF($R788=W$5,$V788,0)</f>
        <v>0</v>
      </c>
      <c r="X788" s="757">
        <f t="shared" si="176"/>
        <v>0</v>
      </c>
      <c r="Y788" s="757">
        <f t="shared" si="176"/>
        <v>0</v>
      </c>
      <c r="Z788" s="757">
        <f t="shared" si="176"/>
        <v>0</v>
      </c>
      <c r="AA788" s="757">
        <f t="shared" si="176"/>
        <v>0</v>
      </c>
      <c r="AB788" s="757">
        <f t="shared" si="176"/>
        <v>0</v>
      </c>
      <c r="AC788" s="757">
        <f t="shared" si="176"/>
        <v>0</v>
      </c>
      <c r="AD788" s="757">
        <f t="shared" si="176"/>
        <v>0</v>
      </c>
      <c r="AE788" s="757">
        <f t="shared" si="176"/>
        <v>0</v>
      </c>
      <c r="AF788" s="475"/>
      <c r="AG788" s="762"/>
      <c r="AH788" s="475"/>
      <c r="AI788" s="475"/>
      <c r="AJ788" s="475"/>
      <c r="AM788" s="477"/>
      <c r="AP788" s="477"/>
      <c r="AQ788" s="477"/>
    </row>
    <row r="789" spans="1:43" s="776" customFormat="1" ht="22.25" customHeight="1">
      <c r="A789" s="769"/>
      <c r="B789" s="770" t="s">
        <v>484</v>
      </c>
      <c r="C789" s="665"/>
      <c r="D789" s="665">
        <v>2</v>
      </c>
      <c r="E789" s="665">
        <f>E787</f>
        <v>2</v>
      </c>
      <c r="F789" s="751">
        <f>U789</f>
        <v>13.715330691862237</v>
      </c>
      <c r="G789" s="773"/>
      <c r="H789" s="778"/>
      <c r="I789" s="774"/>
      <c r="J789" s="492">
        <f>IF(I789=0,1,I789)*IF(H789=0,1,H789)*IF(G789=0,1,G789)*IF(F789=0,1,F789)*IF(E789=0,1,E789)*IF(D789=0,1,D789)*IF(C789=0,1,C789)</f>
        <v>54.861322767448947</v>
      </c>
      <c r="K789" s="480"/>
      <c r="L789" s="774"/>
      <c r="M789" s="760">
        <f>G787/3.281</f>
        <v>0.15239256324291373</v>
      </c>
      <c r="N789" s="781">
        <f>F787/3.281</f>
        <v>13.715330691862237</v>
      </c>
      <c r="O789" s="768">
        <f>E789</f>
        <v>2</v>
      </c>
      <c r="P789" s="781">
        <f>(1.5/12)/3.281</f>
        <v>3.8098140810728431E-2</v>
      </c>
      <c r="Q789" s="756" t="s">
        <v>604</v>
      </c>
      <c r="R789" s="756">
        <v>10</v>
      </c>
      <c r="S789" s="757"/>
      <c r="T789" s="758">
        <f>D789</f>
        <v>2</v>
      </c>
      <c r="U789" s="759">
        <f>N789</f>
        <v>13.715330691862237</v>
      </c>
      <c r="V789" s="757">
        <f>T789*U789*O789</f>
        <v>54.861322767448947</v>
      </c>
      <c r="W789" s="757">
        <f t="shared" si="176"/>
        <v>0</v>
      </c>
      <c r="X789" s="757">
        <f t="shared" si="176"/>
        <v>0</v>
      </c>
      <c r="Y789" s="757">
        <f t="shared" si="176"/>
        <v>54.861322767448947</v>
      </c>
      <c r="Z789" s="757">
        <f t="shared" si="176"/>
        <v>0</v>
      </c>
      <c r="AA789" s="757">
        <f t="shared" si="176"/>
        <v>0</v>
      </c>
      <c r="AB789" s="757">
        <f t="shared" si="176"/>
        <v>0</v>
      </c>
      <c r="AC789" s="757">
        <f t="shared" si="176"/>
        <v>0</v>
      </c>
      <c r="AD789" s="757">
        <f t="shared" si="176"/>
        <v>0</v>
      </c>
      <c r="AE789" s="757">
        <f t="shared" si="176"/>
        <v>0</v>
      </c>
      <c r="AF789" s="772" t="e">
        <f>(#REF!+#REF!/12)-0.25+0.5+0.25*2</f>
        <v>#REF!</v>
      </c>
      <c r="AI789" s="777"/>
      <c r="AL789" s="777"/>
      <c r="AM789" s="777"/>
    </row>
    <row r="790" spans="1:43" s="776" customFormat="1" ht="22.25" customHeight="1">
      <c r="A790" s="769"/>
      <c r="B790" s="770" t="s">
        <v>601</v>
      </c>
      <c r="C790" s="665"/>
      <c r="D790" s="665">
        <f>T790</f>
        <v>91</v>
      </c>
      <c r="E790" s="665">
        <f>E789</f>
        <v>2</v>
      </c>
      <c r="F790" s="751">
        <f>U790</f>
        <v>0.18019628162145684</v>
      </c>
      <c r="G790" s="773"/>
      <c r="H790" s="778"/>
      <c r="I790" s="774"/>
      <c r="J790" s="492">
        <f>IF(I790=0,1,I790)*IF(H790=0,1,H790)*IF(G790=0,1,G790)*IF(F790=0,1,F790)*IF(E790=0,1,E790)*IF(D790=0,1,D790)*IF(C790=0,1,C790)</f>
        <v>32.795723255105145</v>
      </c>
      <c r="K790" s="480"/>
      <c r="L790" s="774"/>
      <c r="M790" s="760">
        <f>H787/3.281</f>
        <v>0.15239256324291373</v>
      </c>
      <c r="N790" s="781"/>
      <c r="O790" s="768">
        <f>E790</f>
        <v>2</v>
      </c>
      <c r="P790" s="781">
        <f>(1.5/12)/3.281</f>
        <v>3.8098140810728431E-2</v>
      </c>
      <c r="Q790" s="756" t="s">
        <v>463</v>
      </c>
      <c r="R790" s="756">
        <v>6.5</v>
      </c>
      <c r="S790" s="757">
        <f>6/(12*3.281)</f>
        <v>0.15239256324291375</v>
      </c>
      <c r="T790" s="758">
        <f>(ROUND(N789/S790,0))+1</f>
        <v>91</v>
      </c>
      <c r="U790" s="759">
        <f>M789-2*P790+2*8*R790/1000</f>
        <v>0.18019628162145684</v>
      </c>
      <c r="V790" s="757">
        <f>T790*U790*O790</f>
        <v>32.795723255105145</v>
      </c>
      <c r="W790" s="757">
        <f t="shared" si="176"/>
        <v>0</v>
      </c>
      <c r="X790" s="757">
        <f t="shared" si="176"/>
        <v>32.795723255105145</v>
      </c>
      <c r="Y790" s="757">
        <f t="shared" si="176"/>
        <v>0</v>
      </c>
      <c r="Z790" s="757">
        <f t="shared" si="176"/>
        <v>0</v>
      </c>
      <c r="AA790" s="757">
        <f t="shared" si="176"/>
        <v>0</v>
      </c>
      <c r="AB790" s="757">
        <f t="shared" si="176"/>
        <v>0</v>
      </c>
      <c r="AC790" s="757">
        <f t="shared" si="176"/>
        <v>0</v>
      </c>
      <c r="AD790" s="757">
        <f t="shared" si="176"/>
        <v>0</v>
      </c>
      <c r="AE790" s="757">
        <f t="shared" si="176"/>
        <v>0</v>
      </c>
      <c r="AF790" s="772" t="e">
        <f>(#REF!+#REF!/12)-0.25+0.5+0.25*2</f>
        <v>#REF!</v>
      </c>
      <c r="AI790" s="777"/>
      <c r="AL790" s="777"/>
      <c r="AM790" s="777"/>
    </row>
    <row r="791" spans="1:43" s="390" customFormat="1" ht="22.25" customHeight="1">
      <c r="A791" s="454"/>
      <c r="B791" s="657" t="s">
        <v>555</v>
      </c>
      <c r="C791" s="662"/>
      <c r="D791" s="662">
        <v>2</v>
      </c>
      <c r="E791" s="662">
        <v>2</v>
      </c>
      <c r="F791" s="498">
        <v>8</v>
      </c>
      <c r="G791" s="642">
        <f>G787</f>
        <v>0.5</v>
      </c>
      <c r="H791" s="642">
        <f>H787</f>
        <v>0.5</v>
      </c>
      <c r="I791" s="499"/>
      <c r="J791" s="507"/>
      <c r="K791" s="455"/>
      <c r="L791" s="302"/>
      <c r="M791" s="722"/>
      <c r="N791" s="722"/>
      <c r="O791" s="500"/>
      <c r="P791" s="722"/>
      <c r="Q791" s="611"/>
      <c r="R791" s="611"/>
      <c r="S791" s="624"/>
      <c r="T791" s="625"/>
      <c r="U791" s="626"/>
      <c r="V791" s="624"/>
      <c r="W791" s="624"/>
      <c r="X791" s="624"/>
      <c r="Y791" s="624"/>
      <c r="Z791" s="624"/>
      <c r="AA791" s="624"/>
      <c r="AB791" s="624"/>
      <c r="AC791" s="624"/>
      <c r="AD791" s="624"/>
      <c r="AE791" s="624"/>
      <c r="AF791" s="471"/>
      <c r="AG791" s="473"/>
      <c r="AH791" s="471"/>
      <c r="AI791" s="471"/>
      <c r="AJ791" s="471"/>
      <c r="AM791" s="404"/>
      <c r="AP791" s="404"/>
      <c r="AQ791" s="404"/>
    </row>
    <row r="792" spans="1:43" s="476" customFormat="1" ht="22.25" customHeight="1">
      <c r="A792" s="478"/>
      <c r="B792" s="761" t="s">
        <v>620</v>
      </c>
      <c r="C792" s="665"/>
      <c r="D792" s="665"/>
      <c r="E792" s="665"/>
      <c r="F792" s="751"/>
      <c r="G792" s="752"/>
      <c r="H792" s="752"/>
      <c r="I792" s="753"/>
      <c r="J792" s="871"/>
      <c r="K792" s="479"/>
      <c r="L792" s="483"/>
      <c r="M792" s="754"/>
      <c r="N792" s="754"/>
      <c r="O792" s="866"/>
      <c r="P792" s="754"/>
      <c r="Q792" s="756"/>
      <c r="R792" s="756"/>
      <c r="S792" s="757"/>
      <c r="T792" s="758"/>
      <c r="U792" s="759"/>
      <c r="V792" s="757"/>
      <c r="W792" s="757">
        <f t="shared" si="176"/>
        <v>0</v>
      </c>
      <c r="X792" s="757">
        <f t="shared" si="176"/>
        <v>0</v>
      </c>
      <c r="Y792" s="757">
        <f t="shared" si="176"/>
        <v>0</v>
      </c>
      <c r="Z792" s="757">
        <f t="shared" si="176"/>
        <v>0</v>
      </c>
      <c r="AA792" s="757">
        <f t="shared" si="176"/>
        <v>0</v>
      </c>
      <c r="AB792" s="757">
        <f t="shared" si="176"/>
        <v>0</v>
      </c>
      <c r="AC792" s="757">
        <f t="shared" si="176"/>
        <v>0</v>
      </c>
      <c r="AD792" s="757">
        <f t="shared" si="176"/>
        <v>0</v>
      </c>
      <c r="AE792" s="757">
        <f t="shared" si="176"/>
        <v>0</v>
      </c>
      <c r="AF792" s="475"/>
      <c r="AG792" s="762"/>
      <c r="AH792" s="475"/>
      <c r="AI792" s="475"/>
      <c r="AJ792" s="475"/>
      <c r="AM792" s="477"/>
      <c r="AP792" s="477"/>
      <c r="AQ792" s="477"/>
    </row>
    <row r="793" spans="1:43" s="776" customFormat="1" ht="22.25" customHeight="1">
      <c r="A793" s="769"/>
      <c r="B793" s="770" t="s">
        <v>484</v>
      </c>
      <c r="C793" s="665"/>
      <c r="D793" s="665">
        <v>2</v>
      </c>
      <c r="E793" s="665">
        <f>E791</f>
        <v>2</v>
      </c>
      <c r="F793" s="751">
        <f>U793</f>
        <v>2.4382810118866196</v>
      </c>
      <c r="G793" s="773"/>
      <c r="H793" s="778"/>
      <c r="I793" s="774"/>
      <c r="J793" s="492">
        <f>IF(I793=0,1,I793)*IF(H793=0,1,H793)*IF(G793=0,1,G793)*IF(F793=0,1,F793)*IF(E793=0,1,E793)*IF(D793=0,1,D793)*IF(C793=0,1,C793)</f>
        <v>9.7531240475464784</v>
      </c>
      <c r="K793" s="480"/>
      <c r="L793" s="774"/>
      <c r="M793" s="760">
        <f>G791/3.281</f>
        <v>0.15239256324291373</v>
      </c>
      <c r="N793" s="781">
        <f>F791/3.281</f>
        <v>2.4382810118866196</v>
      </c>
      <c r="O793" s="768">
        <f>E793</f>
        <v>2</v>
      </c>
      <c r="P793" s="781">
        <f>(1.5/12)/3.281</f>
        <v>3.8098140810728431E-2</v>
      </c>
      <c r="Q793" s="756" t="s">
        <v>604</v>
      </c>
      <c r="R793" s="756">
        <v>10</v>
      </c>
      <c r="S793" s="757"/>
      <c r="T793" s="758">
        <f>D793</f>
        <v>2</v>
      </c>
      <c r="U793" s="759">
        <f>N793</f>
        <v>2.4382810118866196</v>
      </c>
      <c r="V793" s="757">
        <f>T793*U793*O793</f>
        <v>9.7531240475464784</v>
      </c>
      <c r="W793" s="757">
        <f t="shared" si="176"/>
        <v>0</v>
      </c>
      <c r="X793" s="757">
        <f t="shared" si="176"/>
        <v>0</v>
      </c>
      <c r="Y793" s="757">
        <f t="shared" si="176"/>
        <v>9.7531240475464784</v>
      </c>
      <c r="Z793" s="757">
        <f t="shared" si="176"/>
        <v>0</v>
      </c>
      <c r="AA793" s="757">
        <f t="shared" si="176"/>
        <v>0</v>
      </c>
      <c r="AB793" s="757">
        <f t="shared" si="176"/>
        <v>0</v>
      </c>
      <c r="AC793" s="757">
        <f t="shared" si="176"/>
        <v>0</v>
      </c>
      <c r="AD793" s="757">
        <f t="shared" si="176"/>
        <v>0</v>
      </c>
      <c r="AE793" s="757">
        <f t="shared" si="176"/>
        <v>0</v>
      </c>
      <c r="AF793" s="772" t="e">
        <f>(#REF!+#REF!/12)-0.25+0.5+0.25*2</f>
        <v>#REF!</v>
      </c>
      <c r="AI793" s="777"/>
      <c r="AL793" s="777"/>
      <c r="AM793" s="777"/>
    </row>
    <row r="794" spans="1:43" s="776" customFormat="1" ht="22.25" customHeight="1">
      <c r="A794" s="769"/>
      <c r="B794" s="770" t="s">
        <v>601</v>
      </c>
      <c r="C794" s="665"/>
      <c r="D794" s="665">
        <f>T794</f>
        <v>17</v>
      </c>
      <c r="E794" s="665">
        <f>E793</f>
        <v>2</v>
      </c>
      <c r="F794" s="751">
        <f>U794</f>
        <v>0.18019628162145684</v>
      </c>
      <c r="G794" s="773"/>
      <c r="H794" s="778"/>
      <c r="I794" s="774"/>
      <c r="J794" s="492">
        <f>IF(I794=0,1,I794)*IF(H794=0,1,H794)*IF(G794=0,1,G794)*IF(F794=0,1,F794)*IF(E794=0,1,E794)*IF(D794=0,1,D794)*IF(C794=0,1,C794)</f>
        <v>6.1266735751295327</v>
      </c>
      <c r="K794" s="480"/>
      <c r="L794" s="774"/>
      <c r="M794" s="760">
        <f>H791/3.281</f>
        <v>0.15239256324291373</v>
      </c>
      <c r="N794" s="781"/>
      <c r="O794" s="768">
        <f>E794</f>
        <v>2</v>
      </c>
      <c r="P794" s="781">
        <f>(1.5/12)/3.281</f>
        <v>3.8098140810728431E-2</v>
      </c>
      <c r="Q794" s="756" t="s">
        <v>463</v>
      </c>
      <c r="R794" s="756">
        <v>6.5</v>
      </c>
      <c r="S794" s="757">
        <f>6/(12*3.281)</f>
        <v>0.15239256324291375</v>
      </c>
      <c r="T794" s="758">
        <f>(ROUND(N793/S794,0))+1</f>
        <v>17</v>
      </c>
      <c r="U794" s="759">
        <f>M793-2*P794+2*8*R794/1000</f>
        <v>0.18019628162145684</v>
      </c>
      <c r="V794" s="757">
        <f>T794*U794*O794</f>
        <v>6.1266735751295327</v>
      </c>
      <c r="W794" s="757">
        <f t="shared" si="176"/>
        <v>0</v>
      </c>
      <c r="X794" s="757">
        <f t="shared" si="176"/>
        <v>6.1266735751295327</v>
      </c>
      <c r="Y794" s="757">
        <f t="shared" si="176"/>
        <v>0</v>
      </c>
      <c r="Z794" s="757">
        <f t="shared" si="176"/>
        <v>0</v>
      </c>
      <c r="AA794" s="757">
        <f t="shared" si="176"/>
        <v>0</v>
      </c>
      <c r="AB794" s="757">
        <f t="shared" si="176"/>
        <v>0</v>
      </c>
      <c r="AC794" s="757">
        <f t="shared" si="176"/>
        <v>0</v>
      </c>
      <c r="AD794" s="757">
        <f t="shared" si="176"/>
        <v>0</v>
      </c>
      <c r="AE794" s="757">
        <f t="shared" si="176"/>
        <v>0</v>
      </c>
      <c r="AF794" s="772" t="e">
        <f>(#REF!+#REF!/12)-0.25+0.5+0.25*2</f>
        <v>#REF!</v>
      </c>
      <c r="AI794" s="777"/>
      <c r="AL794" s="777"/>
      <c r="AM794" s="777"/>
    </row>
    <row r="795" spans="1:43" s="390" customFormat="1" ht="22.25" customHeight="1">
      <c r="A795" s="454"/>
      <c r="B795" s="657" t="s">
        <v>772</v>
      </c>
      <c r="C795" s="662"/>
      <c r="D795" s="662">
        <v>2</v>
      </c>
      <c r="E795" s="662">
        <v>3</v>
      </c>
      <c r="F795" s="498">
        <v>5</v>
      </c>
      <c r="G795" s="642">
        <f>G791</f>
        <v>0.5</v>
      </c>
      <c r="H795" s="642">
        <f>H791</f>
        <v>0.5</v>
      </c>
      <c r="I795" s="499"/>
      <c r="J795" s="507"/>
      <c r="K795" s="455"/>
      <c r="L795" s="302"/>
      <c r="M795" s="722"/>
      <c r="N795" s="722"/>
      <c r="O795" s="500"/>
      <c r="P795" s="722"/>
      <c r="Q795" s="611"/>
      <c r="R795" s="611"/>
      <c r="S795" s="624"/>
      <c r="T795" s="625"/>
      <c r="U795" s="626"/>
      <c r="V795" s="624"/>
      <c r="W795" s="624">
        <f t="shared" ref="W795:AE795" si="177">IF($R795=W$5,$V795,0)</f>
        <v>0</v>
      </c>
      <c r="X795" s="624">
        <f t="shared" si="177"/>
        <v>0</v>
      </c>
      <c r="Y795" s="624">
        <f t="shared" si="177"/>
        <v>0</v>
      </c>
      <c r="Z795" s="624">
        <f t="shared" si="177"/>
        <v>0</v>
      </c>
      <c r="AA795" s="624">
        <f t="shared" si="177"/>
        <v>0</v>
      </c>
      <c r="AB795" s="624">
        <f t="shared" si="177"/>
        <v>0</v>
      </c>
      <c r="AC795" s="624">
        <f t="shared" si="177"/>
        <v>0</v>
      </c>
      <c r="AD795" s="624">
        <f t="shared" si="177"/>
        <v>0</v>
      </c>
      <c r="AE795" s="624">
        <f t="shared" si="177"/>
        <v>0</v>
      </c>
      <c r="AF795" s="471"/>
      <c r="AG795" s="473"/>
      <c r="AH795" s="471"/>
      <c r="AI795" s="471"/>
      <c r="AJ795" s="471"/>
      <c r="AM795" s="404"/>
      <c r="AP795" s="404"/>
      <c r="AQ795" s="404"/>
    </row>
    <row r="796" spans="1:43" s="476" customFormat="1" ht="22.25" customHeight="1">
      <c r="A796" s="478"/>
      <c r="B796" s="761" t="s">
        <v>620</v>
      </c>
      <c r="C796" s="665"/>
      <c r="D796" s="665"/>
      <c r="E796" s="665"/>
      <c r="F796" s="751"/>
      <c r="G796" s="752"/>
      <c r="H796" s="752"/>
      <c r="I796" s="753"/>
      <c r="J796" s="871"/>
      <c r="K796" s="479"/>
      <c r="L796" s="483"/>
      <c r="M796" s="754"/>
      <c r="N796" s="754"/>
      <c r="O796" s="866"/>
      <c r="P796" s="754"/>
      <c r="Q796" s="756"/>
      <c r="R796" s="756"/>
      <c r="S796" s="757"/>
      <c r="T796" s="758"/>
      <c r="U796" s="759"/>
      <c r="V796" s="757"/>
      <c r="W796" s="757">
        <f t="shared" si="176"/>
        <v>0</v>
      </c>
      <c r="X796" s="757">
        <f t="shared" si="176"/>
        <v>0</v>
      </c>
      <c r="Y796" s="757">
        <f t="shared" si="176"/>
        <v>0</v>
      </c>
      <c r="Z796" s="757">
        <f t="shared" si="176"/>
        <v>0</v>
      </c>
      <c r="AA796" s="757">
        <f t="shared" si="176"/>
        <v>0</v>
      </c>
      <c r="AB796" s="757">
        <f t="shared" si="176"/>
        <v>0</v>
      </c>
      <c r="AC796" s="757">
        <f t="shared" si="176"/>
        <v>0</v>
      </c>
      <c r="AD796" s="757">
        <f t="shared" si="176"/>
        <v>0</v>
      </c>
      <c r="AE796" s="757">
        <f t="shared" si="176"/>
        <v>0</v>
      </c>
      <c r="AF796" s="475"/>
      <c r="AG796" s="762"/>
      <c r="AH796" s="475"/>
      <c r="AI796" s="475"/>
      <c r="AJ796" s="475"/>
      <c r="AM796" s="477"/>
      <c r="AP796" s="477"/>
      <c r="AQ796" s="477"/>
    </row>
    <row r="797" spans="1:43" s="776" customFormat="1" ht="22.25" customHeight="1">
      <c r="A797" s="769"/>
      <c r="B797" s="770" t="s">
        <v>484</v>
      </c>
      <c r="C797" s="665"/>
      <c r="D797" s="665">
        <v>2</v>
      </c>
      <c r="E797" s="665">
        <f>E795</f>
        <v>3</v>
      </c>
      <c r="F797" s="751">
        <f>U797</f>
        <v>1.5239256324291375</v>
      </c>
      <c r="G797" s="773"/>
      <c r="H797" s="778"/>
      <c r="I797" s="774"/>
      <c r="J797" s="492">
        <f>IF(I797=0,1,I797)*IF(H797=0,1,H797)*IF(G797=0,1,G797)*IF(F797=0,1,F797)*IF(E797=0,1,E797)*IF(D797=0,1,D797)*IF(C797=0,1,C797)</f>
        <v>9.1435537945748244</v>
      </c>
      <c r="K797" s="480"/>
      <c r="L797" s="774"/>
      <c r="M797" s="760">
        <f>G795/3.281</f>
        <v>0.15239256324291373</v>
      </c>
      <c r="N797" s="781">
        <f>F795/3.281</f>
        <v>1.5239256324291375</v>
      </c>
      <c r="O797" s="768">
        <f>E797</f>
        <v>3</v>
      </c>
      <c r="P797" s="781">
        <f>(1.5/12)/3.281</f>
        <v>3.8098140810728431E-2</v>
      </c>
      <c r="Q797" s="756" t="s">
        <v>604</v>
      </c>
      <c r="R797" s="756">
        <v>10</v>
      </c>
      <c r="S797" s="757"/>
      <c r="T797" s="758">
        <f>D797</f>
        <v>2</v>
      </c>
      <c r="U797" s="759">
        <f>N797</f>
        <v>1.5239256324291375</v>
      </c>
      <c r="V797" s="757">
        <f>T797*U797*O797</f>
        <v>9.1435537945748244</v>
      </c>
      <c r="W797" s="757">
        <f t="shared" si="176"/>
        <v>0</v>
      </c>
      <c r="X797" s="757">
        <f t="shared" si="176"/>
        <v>0</v>
      </c>
      <c r="Y797" s="757">
        <f t="shared" si="176"/>
        <v>9.1435537945748244</v>
      </c>
      <c r="Z797" s="757">
        <f t="shared" si="176"/>
        <v>0</v>
      </c>
      <c r="AA797" s="757">
        <f t="shared" si="176"/>
        <v>0</v>
      </c>
      <c r="AB797" s="757">
        <f t="shared" si="176"/>
        <v>0</v>
      </c>
      <c r="AC797" s="757">
        <f t="shared" si="176"/>
        <v>0</v>
      </c>
      <c r="AD797" s="757">
        <f t="shared" si="176"/>
        <v>0</v>
      </c>
      <c r="AE797" s="757">
        <f t="shared" si="176"/>
        <v>0</v>
      </c>
      <c r="AF797" s="772" t="e">
        <f>(#REF!+#REF!/12)-0.25+0.5+0.25*2</f>
        <v>#REF!</v>
      </c>
      <c r="AI797" s="777"/>
      <c r="AL797" s="777"/>
      <c r="AM797" s="777"/>
    </row>
    <row r="798" spans="1:43" s="776" customFormat="1" ht="22.25" customHeight="1">
      <c r="A798" s="769"/>
      <c r="B798" s="770" t="s">
        <v>601</v>
      </c>
      <c r="C798" s="665"/>
      <c r="D798" s="665">
        <f>T798</f>
        <v>11</v>
      </c>
      <c r="E798" s="665">
        <f>E797</f>
        <v>3</v>
      </c>
      <c r="F798" s="751">
        <f>U798</f>
        <v>0.18019628162145684</v>
      </c>
      <c r="G798" s="773"/>
      <c r="H798" s="778"/>
      <c r="I798" s="774"/>
      <c r="J798" s="492">
        <f>IF(I798=0,1,I798)*IF(H798=0,1,H798)*IF(G798=0,1,G798)*IF(F798=0,1,F798)*IF(E798=0,1,E798)*IF(D798=0,1,D798)*IF(C798=0,1,C798)</f>
        <v>5.9464772935080763</v>
      </c>
      <c r="K798" s="480"/>
      <c r="L798" s="774"/>
      <c r="M798" s="760">
        <f>H795/3.281</f>
        <v>0.15239256324291373</v>
      </c>
      <c r="N798" s="781"/>
      <c r="O798" s="768">
        <f>E798</f>
        <v>3</v>
      </c>
      <c r="P798" s="781">
        <f>(1.5/12)/3.281</f>
        <v>3.8098140810728431E-2</v>
      </c>
      <c r="Q798" s="756" t="s">
        <v>463</v>
      </c>
      <c r="R798" s="756">
        <v>6.5</v>
      </c>
      <c r="S798" s="757">
        <f>6/(12*3.281)</f>
        <v>0.15239256324291375</v>
      </c>
      <c r="T798" s="758">
        <f>(ROUND(N797/S798,0))+1</f>
        <v>11</v>
      </c>
      <c r="U798" s="759">
        <f>M797-2*P798+2*8*R798/1000</f>
        <v>0.18019628162145684</v>
      </c>
      <c r="V798" s="757">
        <f>T798*U798*O798</f>
        <v>5.9464772935080763</v>
      </c>
      <c r="W798" s="757">
        <f t="shared" si="176"/>
        <v>0</v>
      </c>
      <c r="X798" s="757">
        <f t="shared" si="176"/>
        <v>5.9464772935080763</v>
      </c>
      <c r="Y798" s="757">
        <f t="shared" si="176"/>
        <v>0</v>
      </c>
      <c r="Z798" s="757">
        <f t="shared" si="176"/>
        <v>0</v>
      </c>
      <c r="AA798" s="757">
        <f t="shared" si="176"/>
        <v>0</v>
      </c>
      <c r="AB798" s="757">
        <f t="shared" si="176"/>
        <v>0</v>
      </c>
      <c r="AC798" s="757">
        <f t="shared" si="176"/>
        <v>0</v>
      </c>
      <c r="AD798" s="757">
        <f t="shared" si="176"/>
        <v>0</v>
      </c>
      <c r="AE798" s="757">
        <f t="shared" si="176"/>
        <v>0</v>
      </c>
      <c r="AF798" s="772" t="e">
        <f>(#REF!+#REF!/12)-0.25+0.5+0.25*2</f>
        <v>#REF!</v>
      </c>
      <c r="AI798" s="777"/>
      <c r="AL798" s="777"/>
      <c r="AM798" s="777"/>
    </row>
    <row r="799" spans="1:43" s="390" customFormat="1" ht="22.25" customHeight="1">
      <c r="A799" s="454"/>
      <c r="B799" s="657" t="s">
        <v>472</v>
      </c>
      <c r="C799" s="662"/>
      <c r="D799" s="662">
        <v>2</v>
      </c>
      <c r="E799" s="662">
        <v>1</v>
      </c>
      <c r="F799" s="498">
        <v>30</v>
      </c>
      <c r="G799" s="642">
        <f>G795</f>
        <v>0.5</v>
      </c>
      <c r="H799" s="642">
        <f>H795</f>
        <v>0.5</v>
      </c>
      <c r="I799" s="499"/>
      <c r="J799" s="507"/>
      <c r="K799" s="455"/>
      <c r="L799" s="302"/>
      <c r="M799" s="722"/>
      <c r="N799" s="722"/>
      <c r="O799" s="500"/>
      <c r="P799" s="722"/>
      <c r="Q799" s="611"/>
      <c r="R799" s="611"/>
      <c r="S799" s="624"/>
      <c r="T799" s="625"/>
      <c r="U799" s="626"/>
      <c r="V799" s="624"/>
      <c r="W799" s="624"/>
      <c r="X799" s="624"/>
      <c r="Y799" s="624"/>
      <c r="Z799" s="624"/>
      <c r="AA799" s="624"/>
      <c r="AB799" s="624"/>
      <c r="AC799" s="624"/>
      <c r="AD799" s="624"/>
      <c r="AE799" s="624"/>
      <c r="AF799" s="471"/>
      <c r="AG799" s="473"/>
      <c r="AH799" s="471"/>
      <c r="AI799" s="471"/>
      <c r="AJ799" s="471"/>
      <c r="AM799" s="404"/>
      <c r="AP799" s="404"/>
      <c r="AQ799" s="404"/>
    </row>
    <row r="800" spans="1:43" s="476" customFormat="1" ht="22.25" customHeight="1">
      <c r="A800" s="478"/>
      <c r="B800" s="761" t="s">
        <v>620</v>
      </c>
      <c r="C800" s="665"/>
      <c r="D800" s="665"/>
      <c r="E800" s="665"/>
      <c r="F800" s="751"/>
      <c r="G800" s="752"/>
      <c r="H800" s="752"/>
      <c r="I800" s="753"/>
      <c r="J800" s="871"/>
      <c r="K800" s="479"/>
      <c r="L800" s="483"/>
      <c r="M800" s="754"/>
      <c r="N800" s="754"/>
      <c r="O800" s="866"/>
      <c r="P800" s="754"/>
      <c r="Q800" s="756"/>
      <c r="R800" s="756"/>
      <c r="S800" s="757"/>
      <c r="T800" s="758"/>
      <c r="U800" s="759"/>
      <c r="V800" s="757"/>
      <c r="W800" s="757">
        <f t="shared" si="176"/>
        <v>0</v>
      </c>
      <c r="X800" s="757">
        <f t="shared" si="176"/>
        <v>0</v>
      </c>
      <c r="Y800" s="757">
        <f t="shared" si="176"/>
        <v>0</v>
      </c>
      <c r="Z800" s="757">
        <f t="shared" si="176"/>
        <v>0</v>
      </c>
      <c r="AA800" s="757">
        <f t="shared" si="176"/>
        <v>0</v>
      </c>
      <c r="AB800" s="757">
        <f t="shared" si="176"/>
        <v>0</v>
      </c>
      <c r="AC800" s="757">
        <f t="shared" si="176"/>
        <v>0</v>
      </c>
      <c r="AD800" s="757">
        <f t="shared" si="176"/>
        <v>0</v>
      </c>
      <c r="AE800" s="757">
        <f t="shared" si="176"/>
        <v>0</v>
      </c>
      <c r="AF800" s="475"/>
      <c r="AG800" s="762"/>
      <c r="AH800" s="475"/>
      <c r="AI800" s="475"/>
      <c r="AJ800" s="475"/>
      <c r="AM800" s="477"/>
      <c r="AP800" s="477"/>
      <c r="AQ800" s="477"/>
    </row>
    <row r="801" spans="1:43" s="776" customFormat="1" ht="22.25" customHeight="1">
      <c r="A801" s="769"/>
      <c r="B801" s="770" t="s">
        <v>484</v>
      </c>
      <c r="C801" s="665"/>
      <c r="D801" s="665">
        <v>2</v>
      </c>
      <c r="E801" s="665">
        <f>E799</f>
        <v>1</v>
      </c>
      <c r="F801" s="751">
        <f>U801</f>
        <v>9.1435537945748244</v>
      </c>
      <c r="G801" s="773"/>
      <c r="H801" s="778"/>
      <c r="I801" s="774"/>
      <c r="J801" s="492">
        <f>IF(I801=0,1,I801)*IF(H801=0,1,H801)*IF(G801=0,1,G801)*IF(F801=0,1,F801)*IF(E801=0,1,E801)*IF(D801=0,1,D801)*IF(C801=0,1,C801)</f>
        <v>18.287107589149649</v>
      </c>
      <c r="K801" s="480"/>
      <c r="L801" s="774"/>
      <c r="M801" s="760">
        <f>G799/3.281</f>
        <v>0.15239256324291373</v>
      </c>
      <c r="N801" s="781">
        <f>F799/3.281</f>
        <v>9.1435537945748244</v>
      </c>
      <c r="O801" s="768">
        <f>E801</f>
        <v>1</v>
      </c>
      <c r="P801" s="781">
        <f>(1.5/12)/3.281</f>
        <v>3.8098140810728431E-2</v>
      </c>
      <c r="Q801" s="756" t="s">
        <v>604</v>
      </c>
      <c r="R801" s="756">
        <v>10</v>
      </c>
      <c r="S801" s="757"/>
      <c r="T801" s="758">
        <f>D801</f>
        <v>2</v>
      </c>
      <c r="U801" s="759">
        <f>N801</f>
        <v>9.1435537945748244</v>
      </c>
      <c r="V801" s="757">
        <f>T801*U801*O801</f>
        <v>18.287107589149649</v>
      </c>
      <c r="W801" s="757">
        <f t="shared" si="176"/>
        <v>0</v>
      </c>
      <c r="X801" s="757">
        <f t="shared" si="176"/>
        <v>0</v>
      </c>
      <c r="Y801" s="757">
        <f t="shared" si="176"/>
        <v>18.287107589149649</v>
      </c>
      <c r="Z801" s="757">
        <f t="shared" si="176"/>
        <v>0</v>
      </c>
      <c r="AA801" s="757">
        <f t="shared" si="176"/>
        <v>0</v>
      </c>
      <c r="AB801" s="757">
        <f t="shared" si="176"/>
        <v>0</v>
      </c>
      <c r="AC801" s="757">
        <f t="shared" si="176"/>
        <v>0</v>
      </c>
      <c r="AD801" s="757">
        <f t="shared" si="176"/>
        <v>0</v>
      </c>
      <c r="AE801" s="757">
        <f t="shared" si="176"/>
        <v>0</v>
      </c>
      <c r="AF801" s="772" t="e">
        <f>(#REF!+#REF!/12)-0.25+0.5+0.25*2</f>
        <v>#REF!</v>
      </c>
      <c r="AI801" s="777"/>
      <c r="AL801" s="777"/>
      <c r="AM801" s="777"/>
    </row>
    <row r="802" spans="1:43" s="776" customFormat="1" ht="22.25" customHeight="1">
      <c r="A802" s="769"/>
      <c r="B802" s="770" t="s">
        <v>601</v>
      </c>
      <c r="C802" s="665"/>
      <c r="D802" s="665">
        <f>T802</f>
        <v>61</v>
      </c>
      <c r="E802" s="665">
        <f>E801</f>
        <v>1</v>
      </c>
      <c r="F802" s="751">
        <f>U802</f>
        <v>0.18019628162145684</v>
      </c>
      <c r="G802" s="773"/>
      <c r="H802" s="778"/>
      <c r="I802" s="774"/>
      <c r="J802" s="492">
        <f>IF(I802=0,1,I802)*IF(H802=0,1,H802)*IF(G802=0,1,G802)*IF(F802=0,1,F802)*IF(E802=0,1,E802)*IF(D802=0,1,D802)*IF(C802=0,1,C802)</f>
        <v>10.991973178908868</v>
      </c>
      <c r="K802" s="480"/>
      <c r="L802" s="774"/>
      <c r="M802" s="760">
        <f>H799/3.281</f>
        <v>0.15239256324291373</v>
      </c>
      <c r="N802" s="781"/>
      <c r="O802" s="768">
        <f>E802</f>
        <v>1</v>
      </c>
      <c r="P802" s="781">
        <f>(1.5/12)/3.281</f>
        <v>3.8098140810728431E-2</v>
      </c>
      <c r="Q802" s="756" t="s">
        <v>463</v>
      </c>
      <c r="R802" s="756">
        <v>6.5</v>
      </c>
      <c r="S802" s="757">
        <f>6/(12*3.281)</f>
        <v>0.15239256324291375</v>
      </c>
      <c r="T802" s="758">
        <f>(ROUND(N801/S802,0))+1</f>
        <v>61</v>
      </c>
      <c r="U802" s="759">
        <f>M801-2*P802+2*8*R802/1000</f>
        <v>0.18019628162145684</v>
      </c>
      <c r="V802" s="757">
        <f>T802*U802*O802</f>
        <v>10.991973178908868</v>
      </c>
      <c r="W802" s="757">
        <f t="shared" si="176"/>
        <v>0</v>
      </c>
      <c r="X802" s="757">
        <f t="shared" si="176"/>
        <v>10.991973178908868</v>
      </c>
      <c r="Y802" s="757">
        <f t="shared" si="176"/>
        <v>0</v>
      </c>
      <c r="Z802" s="757">
        <f t="shared" si="176"/>
        <v>0</v>
      </c>
      <c r="AA802" s="757">
        <f t="shared" si="176"/>
        <v>0</v>
      </c>
      <c r="AB802" s="757">
        <f t="shared" si="176"/>
        <v>0</v>
      </c>
      <c r="AC802" s="757">
        <f t="shared" si="176"/>
        <v>0</v>
      </c>
      <c r="AD802" s="757">
        <f t="shared" si="176"/>
        <v>0</v>
      </c>
      <c r="AE802" s="757">
        <f t="shared" si="176"/>
        <v>0</v>
      </c>
      <c r="AF802" s="772" t="e">
        <f>(#REF!+#REF!/12)-0.25+0.5+0.25*2</f>
        <v>#REF!</v>
      </c>
      <c r="AI802" s="777"/>
      <c r="AL802" s="777"/>
      <c r="AM802" s="777"/>
    </row>
    <row r="803" spans="1:43" s="390" customFormat="1" ht="22.25" customHeight="1">
      <c r="A803" s="454"/>
      <c r="B803" s="657" t="s">
        <v>473</v>
      </c>
      <c r="C803" s="662"/>
      <c r="D803" s="662">
        <v>2</v>
      </c>
      <c r="E803" s="662">
        <v>1</v>
      </c>
      <c r="F803" s="498">
        <v>15</v>
      </c>
      <c r="G803" s="642">
        <f>G799</f>
        <v>0.5</v>
      </c>
      <c r="H803" s="642">
        <f>H799</f>
        <v>0.5</v>
      </c>
      <c r="I803" s="499"/>
      <c r="J803" s="507"/>
      <c r="K803" s="455"/>
      <c r="L803" s="302"/>
      <c r="M803" s="722"/>
      <c r="N803" s="722"/>
      <c r="O803" s="500"/>
      <c r="P803" s="722"/>
      <c r="Q803" s="611"/>
      <c r="R803" s="611"/>
      <c r="S803" s="624"/>
      <c r="T803" s="625"/>
      <c r="U803" s="626"/>
      <c r="V803" s="624"/>
      <c r="W803" s="624"/>
      <c r="X803" s="624"/>
      <c r="Y803" s="624"/>
      <c r="Z803" s="624"/>
      <c r="AA803" s="624"/>
      <c r="AB803" s="624"/>
      <c r="AC803" s="624"/>
      <c r="AD803" s="624"/>
      <c r="AE803" s="624"/>
      <c r="AF803" s="471"/>
      <c r="AG803" s="473"/>
      <c r="AH803" s="471"/>
      <c r="AI803" s="471"/>
      <c r="AJ803" s="471"/>
      <c r="AM803" s="404"/>
      <c r="AP803" s="404"/>
      <c r="AQ803" s="404"/>
    </row>
    <row r="804" spans="1:43" s="476" customFormat="1" ht="22.25" customHeight="1">
      <c r="A804" s="478"/>
      <c r="B804" s="761" t="s">
        <v>620</v>
      </c>
      <c r="C804" s="665"/>
      <c r="D804" s="665"/>
      <c r="E804" s="665"/>
      <c r="F804" s="751"/>
      <c r="G804" s="752"/>
      <c r="H804" s="752"/>
      <c r="I804" s="753"/>
      <c r="J804" s="871"/>
      <c r="K804" s="479"/>
      <c r="L804" s="483"/>
      <c r="M804" s="754"/>
      <c r="N804" s="754"/>
      <c r="O804" s="866"/>
      <c r="P804" s="754"/>
      <c r="Q804" s="756"/>
      <c r="R804" s="756"/>
      <c r="S804" s="757"/>
      <c r="T804" s="758"/>
      <c r="U804" s="759"/>
      <c r="V804" s="757"/>
      <c r="W804" s="757">
        <f t="shared" si="176"/>
        <v>0</v>
      </c>
      <c r="X804" s="757">
        <f t="shared" si="176"/>
        <v>0</v>
      </c>
      <c r="Y804" s="757">
        <f t="shared" si="176"/>
        <v>0</v>
      </c>
      <c r="Z804" s="757">
        <f t="shared" si="176"/>
        <v>0</v>
      </c>
      <c r="AA804" s="757">
        <f t="shared" si="176"/>
        <v>0</v>
      </c>
      <c r="AB804" s="757">
        <f t="shared" si="176"/>
        <v>0</v>
      </c>
      <c r="AC804" s="757">
        <f t="shared" si="176"/>
        <v>0</v>
      </c>
      <c r="AD804" s="757">
        <f t="shared" si="176"/>
        <v>0</v>
      </c>
      <c r="AE804" s="757">
        <f t="shared" si="176"/>
        <v>0</v>
      </c>
      <c r="AF804" s="475"/>
      <c r="AG804" s="762"/>
      <c r="AH804" s="475"/>
      <c r="AI804" s="475"/>
      <c r="AJ804" s="475"/>
      <c r="AM804" s="477"/>
      <c r="AP804" s="477"/>
      <c r="AQ804" s="477"/>
    </row>
    <row r="805" spans="1:43" s="776" customFormat="1" ht="22.25" customHeight="1">
      <c r="A805" s="769"/>
      <c r="B805" s="770" t="s">
        <v>484</v>
      </c>
      <c r="C805" s="665"/>
      <c r="D805" s="665">
        <v>2</v>
      </c>
      <c r="E805" s="665">
        <f>E803</f>
        <v>1</v>
      </c>
      <c r="F805" s="751">
        <f>U805</f>
        <v>4.5717768972874122</v>
      </c>
      <c r="G805" s="773"/>
      <c r="H805" s="778"/>
      <c r="I805" s="774"/>
      <c r="J805" s="492">
        <f>IF(I805=0,1,I805)*IF(H805=0,1,H805)*IF(G805=0,1,G805)*IF(F805=0,1,F805)*IF(E805=0,1,E805)*IF(D805=0,1,D805)*IF(C805=0,1,C805)</f>
        <v>9.1435537945748244</v>
      </c>
      <c r="K805" s="480"/>
      <c r="L805" s="774"/>
      <c r="M805" s="760">
        <f>G803/3.281</f>
        <v>0.15239256324291373</v>
      </c>
      <c r="N805" s="781">
        <f>F803/3.281</f>
        <v>4.5717768972874122</v>
      </c>
      <c r="O805" s="768">
        <f>E805</f>
        <v>1</v>
      </c>
      <c r="P805" s="781">
        <f>(1.5/12)/3.281</f>
        <v>3.8098140810728431E-2</v>
      </c>
      <c r="Q805" s="756" t="s">
        <v>604</v>
      </c>
      <c r="R805" s="756">
        <v>10</v>
      </c>
      <c r="S805" s="757"/>
      <c r="T805" s="758">
        <f>D805</f>
        <v>2</v>
      </c>
      <c r="U805" s="759">
        <f>N805</f>
        <v>4.5717768972874122</v>
      </c>
      <c r="V805" s="757">
        <f>T805*U805*O805</f>
        <v>9.1435537945748244</v>
      </c>
      <c r="W805" s="757">
        <f t="shared" si="176"/>
        <v>0</v>
      </c>
      <c r="X805" s="757">
        <f t="shared" si="176"/>
        <v>0</v>
      </c>
      <c r="Y805" s="757">
        <f t="shared" si="176"/>
        <v>9.1435537945748244</v>
      </c>
      <c r="Z805" s="757">
        <f t="shared" si="176"/>
        <v>0</v>
      </c>
      <c r="AA805" s="757">
        <f t="shared" si="176"/>
        <v>0</v>
      </c>
      <c r="AB805" s="757">
        <f t="shared" si="176"/>
        <v>0</v>
      </c>
      <c r="AC805" s="757">
        <f t="shared" si="176"/>
        <v>0</v>
      </c>
      <c r="AD805" s="757">
        <f t="shared" si="176"/>
        <v>0</v>
      </c>
      <c r="AE805" s="757">
        <f t="shared" si="176"/>
        <v>0</v>
      </c>
      <c r="AF805" s="772" t="e">
        <f>(#REF!+#REF!/12)-0.25+0.5+0.25*2</f>
        <v>#REF!</v>
      </c>
      <c r="AI805" s="777"/>
      <c r="AL805" s="777"/>
      <c r="AM805" s="777"/>
    </row>
    <row r="806" spans="1:43" s="776" customFormat="1" ht="22.25" customHeight="1">
      <c r="A806" s="769"/>
      <c r="B806" s="770" t="s">
        <v>601</v>
      </c>
      <c r="C806" s="665"/>
      <c r="D806" s="665">
        <f>T806</f>
        <v>31</v>
      </c>
      <c r="E806" s="665">
        <f>E805</f>
        <v>1</v>
      </c>
      <c r="F806" s="751">
        <f>U806</f>
        <v>0.18019628162145684</v>
      </c>
      <c r="G806" s="773"/>
      <c r="H806" s="778"/>
      <c r="I806" s="774"/>
      <c r="J806" s="492">
        <f>IF(I806=0,1,I806)*IF(H806=0,1,H806)*IF(G806=0,1,G806)*IF(F806=0,1,F806)*IF(E806=0,1,E806)*IF(D806=0,1,D806)*IF(C806=0,1,C806)</f>
        <v>5.5860847302651617</v>
      </c>
      <c r="K806" s="480"/>
      <c r="L806" s="774"/>
      <c r="M806" s="760">
        <f>H803/3.281</f>
        <v>0.15239256324291373</v>
      </c>
      <c r="N806" s="781"/>
      <c r="O806" s="768">
        <f>E806</f>
        <v>1</v>
      </c>
      <c r="P806" s="781">
        <f>(1.5/12)/3.281</f>
        <v>3.8098140810728431E-2</v>
      </c>
      <c r="Q806" s="756" t="s">
        <v>463</v>
      </c>
      <c r="R806" s="756">
        <v>6.5</v>
      </c>
      <c r="S806" s="757">
        <f>6/(12*3.281)</f>
        <v>0.15239256324291375</v>
      </c>
      <c r="T806" s="758">
        <f>(ROUND(N805/S806,0))+1</f>
        <v>31</v>
      </c>
      <c r="U806" s="759">
        <f>M805-2*P806+2*8*R806/1000</f>
        <v>0.18019628162145684</v>
      </c>
      <c r="V806" s="757">
        <f>T806*U806*O806</f>
        <v>5.5860847302651617</v>
      </c>
      <c r="W806" s="757">
        <f t="shared" si="176"/>
        <v>0</v>
      </c>
      <c r="X806" s="757">
        <f t="shared" si="176"/>
        <v>5.5860847302651617</v>
      </c>
      <c r="Y806" s="757">
        <f t="shared" si="176"/>
        <v>0</v>
      </c>
      <c r="Z806" s="757">
        <f t="shared" si="176"/>
        <v>0</v>
      </c>
      <c r="AA806" s="757">
        <f t="shared" si="176"/>
        <v>0</v>
      </c>
      <c r="AB806" s="757">
        <f t="shared" si="176"/>
        <v>0</v>
      </c>
      <c r="AC806" s="757">
        <f t="shared" si="176"/>
        <v>0</v>
      </c>
      <c r="AD806" s="757">
        <f t="shared" si="176"/>
        <v>0</v>
      </c>
      <c r="AE806" s="757">
        <f t="shared" si="176"/>
        <v>0</v>
      </c>
      <c r="AF806" s="772" t="e">
        <f>(#REF!+#REF!/12)-0.25+0.5+0.25*2</f>
        <v>#REF!</v>
      </c>
      <c r="AI806" s="777"/>
      <c r="AL806" s="777"/>
      <c r="AM806" s="777"/>
    </row>
    <row r="807" spans="1:43" s="390" customFormat="1" ht="22.25" customHeight="1">
      <c r="A807" s="454"/>
      <c r="B807" s="657" t="s">
        <v>609</v>
      </c>
      <c r="C807" s="662"/>
      <c r="D807" s="662">
        <v>2</v>
      </c>
      <c r="E807" s="662">
        <v>1</v>
      </c>
      <c r="F807" s="498">
        <v>15</v>
      </c>
      <c r="G807" s="642">
        <f>G803</f>
        <v>0.5</v>
      </c>
      <c r="H807" s="642">
        <f>H803</f>
        <v>0.5</v>
      </c>
      <c r="I807" s="499"/>
      <c r="J807" s="507"/>
      <c r="K807" s="455"/>
      <c r="L807" s="302"/>
      <c r="M807" s="722"/>
      <c r="N807" s="722"/>
      <c r="O807" s="500"/>
      <c r="P807" s="722"/>
      <c r="Q807" s="611"/>
      <c r="R807" s="611"/>
      <c r="S807" s="624"/>
      <c r="T807" s="625"/>
      <c r="U807" s="626"/>
      <c r="V807" s="624"/>
      <c r="W807" s="624"/>
      <c r="X807" s="624"/>
      <c r="Y807" s="624"/>
      <c r="Z807" s="624"/>
      <c r="AA807" s="624"/>
      <c r="AB807" s="624"/>
      <c r="AC807" s="624"/>
      <c r="AD807" s="624"/>
      <c r="AE807" s="624"/>
      <c r="AF807" s="471"/>
      <c r="AG807" s="473"/>
      <c r="AH807" s="471"/>
      <c r="AI807" s="471"/>
      <c r="AJ807" s="471"/>
      <c r="AM807" s="404"/>
      <c r="AP807" s="404"/>
      <c r="AQ807" s="404"/>
    </row>
    <row r="808" spans="1:43" s="476" customFormat="1" ht="22.25" customHeight="1">
      <c r="A808" s="478"/>
      <c r="B808" s="761" t="s">
        <v>620</v>
      </c>
      <c r="C808" s="665"/>
      <c r="D808" s="665"/>
      <c r="E808" s="665"/>
      <c r="F808" s="751"/>
      <c r="G808" s="752"/>
      <c r="H808" s="752"/>
      <c r="I808" s="753"/>
      <c r="J808" s="871"/>
      <c r="K808" s="479"/>
      <c r="L808" s="483"/>
      <c r="M808" s="754"/>
      <c r="N808" s="754"/>
      <c r="O808" s="866"/>
      <c r="P808" s="754"/>
      <c r="Q808" s="756"/>
      <c r="R808" s="756"/>
      <c r="S808" s="757"/>
      <c r="T808" s="758"/>
      <c r="U808" s="759"/>
      <c r="V808" s="757"/>
      <c r="W808" s="757">
        <f t="shared" si="176"/>
        <v>0</v>
      </c>
      <c r="X808" s="757">
        <f t="shared" si="176"/>
        <v>0</v>
      </c>
      <c r="Y808" s="757">
        <f t="shared" si="176"/>
        <v>0</v>
      </c>
      <c r="Z808" s="757">
        <f t="shared" si="176"/>
        <v>0</v>
      </c>
      <c r="AA808" s="757">
        <f t="shared" si="176"/>
        <v>0</v>
      </c>
      <c r="AB808" s="757">
        <f t="shared" si="176"/>
        <v>0</v>
      </c>
      <c r="AC808" s="757">
        <f t="shared" si="176"/>
        <v>0</v>
      </c>
      <c r="AD808" s="757">
        <f t="shared" si="176"/>
        <v>0</v>
      </c>
      <c r="AE808" s="757">
        <f t="shared" si="176"/>
        <v>0</v>
      </c>
      <c r="AF808" s="475"/>
      <c r="AG808" s="762"/>
      <c r="AH808" s="475"/>
      <c r="AI808" s="475"/>
      <c r="AJ808" s="475"/>
      <c r="AM808" s="477"/>
      <c r="AP808" s="477"/>
      <c r="AQ808" s="477"/>
    </row>
    <row r="809" spans="1:43" s="776" customFormat="1" ht="22.25" customHeight="1">
      <c r="A809" s="769"/>
      <c r="B809" s="770" t="s">
        <v>484</v>
      </c>
      <c r="C809" s="665"/>
      <c r="D809" s="665">
        <v>2</v>
      </c>
      <c r="E809" s="665">
        <f>E807</f>
        <v>1</v>
      </c>
      <c r="F809" s="751">
        <f>U809</f>
        <v>4.5717768972874122</v>
      </c>
      <c r="G809" s="773"/>
      <c r="H809" s="778"/>
      <c r="I809" s="774"/>
      <c r="J809" s="492">
        <f>IF(I809=0,1,I809)*IF(H809=0,1,H809)*IF(G809=0,1,G809)*IF(F809=0,1,F809)*IF(E809=0,1,E809)*IF(D809=0,1,D809)*IF(C809=0,1,C809)</f>
        <v>9.1435537945748244</v>
      </c>
      <c r="K809" s="480"/>
      <c r="L809" s="774"/>
      <c r="M809" s="760">
        <f>G807/3.281</f>
        <v>0.15239256324291373</v>
      </c>
      <c r="N809" s="781">
        <f>F807/3.281</f>
        <v>4.5717768972874122</v>
      </c>
      <c r="O809" s="768">
        <f>E809</f>
        <v>1</v>
      </c>
      <c r="P809" s="781">
        <f>(1.5/12)/3.281</f>
        <v>3.8098140810728431E-2</v>
      </c>
      <c r="Q809" s="756" t="s">
        <v>604</v>
      </c>
      <c r="R809" s="756">
        <v>10</v>
      </c>
      <c r="S809" s="757"/>
      <c r="T809" s="758">
        <f>D809</f>
        <v>2</v>
      </c>
      <c r="U809" s="759">
        <f>N809</f>
        <v>4.5717768972874122</v>
      </c>
      <c r="V809" s="757">
        <f>T809*U809*O809</f>
        <v>9.1435537945748244</v>
      </c>
      <c r="W809" s="757">
        <f t="shared" si="176"/>
        <v>0</v>
      </c>
      <c r="X809" s="757">
        <f t="shared" si="176"/>
        <v>0</v>
      </c>
      <c r="Y809" s="757">
        <f t="shared" si="176"/>
        <v>9.1435537945748244</v>
      </c>
      <c r="Z809" s="757">
        <f t="shared" si="176"/>
        <v>0</v>
      </c>
      <c r="AA809" s="757">
        <f t="shared" si="176"/>
        <v>0</v>
      </c>
      <c r="AB809" s="757">
        <f t="shared" si="176"/>
        <v>0</v>
      </c>
      <c r="AC809" s="757">
        <f t="shared" si="176"/>
        <v>0</v>
      </c>
      <c r="AD809" s="757">
        <f t="shared" si="176"/>
        <v>0</v>
      </c>
      <c r="AE809" s="757">
        <f t="shared" si="176"/>
        <v>0</v>
      </c>
      <c r="AF809" s="772" t="e">
        <f>(#REF!+#REF!/12)-0.25+0.5+0.25*2</f>
        <v>#REF!</v>
      </c>
      <c r="AI809" s="777"/>
      <c r="AL809" s="777"/>
      <c r="AM809" s="777"/>
    </row>
    <row r="810" spans="1:43" s="776" customFormat="1" ht="22.25" customHeight="1">
      <c r="A810" s="769"/>
      <c r="B810" s="770" t="s">
        <v>601</v>
      </c>
      <c r="C810" s="665"/>
      <c r="D810" s="665">
        <f>T810</f>
        <v>31</v>
      </c>
      <c r="E810" s="665">
        <f>E809</f>
        <v>1</v>
      </c>
      <c r="F810" s="751">
        <f>U810</f>
        <v>0.18019628162145684</v>
      </c>
      <c r="G810" s="773"/>
      <c r="H810" s="778"/>
      <c r="I810" s="774"/>
      <c r="J810" s="492">
        <f>IF(I810=0,1,I810)*IF(H810=0,1,H810)*IF(G810=0,1,G810)*IF(F810=0,1,F810)*IF(E810=0,1,E810)*IF(D810=0,1,D810)*IF(C810=0,1,C810)</f>
        <v>5.5860847302651617</v>
      </c>
      <c r="K810" s="480"/>
      <c r="L810" s="774"/>
      <c r="M810" s="760">
        <f>H807/3.281</f>
        <v>0.15239256324291373</v>
      </c>
      <c r="N810" s="781"/>
      <c r="O810" s="768">
        <f>E810</f>
        <v>1</v>
      </c>
      <c r="P810" s="781">
        <f>(1.5/12)/3.281</f>
        <v>3.8098140810728431E-2</v>
      </c>
      <c r="Q810" s="756" t="s">
        <v>463</v>
      </c>
      <c r="R810" s="756">
        <v>6.5</v>
      </c>
      <c r="S810" s="757">
        <f>6/(12*3.281)</f>
        <v>0.15239256324291375</v>
      </c>
      <c r="T810" s="758">
        <f>(ROUND(N809/S810,0))+1</f>
        <v>31</v>
      </c>
      <c r="U810" s="759">
        <f>M809-2*P810+2*8*R810/1000</f>
        <v>0.18019628162145684</v>
      </c>
      <c r="V810" s="757">
        <f>T810*U810*O810</f>
        <v>5.5860847302651617</v>
      </c>
      <c r="W810" s="757">
        <f t="shared" si="176"/>
        <v>0</v>
      </c>
      <c r="X810" s="757">
        <f t="shared" si="176"/>
        <v>5.5860847302651617</v>
      </c>
      <c r="Y810" s="757">
        <f t="shared" si="176"/>
        <v>0</v>
      </c>
      <c r="Z810" s="757">
        <f t="shared" si="176"/>
        <v>0</v>
      </c>
      <c r="AA810" s="757">
        <f t="shared" si="176"/>
        <v>0</v>
      </c>
      <c r="AB810" s="757">
        <f t="shared" si="176"/>
        <v>0</v>
      </c>
      <c r="AC810" s="757">
        <f t="shared" si="176"/>
        <v>0</v>
      </c>
      <c r="AD810" s="757">
        <f t="shared" si="176"/>
        <v>0</v>
      </c>
      <c r="AE810" s="757">
        <f t="shared" si="176"/>
        <v>0</v>
      </c>
      <c r="AF810" s="772" t="e">
        <f>(#REF!+#REF!/12)-0.25+0.5+0.25*2</f>
        <v>#REF!</v>
      </c>
      <c r="AI810" s="777"/>
      <c r="AL810" s="777"/>
      <c r="AM810" s="777"/>
    </row>
    <row r="811" spans="1:43" s="390" customFormat="1" ht="22.25" customHeight="1">
      <c r="A811" s="454"/>
      <c r="B811" s="657" t="s">
        <v>305</v>
      </c>
      <c r="C811" s="662"/>
      <c r="D811" s="662">
        <v>2</v>
      </c>
      <c r="E811" s="662">
        <v>1</v>
      </c>
      <c r="F811" s="498">
        <v>35</v>
      </c>
      <c r="G811" s="642">
        <f>G807</f>
        <v>0.5</v>
      </c>
      <c r="H811" s="642">
        <f>H807</f>
        <v>0.5</v>
      </c>
      <c r="I811" s="499"/>
      <c r="J811" s="507"/>
      <c r="K811" s="455"/>
      <c r="L811" s="302"/>
      <c r="M811" s="722"/>
      <c r="N811" s="722"/>
      <c r="O811" s="500"/>
      <c r="P811" s="722"/>
      <c r="Q811" s="611"/>
      <c r="R811" s="611"/>
      <c r="S811" s="624"/>
      <c r="T811" s="625"/>
      <c r="U811" s="626"/>
      <c r="V811" s="624"/>
      <c r="W811" s="624"/>
      <c r="X811" s="624"/>
      <c r="Y811" s="624"/>
      <c r="Z811" s="624"/>
      <c r="AA811" s="624"/>
      <c r="AB811" s="624"/>
      <c r="AC811" s="624"/>
      <c r="AD811" s="624"/>
      <c r="AE811" s="624"/>
      <c r="AF811" s="471"/>
      <c r="AG811" s="473"/>
      <c r="AH811" s="471"/>
      <c r="AI811" s="471"/>
      <c r="AJ811" s="471"/>
      <c r="AM811" s="404"/>
      <c r="AP811" s="404"/>
      <c r="AQ811" s="404"/>
    </row>
    <row r="812" spans="1:43" s="476" customFormat="1" ht="22.25" customHeight="1">
      <c r="A812" s="478"/>
      <c r="B812" s="761" t="s">
        <v>620</v>
      </c>
      <c r="C812" s="665"/>
      <c r="D812" s="665"/>
      <c r="E812" s="665"/>
      <c r="F812" s="751"/>
      <c r="G812" s="752"/>
      <c r="H812" s="752"/>
      <c r="I812" s="753"/>
      <c r="J812" s="871"/>
      <c r="K812" s="479"/>
      <c r="L812" s="483"/>
      <c r="M812" s="754"/>
      <c r="N812" s="754"/>
      <c r="O812" s="866"/>
      <c r="P812" s="754"/>
      <c r="Q812" s="756"/>
      <c r="R812" s="756"/>
      <c r="S812" s="757"/>
      <c r="T812" s="758"/>
      <c r="U812" s="759"/>
      <c r="V812" s="757"/>
      <c r="W812" s="757">
        <f t="shared" si="176"/>
        <v>0</v>
      </c>
      <c r="X812" s="757">
        <f t="shared" si="176"/>
        <v>0</v>
      </c>
      <c r="Y812" s="757">
        <f t="shared" si="176"/>
        <v>0</v>
      </c>
      <c r="Z812" s="757">
        <f t="shared" ref="W812:AE833" si="178">IF($R812=Z$5,$V812,0)</f>
        <v>0</v>
      </c>
      <c r="AA812" s="757">
        <f t="shared" si="178"/>
        <v>0</v>
      </c>
      <c r="AB812" s="757">
        <f t="shared" si="178"/>
        <v>0</v>
      </c>
      <c r="AC812" s="757">
        <f t="shared" si="178"/>
        <v>0</v>
      </c>
      <c r="AD812" s="757">
        <f t="shared" si="178"/>
        <v>0</v>
      </c>
      <c r="AE812" s="757">
        <f t="shared" si="178"/>
        <v>0</v>
      </c>
      <c r="AF812" s="475"/>
      <c r="AG812" s="762"/>
      <c r="AH812" s="475"/>
      <c r="AI812" s="475"/>
      <c r="AJ812" s="475"/>
      <c r="AM812" s="477"/>
      <c r="AP812" s="477"/>
      <c r="AQ812" s="477"/>
    </row>
    <row r="813" spans="1:43" s="776" customFormat="1" ht="22.25" customHeight="1">
      <c r="A813" s="769"/>
      <c r="B813" s="770" t="s">
        <v>484</v>
      </c>
      <c r="C813" s="665"/>
      <c r="D813" s="665">
        <v>2</v>
      </c>
      <c r="E813" s="665">
        <f>E811</f>
        <v>1</v>
      </c>
      <c r="F813" s="751">
        <f>U813</f>
        <v>10.667479427003961</v>
      </c>
      <c r="G813" s="773"/>
      <c r="H813" s="778"/>
      <c r="I813" s="774"/>
      <c r="J813" s="492">
        <f>IF(I813=0,1,I813)*IF(H813=0,1,H813)*IF(G813=0,1,G813)*IF(F813=0,1,F813)*IF(E813=0,1,E813)*IF(D813=0,1,D813)*IF(C813=0,1,C813)</f>
        <v>21.334958854007922</v>
      </c>
      <c r="K813" s="480"/>
      <c r="L813" s="774"/>
      <c r="M813" s="760">
        <f>G811/3.281</f>
        <v>0.15239256324291373</v>
      </c>
      <c r="N813" s="781">
        <f>F811/3.281</f>
        <v>10.667479427003961</v>
      </c>
      <c r="O813" s="768">
        <f>E813</f>
        <v>1</v>
      </c>
      <c r="P813" s="781">
        <f>(1.5/12)/3.281</f>
        <v>3.8098140810728431E-2</v>
      </c>
      <c r="Q813" s="756" t="s">
        <v>604</v>
      </c>
      <c r="R813" s="756">
        <v>10</v>
      </c>
      <c r="S813" s="757"/>
      <c r="T813" s="758">
        <f>D813</f>
        <v>2</v>
      </c>
      <c r="U813" s="759">
        <f>N813</f>
        <v>10.667479427003961</v>
      </c>
      <c r="V813" s="757">
        <f>T813*U813*O813</f>
        <v>21.334958854007922</v>
      </c>
      <c r="W813" s="757">
        <f t="shared" si="178"/>
        <v>0</v>
      </c>
      <c r="X813" s="757">
        <f t="shared" si="178"/>
        <v>0</v>
      </c>
      <c r="Y813" s="757">
        <f t="shared" si="178"/>
        <v>21.334958854007922</v>
      </c>
      <c r="Z813" s="757">
        <f t="shared" si="178"/>
        <v>0</v>
      </c>
      <c r="AA813" s="757">
        <f t="shared" si="178"/>
        <v>0</v>
      </c>
      <c r="AB813" s="757">
        <f t="shared" si="178"/>
        <v>0</v>
      </c>
      <c r="AC813" s="757">
        <f t="shared" si="178"/>
        <v>0</v>
      </c>
      <c r="AD813" s="757">
        <f t="shared" si="178"/>
        <v>0</v>
      </c>
      <c r="AE813" s="757">
        <f t="shared" si="178"/>
        <v>0</v>
      </c>
      <c r="AF813" s="772" t="e">
        <f>(#REF!+#REF!/12)-0.25+0.5+0.25*2</f>
        <v>#REF!</v>
      </c>
      <c r="AI813" s="777"/>
      <c r="AL813" s="777"/>
      <c r="AM813" s="777"/>
    </row>
    <row r="814" spans="1:43" s="776" customFormat="1" ht="22.25" customHeight="1">
      <c r="A814" s="769"/>
      <c r="B814" s="770" t="s">
        <v>601</v>
      </c>
      <c r="C814" s="665"/>
      <c r="D814" s="665">
        <f>T814</f>
        <v>71</v>
      </c>
      <c r="E814" s="665">
        <f>E813</f>
        <v>1</v>
      </c>
      <c r="F814" s="751">
        <f>U814</f>
        <v>0.18019628162145684</v>
      </c>
      <c r="G814" s="773"/>
      <c r="H814" s="778"/>
      <c r="I814" s="774"/>
      <c r="J814" s="492">
        <f>IF(I814=0,1,I814)*IF(H814=0,1,H814)*IF(G814=0,1,G814)*IF(F814=0,1,F814)*IF(E814=0,1,E814)*IF(D814=0,1,D814)*IF(C814=0,1,C814)</f>
        <v>12.793935995123435</v>
      </c>
      <c r="K814" s="480"/>
      <c r="L814" s="774"/>
      <c r="M814" s="760">
        <f>H811/3.281</f>
        <v>0.15239256324291373</v>
      </c>
      <c r="N814" s="781"/>
      <c r="O814" s="768">
        <f>E814</f>
        <v>1</v>
      </c>
      <c r="P814" s="781">
        <f>(1.5/12)/3.281</f>
        <v>3.8098140810728431E-2</v>
      </c>
      <c r="Q814" s="756" t="s">
        <v>463</v>
      </c>
      <c r="R814" s="756">
        <v>6.5</v>
      </c>
      <c r="S814" s="757">
        <f>6/(12*3.281)</f>
        <v>0.15239256324291375</v>
      </c>
      <c r="T814" s="758">
        <f>(ROUND(N813/S814,0))+1</f>
        <v>71</v>
      </c>
      <c r="U814" s="759">
        <f>M813-2*P814+2*8*R814/1000</f>
        <v>0.18019628162145684</v>
      </c>
      <c r="V814" s="757">
        <f>T814*U814*O814</f>
        <v>12.793935995123435</v>
      </c>
      <c r="W814" s="757">
        <f t="shared" si="178"/>
        <v>0</v>
      </c>
      <c r="X814" s="757">
        <f t="shared" si="178"/>
        <v>12.793935995123435</v>
      </c>
      <c r="Y814" s="757">
        <f t="shared" si="178"/>
        <v>0</v>
      </c>
      <c r="Z814" s="757">
        <f t="shared" si="178"/>
        <v>0</v>
      </c>
      <c r="AA814" s="757">
        <f t="shared" si="178"/>
        <v>0</v>
      </c>
      <c r="AB814" s="757">
        <f t="shared" si="178"/>
        <v>0</v>
      </c>
      <c r="AC814" s="757">
        <f t="shared" si="178"/>
        <v>0</v>
      </c>
      <c r="AD814" s="757">
        <f t="shared" si="178"/>
        <v>0</v>
      </c>
      <c r="AE814" s="757">
        <f t="shared" si="178"/>
        <v>0</v>
      </c>
      <c r="AF814" s="772" t="e">
        <f>(#REF!+#REF!/12)-0.25+0.5+0.25*2</f>
        <v>#REF!</v>
      </c>
      <c r="AI814" s="777"/>
      <c r="AL814" s="777"/>
      <c r="AM814" s="777"/>
    </row>
    <row r="815" spans="1:43" s="390" customFormat="1" ht="22.25" customHeight="1">
      <c r="A815" s="454"/>
      <c r="B815" s="657" t="s">
        <v>773</v>
      </c>
      <c r="C815" s="662"/>
      <c r="D815" s="662">
        <v>2</v>
      </c>
      <c r="E815" s="662">
        <v>3</v>
      </c>
      <c r="F815" s="498">
        <f>14.5*2</f>
        <v>29</v>
      </c>
      <c r="G815" s="642">
        <f>G811</f>
        <v>0.5</v>
      </c>
      <c r="H815" s="642">
        <f>H811</f>
        <v>0.5</v>
      </c>
      <c r="I815" s="499"/>
      <c r="J815" s="507"/>
      <c r="K815" s="455"/>
      <c r="L815" s="302"/>
      <c r="M815" s="722"/>
      <c r="N815" s="722"/>
      <c r="O815" s="500"/>
      <c r="P815" s="722"/>
      <c r="Q815" s="611"/>
      <c r="R815" s="611"/>
      <c r="S815" s="624"/>
      <c r="T815" s="625"/>
      <c r="U815" s="626"/>
      <c r="V815" s="624"/>
      <c r="W815" s="624"/>
      <c r="X815" s="624"/>
      <c r="Y815" s="624"/>
      <c r="Z815" s="624"/>
      <c r="AA815" s="624"/>
      <c r="AB815" s="624"/>
      <c r="AC815" s="624"/>
      <c r="AD815" s="624"/>
      <c r="AE815" s="624"/>
      <c r="AF815" s="471"/>
      <c r="AG815" s="473"/>
      <c r="AH815" s="471"/>
      <c r="AI815" s="471"/>
      <c r="AJ815" s="471"/>
      <c r="AM815" s="404"/>
      <c r="AP815" s="404"/>
      <c r="AQ815" s="404"/>
    </row>
    <row r="816" spans="1:43" s="476" customFormat="1" ht="22.25" customHeight="1">
      <c r="A816" s="478"/>
      <c r="B816" s="761" t="s">
        <v>620</v>
      </c>
      <c r="C816" s="665"/>
      <c r="D816" s="665"/>
      <c r="E816" s="665"/>
      <c r="F816" s="751"/>
      <c r="G816" s="752"/>
      <c r="H816" s="752"/>
      <c r="I816" s="753"/>
      <c r="J816" s="871"/>
      <c r="K816" s="479"/>
      <c r="L816" s="483"/>
      <c r="M816" s="754"/>
      <c r="N816" s="754"/>
      <c r="O816" s="866"/>
      <c r="P816" s="754"/>
      <c r="Q816" s="756"/>
      <c r="R816" s="756"/>
      <c r="S816" s="757"/>
      <c r="T816" s="758"/>
      <c r="U816" s="759"/>
      <c r="V816" s="757"/>
      <c r="W816" s="757">
        <f>IF($R816=W$5,$V816,0)</f>
        <v>0</v>
      </c>
      <c r="X816" s="757">
        <f>IF($R816=X$5,$V816,0)</f>
        <v>0</v>
      </c>
      <c r="Y816" s="757">
        <f>IF($R816=Y$5,$V816,0)</f>
        <v>0</v>
      </c>
      <c r="Z816" s="757">
        <f t="shared" si="178"/>
        <v>0</v>
      </c>
      <c r="AA816" s="757">
        <f t="shared" si="178"/>
        <v>0</v>
      </c>
      <c r="AB816" s="757">
        <f t="shared" si="178"/>
        <v>0</v>
      </c>
      <c r="AC816" s="757">
        <f t="shared" si="178"/>
        <v>0</v>
      </c>
      <c r="AD816" s="757">
        <f t="shared" si="178"/>
        <v>0</v>
      </c>
      <c r="AE816" s="757">
        <f t="shared" si="178"/>
        <v>0</v>
      </c>
      <c r="AF816" s="475"/>
      <c r="AG816" s="762"/>
      <c r="AH816" s="475"/>
      <c r="AI816" s="475"/>
      <c r="AJ816" s="475"/>
      <c r="AM816" s="477"/>
      <c r="AP816" s="477"/>
      <c r="AQ816" s="477"/>
    </row>
    <row r="817" spans="1:43" s="776" customFormat="1" ht="22.25" customHeight="1">
      <c r="A817" s="769"/>
      <c r="B817" s="770" t="s">
        <v>484</v>
      </c>
      <c r="C817" s="665"/>
      <c r="D817" s="665">
        <v>2</v>
      </c>
      <c r="E817" s="665">
        <f>E815</f>
        <v>3</v>
      </c>
      <c r="F817" s="751">
        <f>U817</f>
        <v>8.8387686680889974</v>
      </c>
      <c r="G817" s="773"/>
      <c r="H817" s="778"/>
      <c r="I817" s="774"/>
      <c r="J817" s="492">
        <f>IF(I817=0,1,I817)*IF(H817=0,1,H817)*IF(G817=0,1,G817)*IF(F817=0,1,F817)*IF(E817=0,1,E817)*IF(D817=0,1,D817)*IF(C817=0,1,C817)</f>
        <v>53.032612008533988</v>
      </c>
      <c r="K817" s="480"/>
      <c r="L817" s="774"/>
      <c r="M817" s="760">
        <f>G815/3.281</f>
        <v>0.15239256324291373</v>
      </c>
      <c r="N817" s="781">
        <f>F815/3.281</f>
        <v>8.8387686680889974</v>
      </c>
      <c r="O817" s="768">
        <f>E817</f>
        <v>3</v>
      </c>
      <c r="P817" s="781">
        <f>(1.5/12)/3.281</f>
        <v>3.8098140810728431E-2</v>
      </c>
      <c r="Q817" s="756" t="s">
        <v>604</v>
      </c>
      <c r="R817" s="756">
        <v>10</v>
      </c>
      <c r="S817" s="757"/>
      <c r="T817" s="758">
        <f>D817</f>
        <v>2</v>
      </c>
      <c r="U817" s="759">
        <f>N817</f>
        <v>8.8387686680889974</v>
      </c>
      <c r="V817" s="757">
        <f>T817*U817*O817</f>
        <v>53.032612008533988</v>
      </c>
      <c r="W817" s="757">
        <f t="shared" si="178"/>
        <v>0</v>
      </c>
      <c r="X817" s="757">
        <f t="shared" si="178"/>
        <v>0</v>
      </c>
      <c r="Y817" s="757">
        <f t="shared" si="178"/>
        <v>53.032612008533988</v>
      </c>
      <c r="Z817" s="757">
        <f t="shared" si="178"/>
        <v>0</v>
      </c>
      <c r="AA817" s="757">
        <f t="shared" si="178"/>
        <v>0</v>
      </c>
      <c r="AB817" s="757">
        <f t="shared" si="178"/>
        <v>0</v>
      </c>
      <c r="AC817" s="757">
        <f t="shared" si="178"/>
        <v>0</v>
      </c>
      <c r="AD817" s="757">
        <f t="shared" si="178"/>
        <v>0</v>
      </c>
      <c r="AE817" s="757">
        <f t="shared" si="178"/>
        <v>0</v>
      </c>
      <c r="AF817" s="772" t="e">
        <f>(#REF!+#REF!/12)-0.25+0.5+0.25*2</f>
        <v>#REF!</v>
      </c>
      <c r="AI817" s="777"/>
      <c r="AL817" s="777"/>
      <c r="AM817" s="777"/>
    </row>
    <row r="818" spans="1:43" s="776" customFormat="1" ht="22.25" customHeight="1">
      <c r="A818" s="769"/>
      <c r="B818" s="770" t="s">
        <v>601</v>
      </c>
      <c r="C818" s="665"/>
      <c r="D818" s="665">
        <f>T818</f>
        <v>59</v>
      </c>
      <c r="E818" s="665">
        <f>E817</f>
        <v>3</v>
      </c>
      <c r="F818" s="751">
        <f>U818</f>
        <v>0.18019628162145684</v>
      </c>
      <c r="G818" s="773"/>
      <c r="H818" s="778"/>
      <c r="I818" s="774"/>
      <c r="J818" s="492">
        <f>IF(I818=0,1,I818)*IF(H818=0,1,H818)*IF(G818=0,1,G818)*IF(F818=0,1,F818)*IF(E818=0,1,E818)*IF(D818=0,1,D818)*IF(C818=0,1,C818)</f>
        <v>31.89474184699786</v>
      </c>
      <c r="K818" s="480"/>
      <c r="L818" s="774"/>
      <c r="M818" s="760">
        <f>H815/3.281</f>
        <v>0.15239256324291373</v>
      </c>
      <c r="N818" s="781"/>
      <c r="O818" s="768">
        <f>E818</f>
        <v>3</v>
      </c>
      <c r="P818" s="781">
        <f>(1.5/12)/3.281</f>
        <v>3.8098140810728431E-2</v>
      </c>
      <c r="Q818" s="756" t="s">
        <v>463</v>
      </c>
      <c r="R818" s="756">
        <v>6.5</v>
      </c>
      <c r="S818" s="757">
        <f>6/(12*3.281)</f>
        <v>0.15239256324291375</v>
      </c>
      <c r="T818" s="758">
        <f>(ROUND(N817/S818,0))+1</f>
        <v>59</v>
      </c>
      <c r="U818" s="759">
        <f>M817-2*P818+2*8*R818/1000</f>
        <v>0.18019628162145684</v>
      </c>
      <c r="V818" s="757">
        <f>T818*U818*O818</f>
        <v>31.89474184699786</v>
      </c>
      <c r="W818" s="757">
        <f t="shared" si="178"/>
        <v>0</v>
      </c>
      <c r="X818" s="757">
        <f t="shared" si="178"/>
        <v>31.89474184699786</v>
      </c>
      <c r="Y818" s="757">
        <f t="shared" si="178"/>
        <v>0</v>
      </c>
      <c r="Z818" s="757">
        <f t="shared" si="178"/>
        <v>0</v>
      </c>
      <c r="AA818" s="757">
        <f t="shared" si="178"/>
        <v>0</v>
      </c>
      <c r="AB818" s="757">
        <f t="shared" si="178"/>
        <v>0</v>
      </c>
      <c r="AC818" s="757">
        <f t="shared" si="178"/>
        <v>0</v>
      </c>
      <c r="AD818" s="757">
        <f t="shared" si="178"/>
        <v>0</v>
      </c>
      <c r="AE818" s="757">
        <f t="shared" si="178"/>
        <v>0</v>
      </c>
      <c r="AF818" s="772" t="e">
        <f>(#REF!+#REF!/12)-0.25+0.5+0.25*2</f>
        <v>#REF!</v>
      </c>
      <c r="AI818" s="777"/>
      <c r="AL818" s="777"/>
      <c r="AM818" s="777"/>
    </row>
    <row r="819" spans="1:43" s="390" customFormat="1" ht="22.25" customHeight="1">
      <c r="A819" s="454"/>
      <c r="B819" s="657" t="s">
        <v>732</v>
      </c>
      <c r="C819" s="662"/>
      <c r="D819" s="662">
        <v>2</v>
      </c>
      <c r="E819" s="662">
        <v>2</v>
      </c>
      <c r="F819" s="498">
        <v>4.5</v>
      </c>
      <c r="G819" s="642">
        <f>G811</f>
        <v>0.5</v>
      </c>
      <c r="H819" s="642">
        <f>H811</f>
        <v>0.5</v>
      </c>
      <c r="I819" s="499"/>
      <c r="J819" s="507"/>
      <c r="K819" s="455"/>
      <c r="L819" s="302"/>
      <c r="M819" s="722"/>
      <c r="N819" s="722"/>
      <c r="O819" s="500"/>
      <c r="P819" s="722"/>
      <c r="Q819" s="611"/>
      <c r="R819" s="611"/>
      <c r="S819" s="624"/>
      <c r="T819" s="625"/>
      <c r="U819" s="626"/>
      <c r="V819" s="624"/>
      <c r="W819" s="624"/>
      <c r="X819" s="624"/>
      <c r="Y819" s="624"/>
      <c r="Z819" s="624"/>
      <c r="AA819" s="624"/>
      <c r="AB819" s="624"/>
      <c r="AC819" s="624"/>
      <c r="AD819" s="624"/>
      <c r="AE819" s="624"/>
      <c r="AF819" s="471"/>
      <c r="AG819" s="473"/>
      <c r="AH819" s="471"/>
      <c r="AI819" s="471"/>
      <c r="AJ819" s="471"/>
      <c r="AM819" s="404"/>
      <c r="AP819" s="404"/>
      <c r="AQ819" s="404"/>
    </row>
    <row r="820" spans="1:43" s="476" customFormat="1" ht="22.25" customHeight="1">
      <c r="A820" s="478"/>
      <c r="B820" s="761" t="s">
        <v>620</v>
      </c>
      <c r="C820" s="665"/>
      <c r="D820" s="665"/>
      <c r="E820" s="665"/>
      <c r="F820" s="751"/>
      <c r="G820" s="752"/>
      <c r="H820" s="752"/>
      <c r="I820" s="753"/>
      <c r="J820" s="871"/>
      <c r="K820" s="479"/>
      <c r="L820" s="483"/>
      <c r="M820" s="754"/>
      <c r="N820" s="754"/>
      <c r="O820" s="866"/>
      <c r="P820" s="754"/>
      <c r="Q820" s="756"/>
      <c r="R820" s="756"/>
      <c r="S820" s="757"/>
      <c r="T820" s="758"/>
      <c r="U820" s="759"/>
      <c r="V820" s="757"/>
      <c r="W820" s="757">
        <f>IF($R820=W$5,$V820,0)</f>
        <v>0</v>
      </c>
      <c r="X820" s="757">
        <f>IF($R820=X$5,$V820,0)</f>
        <v>0</v>
      </c>
      <c r="Y820" s="757">
        <f>IF($R820=Y$5,$V820,0)</f>
        <v>0</v>
      </c>
      <c r="Z820" s="757">
        <f t="shared" si="178"/>
        <v>0</v>
      </c>
      <c r="AA820" s="757">
        <f t="shared" si="178"/>
        <v>0</v>
      </c>
      <c r="AB820" s="757">
        <f t="shared" si="178"/>
        <v>0</v>
      </c>
      <c r="AC820" s="757">
        <f t="shared" si="178"/>
        <v>0</v>
      </c>
      <c r="AD820" s="757">
        <f t="shared" si="178"/>
        <v>0</v>
      </c>
      <c r="AE820" s="757">
        <f t="shared" si="178"/>
        <v>0</v>
      </c>
      <c r="AF820" s="475"/>
      <c r="AG820" s="762"/>
      <c r="AH820" s="475"/>
      <c r="AI820" s="475"/>
      <c r="AJ820" s="475"/>
      <c r="AM820" s="477"/>
      <c r="AP820" s="477"/>
      <c r="AQ820" s="477"/>
    </row>
    <row r="821" spans="1:43" s="776" customFormat="1" ht="22.25" customHeight="1">
      <c r="A821" s="769"/>
      <c r="B821" s="770" t="s">
        <v>484</v>
      </c>
      <c r="C821" s="665"/>
      <c r="D821" s="665">
        <v>2</v>
      </c>
      <c r="E821" s="665">
        <f>E819</f>
        <v>2</v>
      </c>
      <c r="F821" s="751">
        <f>U821</f>
        <v>1.3715330691862238</v>
      </c>
      <c r="G821" s="773"/>
      <c r="H821" s="778"/>
      <c r="I821" s="774"/>
      <c r="J821" s="492">
        <f>IF(I821=0,1,I821)*IF(H821=0,1,H821)*IF(G821=0,1,G821)*IF(F821=0,1,F821)*IF(E821=0,1,E821)*IF(D821=0,1,D821)*IF(C821=0,1,C821)</f>
        <v>5.486132276744895</v>
      </c>
      <c r="K821" s="480"/>
      <c r="L821" s="774"/>
      <c r="M821" s="760">
        <f>G819/3.281</f>
        <v>0.15239256324291373</v>
      </c>
      <c r="N821" s="781">
        <f>F819/3.281</f>
        <v>1.3715330691862238</v>
      </c>
      <c r="O821" s="768">
        <f>E821</f>
        <v>2</v>
      </c>
      <c r="P821" s="781">
        <f>(1.5/12)/3.281</f>
        <v>3.8098140810728431E-2</v>
      </c>
      <c r="Q821" s="756" t="s">
        <v>604</v>
      </c>
      <c r="R821" s="756">
        <v>10</v>
      </c>
      <c r="S821" s="757"/>
      <c r="T821" s="758">
        <f>D821</f>
        <v>2</v>
      </c>
      <c r="U821" s="759">
        <f>N821</f>
        <v>1.3715330691862238</v>
      </c>
      <c r="V821" s="757">
        <f>T821*U821*O821</f>
        <v>5.486132276744895</v>
      </c>
      <c r="W821" s="757">
        <f t="shared" si="178"/>
        <v>0</v>
      </c>
      <c r="X821" s="757">
        <f t="shared" si="178"/>
        <v>0</v>
      </c>
      <c r="Y821" s="757">
        <f t="shared" si="178"/>
        <v>5.486132276744895</v>
      </c>
      <c r="Z821" s="757">
        <f t="shared" si="178"/>
        <v>0</v>
      </c>
      <c r="AA821" s="757">
        <f t="shared" si="178"/>
        <v>0</v>
      </c>
      <c r="AB821" s="757">
        <f t="shared" si="178"/>
        <v>0</v>
      </c>
      <c r="AC821" s="757">
        <f t="shared" si="178"/>
        <v>0</v>
      </c>
      <c r="AD821" s="757">
        <f t="shared" si="178"/>
        <v>0</v>
      </c>
      <c r="AE821" s="757">
        <f t="shared" si="178"/>
        <v>0</v>
      </c>
      <c r="AF821" s="772" t="e">
        <f>(#REF!+#REF!/12)-0.25+0.5+0.25*2</f>
        <v>#REF!</v>
      </c>
      <c r="AI821" s="777"/>
      <c r="AL821" s="777"/>
      <c r="AM821" s="777"/>
    </row>
    <row r="822" spans="1:43" s="776" customFormat="1" ht="22.25" customHeight="1">
      <c r="A822" s="769"/>
      <c r="B822" s="770" t="s">
        <v>601</v>
      </c>
      <c r="C822" s="665"/>
      <c r="D822" s="665">
        <f>T822</f>
        <v>10</v>
      </c>
      <c r="E822" s="665">
        <f>E821</f>
        <v>2</v>
      </c>
      <c r="F822" s="751">
        <f>U822</f>
        <v>0.18019628162145684</v>
      </c>
      <c r="G822" s="773"/>
      <c r="H822" s="778"/>
      <c r="I822" s="774"/>
      <c r="J822" s="492">
        <f>IF(I822=0,1,I822)*IF(H822=0,1,H822)*IF(G822=0,1,G822)*IF(F822=0,1,F822)*IF(E822=0,1,E822)*IF(D822=0,1,D822)*IF(C822=0,1,C822)</f>
        <v>3.6039256324291369</v>
      </c>
      <c r="K822" s="480"/>
      <c r="L822" s="774"/>
      <c r="M822" s="760">
        <f>H819/3.281</f>
        <v>0.15239256324291373</v>
      </c>
      <c r="N822" s="781"/>
      <c r="O822" s="768">
        <f>E822</f>
        <v>2</v>
      </c>
      <c r="P822" s="781">
        <f>(1.5/12)/3.281</f>
        <v>3.8098140810728431E-2</v>
      </c>
      <c r="Q822" s="756" t="s">
        <v>463</v>
      </c>
      <c r="R822" s="756">
        <v>6.5</v>
      </c>
      <c r="S822" s="757">
        <f>6/(12*3.281)</f>
        <v>0.15239256324291375</v>
      </c>
      <c r="T822" s="758">
        <f>(ROUND(N821/S822,0))+1</f>
        <v>10</v>
      </c>
      <c r="U822" s="759">
        <f>M821-2*P822+2*8*R822/1000</f>
        <v>0.18019628162145684</v>
      </c>
      <c r="V822" s="757">
        <f>T822*U822*O822</f>
        <v>3.6039256324291369</v>
      </c>
      <c r="W822" s="757">
        <f t="shared" si="178"/>
        <v>0</v>
      </c>
      <c r="X822" s="757">
        <f t="shared" si="178"/>
        <v>3.6039256324291369</v>
      </c>
      <c r="Y822" s="757">
        <f t="shared" si="178"/>
        <v>0</v>
      </c>
      <c r="Z822" s="757">
        <f t="shared" si="178"/>
        <v>0</v>
      </c>
      <c r="AA822" s="757">
        <f t="shared" si="178"/>
        <v>0</v>
      </c>
      <c r="AB822" s="757">
        <f t="shared" si="178"/>
        <v>0</v>
      </c>
      <c r="AC822" s="757">
        <f t="shared" si="178"/>
        <v>0</v>
      </c>
      <c r="AD822" s="757">
        <f t="shared" si="178"/>
        <v>0</v>
      </c>
      <c r="AE822" s="757">
        <f t="shared" si="178"/>
        <v>0</v>
      </c>
      <c r="AF822" s="772" t="e">
        <f>(#REF!+#REF!/12)-0.25+0.5+0.25*2</f>
        <v>#REF!</v>
      </c>
      <c r="AI822" s="777"/>
      <c r="AL822" s="777"/>
      <c r="AM822" s="777"/>
    </row>
    <row r="823" spans="1:43" s="390" customFormat="1" ht="22.25" customHeight="1">
      <c r="A823" s="454"/>
      <c r="B823" s="657" t="s">
        <v>734</v>
      </c>
      <c r="C823" s="662"/>
      <c r="D823" s="662">
        <v>2</v>
      </c>
      <c r="E823" s="662">
        <v>1</v>
      </c>
      <c r="F823" s="498">
        <v>9.5</v>
      </c>
      <c r="G823" s="642">
        <f>G815</f>
        <v>0.5</v>
      </c>
      <c r="H823" s="642">
        <f>H815</f>
        <v>0.5</v>
      </c>
      <c r="I823" s="499"/>
      <c r="J823" s="507"/>
      <c r="K823" s="455"/>
      <c r="L823" s="302"/>
      <c r="M823" s="722"/>
      <c r="N823" s="722"/>
      <c r="O823" s="500"/>
      <c r="P823" s="722"/>
      <c r="Q823" s="611"/>
      <c r="R823" s="611"/>
      <c r="S823" s="624"/>
      <c r="T823" s="625"/>
      <c r="U823" s="626"/>
      <c r="V823" s="624"/>
      <c r="W823" s="624"/>
      <c r="X823" s="624"/>
      <c r="Y823" s="624"/>
      <c r="Z823" s="624"/>
      <c r="AA823" s="624"/>
      <c r="AB823" s="624"/>
      <c r="AC823" s="624"/>
      <c r="AD823" s="624"/>
      <c r="AE823" s="624"/>
      <c r="AF823" s="471"/>
      <c r="AG823" s="473"/>
      <c r="AH823" s="471"/>
      <c r="AI823" s="471"/>
      <c r="AJ823" s="471"/>
      <c r="AM823" s="404"/>
      <c r="AP823" s="404"/>
      <c r="AQ823" s="404"/>
    </row>
    <row r="824" spans="1:43" s="476" customFormat="1" ht="22.25" customHeight="1">
      <c r="A824" s="478"/>
      <c r="B824" s="761" t="s">
        <v>620</v>
      </c>
      <c r="C824" s="665"/>
      <c r="D824" s="665"/>
      <c r="E824" s="665"/>
      <c r="F824" s="751"/>
      <c r="G824" s="752"/>
      <c r="H824" s="752"/>
      <c r="I824" s="753"/>
      <c r="J824" s="871"/>
      <c r="K824" s="479"/>
      <c r="L824" s="483"/>
      <c r="M824" s="754"/>
      <c r="N824" s="754"/>
      <c r="O824" s="866"/>
      <c r="P824" s="754"/>
      <c r="Q824" s="756"/>
      <c r="R824" s="756"/>
      <c r="S824" s="757"/>
      <c r="T824" s="758"/>
      <c r="U824" s="759"/>
      <c r="V824" s="757"/>
      <c r="W824" s="757">
        <f>IF($R824=W$5,$V824,0)</f>
        <v>0</v>
      </c>
      <c r="X824" s="757">
        <f>IF($R824=X$5,$V824,0)</f>
        <v>0</v>
      </c>
      <c r="Y824" s="757">
        <f>IF($R824=Y$5,$V824,0)</f>
        <v>0</v>
      </c>
      <c r="Z824" s="757">
        <f t="shared" si="178"/>
        <v>0</v>
      </c>
      <c r="AA824" s="757">
        <f t="shared" si="178"/>
        <v>0</v>
      </c>
      <c r="AB824" s="757">
        <f t="shared" si="178"/>
        <v>0</v>
      </c>
      <c r="AC824" s="757">
        <f t="shared" si="178"/>
        <v>0</v>
      </c>
      <c r="AD824" s="757">
        <f t="shared" si="178"/>
        <v>0</v>
      </c>
      <c r="AE824" s="757">
        <f t="shared" si="178"/>
        <v>0</v>
      </c>
      <c r="AF824" s="475"/>
      <c r="AG824" s="762"/>
      <c r="AH824" s="475"/>
      <c r="AI824" s="475"/>
      <c r="AJ824" s="475"/>
      <c r="AM824" s="477"/>
      <c r="AP824" s="477"/>
      <c r="AQ824" s="477"/>
    </row>
    <row r="825" spans="1:43" s="776" customFormat="1" ht="22.25" customHeight="1">
      <c r="A825" s="769"/>
      <c r="B825" s="770" t="s">
        <v>484</v>
      </c>
      <c r="C825" s="665"/>
      <c r="D825" s="665">
        <v>2</v>
      </c>
      <c r="E825" s="665">
        <f>E823</f>
        <v>1</v>
      </c>
      <c r="F825" s="751">
        <f>U825</f>
        <v>2.895458701615361</v>
      </c>
      <c r="G825" s="773"/>
      <c r="H825" s="778"/>
      <c r="I825" s="774"/>
      <c r="J825" s="492">
        <f>IF(I825=0,1,I825)*IF(H825=0,1,H825)*IF(G825=0,1,G825)*IF(F825=0,1,F825)*IF(E825=0,1,E825)*IF(D825=0,1,D825)*IF(C825=0,1,C825)</f>
        <v>5.790917403230722</v>
      </c>
      <c r="K825" s="480"/>
      <c r="L825" s="774"/>
      <c r="M825" s="760">
        <f>G823/3.281</f>
        <v>0.15239256324291373</v>
      </c>
      <c r="N825" s="781">
        <f>F823/3.281</f>
        <v>2.895458701615361</v>
      </c>
      <c r="O825" s="768">
        <f>E825</f>
        <v>1</v>
      </c>
      <c r="P825" s="781">
        <f>(1.5/12)/3.281</f>
        <v>3.8098140810728431E-2</v>
      </c>
      <c r="Q825" s="756" t="s">
        <v>604</v>
      </c>
      <c r="R825" s="756">
        <v>10</v>
      </c>
      <c r="S825" s="757"/>
      <c r="T825" s="758">
        <f>D825</f>
        <v>2</v>
      </c>
      <c r="U825" s="759">
        <f>N825</f>
        <v>2.895458701615361</v>
      </c>
      <c r="V825" s="757">
        <f>T825*U825*O825</f>
        <v>5.790917403230722</v>
      </c>
      <c r="W825" s="757">
        <f t="shared" si="178"/>
        <v>0</v>
      </c>
      <c r="X825" s="757">
        <f t="shared" si="178"/>
        <v>0</v>
      </c>
      <c r="Y825" s="757">
        <f t="shared" si="178"/>
        <v>5.790917403230722</v>
      </c>
      <c r="Z825" s="757">
        <f t="shared" si="178"/>
        <v>0</v>
      </c>
      <c r="AA825" s="757">
        <f t="shared" si="178"/>
        <v>0</v>
      </c>
      <c r="AB825" s="757">
        <f t="shared" si="178"/>
        <v>0</v>
      </c>
      <c r="AC825" s="757">
        <f t="shared" si="178"/>
        <v>0</v>
      </c>
      <c r="AD825" s="757">
        <f t="shared" si="178"/>
        <v>0</v>
      </c>
      <c r="AE825" s="757">
        <f t="shared" si="178"/>
        <v>0</v>
      </c>
      <c r="AF825" s="772" t="e">
        <f>(#REF!+#REF!/12)-0.25+0.5+0.25*2</f>
        <v>#REF!</v>
      </c>
      <c r="AI825" s="777"/>
      <c r="AL825" s="777"/>
      <c r="AM825" s="777"/>
    </row>
    <row r="826" spans="1:43" s="776" customFormat="1" ht="22.25" customHeight="1">
      <c r="A826" s="769"/>
      <c r="B826" s="770" t="s">
        <v>601</v>
      </c>
      <c r="C826" s="665"/>
      <c r="D826" s="665">
        <f>T826</f>
        <v>20</v>
      </c>
      <c r="E826" s="665">
        <f>E825</f>
        <v>1</v>
      </c>
      <c r="F826" s="751">
        <f>U826</f>
        <v>0.18019628162145684</v>
      </c>
      <c r="G826" s="773"/>
      <c r="H826" s="778"/>
      <c r="I826" s="774"/>
      <c r="J826" s="492">
        <f>IF(I826=0,1,I826)*IF(H826=0,1,H826)*IF(G826=0,1,G826)*IF(F826=0,1,F826)*IF(E826=0,1,E826)*IF(D826=0,1,D826)*IF(C826=0,1,C826)</f>
        <v>3.6039256324291369</v>
      </c>
      <c r="K826" s="480"/>
      <c r="L826" s="774"/>
      <c r="M826" s="760">
        <f>H823/3.281</f>
        <v>0.15239256324291373</v>
      </c>
      <c r="N826" s="781"/>
      <c r="O826" s="768">
        <f>E826</f>
        <v>1</v>
      </c>
      <c r="P826" s="781">
        <f>(1.5/12)/3.281</f>
        <v>3.8098140810728431E-2</v>
      </c>
      <c r="Q826" s="756" t="s">
        <v>463</v>
      </c>
      <c r="R826" s="756">
        <v>6.5</v>
      </c>
      <c r="S826" s="757">
        <f>6/(12*3.281)</f>
        <v>0.15239256324291375</v>
      </c>
      <c r="T826" s="758">
        <f>(ROUND(N825/S826,0))+1</f>
        <v>20</v>
      </c>
      <c r="U826" s="759">
        <f>M825-2*P826+2*8*R826/1000</f>
        <v>0.18019628162145684</v>
      </c>
      <c r="V826" s="757">
        <f>T826*U826*O826</f>
        <v>3.6039256324291369</v>
      </c>
      <c r="W826" s="757">
        <f t="shared" si="178"/>
        <v>0</v>
      </c>
      <c r="X826" s="757">
        <f t="shared" si="178"/>
        <v>3.6039256324291369</v>
      </c>
      <c r="Y826" s="757">
        <f t="shared" si="178"/>
        <v>0</v>
      </c>
      <c r="Z826" s="757">
        <f t="shared" si="178"/>
        <v>0</v>
      </c>
      <c r="AA826" s="757">
        <f t="shared" si="178"/>
        <v>0</v>
      </c>
      <c r="AB826" s="757">
        <f t="shared" si="178"/>
        <v>0</v>
      </c>
      <c r="AC826" s="757">
        <f t="shared" si="178"/>
        <v>0</v>
      </c>
      <c r="AD826" s="757">
        <f t="shared" si="178"/>
        <v>0</v>
      </c>
      <c r="AE826" s="757">
        <f t="shared" si="178"/>
        <v>0</v>
      </c>
      <c r="AF826" s="772" t="e">
        <f>(#REF!+#REF!/12)-0.25+0.5+0.25*2</f>
        <v>#REF!</v>
      </c>
      <c r="AI826" s="777"/>
      <c r="AL826" s="777"/>
      <c r="AM826" s="777"/>
    </row>
    <row r="827" spans="1:43" s="390" customFormat="1" ht="22.25" customHeight="1">
      <c r="A827" s="454"/>
      <c r="B827" s="659" t="s">
        <v>43</v>
      </c>
      <c r="C827" s="662"/>
      <c r="D827" s="662"/>
      <c r="E827" s="662"/>
      <c r="F827" s="498"/>
      <c r="G827" s="642"/>
      <c r="H827" s="642"/>
      <c r="I827" s="499"/>
      <c r="J827" s="507"/>
      <c r="K827" s="455"/>
      <c r="L827" s="312"/>
      <c r="M827" s="722"/>
      <c r="N827" s="722"/>
      <c r="O827" s="455"/>
      <c r="P827" s="722"/>
      <c r="Q827" s="611"/>
      <c r="R827" s="611"/>
      <c r="S827" s="624"/>
      <c r="T827" s="625"/>
      <c r="U827" s="626"/>
      <c r="V827" s="624"/>
      <c r="W827" s="624">
        <f t="shared" si="178"/>
        <v>0</v>
      </c>
      <c r="X827" s="624">
        <f t="shared" si="178"/>
        <v>0</v>
      </c>
      <c r="Y827" s="624">
        <f t="shared" si="178"/>
        <v>0</v>
      </c>
      <c r="Z827" s="624">
        <f t="shared" si="178"/>
        <v>0</v>
      </c>
      <c r="AA827" s="624">
        <f t="shared" si="178"/>
        <v>0</v>
      </c>
      <c r="AB827" s="624">
        <f t="shared" si="178"/>
        <v>0</v>
      </c>
      <c r="AC827" s="624">
        <f t="shared" si="178"/>
        <v>0</v>
      </c>
      <c r="AD827" s="624">
        <f t="shared" si="178"/>
        <v>0</v>
      </c>
      <c r="AE827" s="624">
        <f t="shared" si="178"/>
        <v>0</v>
      </c>
      <c r="AF827" s="471"/>
      <c r="AG827" s="473"/>
      <c r="AH827" s="471"/>
      <c r="AI827" s="471"/>
      <c r="AJ827" s="471"/>
      <c r="AM827" s="404"/>
      <c r="AP827" s="404"/>
      <c r="AQ827" s="404"/>
    </row>
    <row r="828" spans="1:43" s="390" customFormat="1" ht="22.25" customHeight="1">
      <c r="A828" s="454"/>
      <c r="B828" s="657" t="s">
        <v>779</v>
      </c>
      <c r="C828" s="662"/>
      <c r="D828" s="662"/>
      <c r="E828" s="662">
        <v>-2</v>
      </c>
      <c r="F828" s="498">
        <v>5</v>
      </c>
      <c r="G828" s="642">
        <v>0.5</v>
      </c>
      <c r="H828" s="642">
        <v>0.5</v>
      </c>
      <c r="I828" s="507"/>
      <c r="J828" s="507"/>
      <c r="K828" s="455"/>
      <c r="L828" s="302"/>
      <c r="M828" s="722"/>
      <c r="N828" s="722"/>
      <c r="O828" s="500"/>
      <c r="P828" s="722"/>
      <c r="Q828" s="611"/>
      <c r="R828" s="611"/>
      <c r="S828" s="624"/>
      <c r="T828" s="625"/>
      <c r="U828" s="626"/>
      <c r="V828" s="624"/>
      <c r="W828" s="624">
        <f t="shared" si="178"/>
        <v>0</v>
      </c>
      <c r="X828" s="624">
        <f t="shared" si="178"/>
        <v>0</v>
      </c>
      <c r="Y828" s="624">
        <f t="shared" si="178"/>
        <v>0</v>
      </c>
      <c r="Z828" s="624">
        <f t="shared" si="178"/>
        <v>0</v>
      </c>
      <c r="AA828" s="624">
        <f t="shared" si="178"/>
        <v>0</v>
      </c>
      <c r="AB828" s="624">
        <f t="shared" si="178"/>
        <v>0</v>
      </c>
      <c r="AC828" s="624">
        <f t="shared" si="178"/>
        <v>0</v>
      </c>
      <c r="AD828" s="624">
        <f t="shared" si="178"/>
        <v>0</v>
      </c>
      <c r="AE828" s="624">
        <f t="shared" si="178"/>
        <v>0</v>
      </c>
      <c r="AF828" s="471"/>
      <c r="AG828" s="473"/>
      <c r="AH828" s="471"/>
      <c r="AI828" s="471"/>
      <c r="AJ828" s="471"/>
      <c r="AM828" s="404"/>
      <c r="AP828" s="404"/>
      <c r="AQ828" s="404"/>
    </row>
    <row r="829" spans="1:43" s="476" customFormat="1" ht="22.25" customHeight="1">
      <c r="A829" s="478"/>
      <c r="B829" s="761" t="s">
        <v>620</v>
      </c>
      <c r="C829" s="665"/>
      <c r="D829" s="665"/>
      <c r="E829" s="665"/>
      <c r="F829" s="751"/>
      <c r="G829" s="752"/>
      <c r="H829" s="752"/>
      <c r="I829" s="753"/>
      <c r="J829" s="871"/>
      <c r="K829" s="479"/>
      <c r="L829" s="483"/>
      <c r="M829" s="754"/>
      <c r="N829" s="754"/>
      <c r="O829" s="866"/>
      <c r="P829" s="754"/>
      <c r="Q829" s="756"/>
      <c r="R829" s="756"/>
      <c r="S829" s="757"/>
      <c r="T829" s="758"/>
      <c r="U829" s="759"/>
      <c r="V829" s="757"/>
      <c r="W829" s="757">
        <f t="shared" si="178"/>
        <v>0</v>
      </c>
      <c r="X829" s="757">
        <f t="shared" si="178"/>
        <v>0</v>
      </c>
      <c r="Y829" s="757">
        <f t="shared" si="178"/>
        <v>0</v>
      </c>
      <c r="Z829" s="757">
        <f t="shared" si="178"/>
        <v>0</v>
      </c>
      <c r="AA829" s="757">
        <f t="shared" si="178"/>
        <v>0</v>
      </c>
      <c r="AB829" s="757">
        <f t="shared" si="178"/>
        <v>0</v>
      </c>
      <c r="AC829" s="757">
        <f t="shared" si="178"/>
        <v>0</v>
      </c>
      <c r="AD829" s="757">
        <f t="shared" si="178"/>
        <v>0</v>
      </c>
      <c r="AE829" s="757">
        <f t="shared" si="178"/>
        <v>0</v>
      </c>
      <c r="AF829" s="475"/>
      <c r="AG829" s="762"/>
      <c r="AH829" s="475"/>
      <c r="AI829" s="475"/>
      <c r="AJ829" s="475"/>
      <c r="AM829" s="477"/>
      <c r="AP829" s="477"/>
      <c r="AQ829" s="477"/>
    </row>
    <row r="830" spans="1:43" s="776" customFormat="1" ht="22.25" customHeight="1">
      <c r="A830" s="769"/>
      <c r="B830" s="770" t="s">
        <v>484</v>
      </c>
      <c r="C830" s="665"/>
      <c r="D830" s="665">
        <v>2</v>
      </c>
      <c r="E830" s="665">
        <f>E828</f>
        <v>-2</v>
      </c>
      <c r="F830" s="751">
        <f>U830</f>
        <v>1.5239256324291375</v>
      </c>
      <c r="G830" s="773"/>
      <c r="H830" s="778"/>
      <c r="I830" s="774"/>
      <c r="J830" s="492">
        <f>IF(I830=0,1,I830)*IF(H830=0,1,H830)*IF(G830=0,1,G830)*IF(F830=0,1,F830)*IF(E830=0,1,E830)*IF(D830=0,1,D830)*IF(C830=0,1,C830)</f>
        <v>-6.0957025297165499</v>
      </c>
      <c r="K830" s="480"/>
      <c r="L830" s="774"/>
      <c r="M830" s="760">
        <f>G828/3.281</f>
        <v>0.15239256324291373</v>
      </c>
      <c r="N830" s="781">
        <f>F828/3.281</f>
        <v>1.5239256324291375</v>
      </c>
      <c r="O830" s="768">
        <f>E830</f>
        <v>-2</v>
      </c>
      <c r="P830" s="781">
        <f>(1.5/12)/3.281</f>
        <v>3.8098140810728431E-2</v>
      </c>
      <c r="Q830" s="756" t="s">
        <v>604</v>
      </c>
      <c r="R830" s="756">
        <v>10</v>
      </c>
      <c r="S830" s="757"/>
      <c r="T830" s="758">
        <f>D830</f>
        <v>2</v>
      </c>
      <c r="U830" s="759">
        <f>N830</f>
        <v>1.5239256324291375</v>
      </c>
      <c r="V830" s="757">
        <f>T830*U830*O830</f>
        <v>-6.0957025297165499</v>
      </c>
      <c r="W830" s="757">
        <f t="shared" si="178"/>
        <v>0</v>
      </c>
      <c r="X830" s="757">
        <f t="shared" si="178"/>
        <v>0</v>
      </c>
      <c r="Y830" s="757">
        <f t="shared" si="178"/>
        <v>-6.0957025297165499</v>
      </c>
      <c r="Z830" s="757">
        <f t="shared" si="178"/>
        <v>0</v>
      </c>
      <c r="AA830" s="757">
        <f t="shared" si="178"/>
        <v>0</v>
      </c>
      <c r="AB830" s="757">
        <f t="shared" si="178"/>
        <v>0</v>
      </c>
      <c r="AC830" s="757">
        <f t="shared" si="178"/>
        <v>0</v>
      </c>
      <c r="AD830" s="757">
        <f t="shared" si="178"/>
        <v>0</v>
      </c>
      <c r="AE830" s="757">
        <f t="shared" si="178"/>
        <v>0</v>
      </c>
      <c r="AF830" s="772" t="e">
        <f>(#REF!+#REF!/12)-0.25+0.5+0.25*2</f>
        <v>#REF!</v>
      </c>
      <c r="AI830" s="777"/>
      <c r="AL830" s="777"/>
      <c r="AM830" s="777"/>
    </row>
    <row r="831" spans="1:43" s="776" customFormat="1" ht="22.25" customHeight="1">
      <c r="A831" s="769"/>
      <c r="B831" s="770" t="s">
        <v>601</v>
      </c>
      <c r="C831" s="665"/>
      <c r="D831" s="665">
        <f>T831</f>
        <v>11</v>
      </c>
      <c r="E831" s="665">
        <f>E830</f>
        <v>-2</v>
      </c>
      <c r="F831" s="751">
        <f>U831</f>
        <v>0.18019628162145684</v>
      </c>
      <c r="G831" s="773"/>
      <c r="H831" s="778"/>
      <c r="I831" s="774"/>
      <c r="J831" s="492">
        <f>IF(I831=0,1,I831)*IF(H831=0,1,H831)*IF(G831=0,1,G831)*IF(F831=0,1,F831)*IF(E831=0,1,E831)*IF(D831=0,1,D831)*IF(C831=0,1,C831)</f>
        <v>-3.9643181956720506</v>
      </c>
      <c r="K831" s="480"/>
      <c r="L831" s="774"/>
      <c r="M831" s="760">
        <f>H828/3.281</f>
        <v>0.15239256324291373</v>
      </c>
      <c r="N831" s="781"/>
      <c r="O831" s="768">
        <f>E831</f>
        <v>-2</v>
      </c>
      <c r="P831" s="781">
        <f>(1.5/12)/3.281</f>
        <v>3.8098140810728431E-2</v>
      </c>
      <c r="Q831" s="756" t="s">
        <v>463</v>
      </c>
      <c r="R831" s="756">
        <v>6.5</v>
      </c>
      <c r="S831" s="757">
        <f>6/(12*3.281)</f>
        <v>0.15239256324291375</v>
      </c>
      <c r="T831" s="758">
        <f>(ROUND(N830/S831,0))+1</f>
        <v>11</v>
      </c>
      <c r="U831" s="759">
        <f>M830-2*P831+2*8*R831/1000</f>
        <v>0.18019628162145684</v>
      </c>
      <c r="V831" s="757">
        <f>T831*U831*O831</f>
        <v>-3.9643181956720506</v>
      </c>
      <c r="W831" s="757">
        <f t="shared" si="178"/>
        <v>0</v>
      </c>
      <c r="X831" s="757">
        <f t="shared" si="178"/>
        <v>-3.9643181956720506</v>
      </c>
      <c r="Y831" s="757">
        <f t="shared" si="178"/>
        <v>0</v>
      </c>
      <c r="Z831" s="757">
        <f t="shared" si="178"/>
        <v>0</v>
      </c>
      <c r="AA831" s="757">
        <f t="shared" si="178"/>
        <v>0</v>
      </c>
      <c r="AB831" s="757">
        <f t="shared" si="178"/>
        <v>0</v>
      </c>
      <c r="AC831" s="757">
        <f t="shared" si="178"/>
        <v>0</v>
      </c>
      <c r="AD831" s="757">
        <f t="shared" si="178"/>
        <v>0</v>
      </c>
      <c r="AE831" s="757">
        <f t="shared" si="178"/>
        <v>0</v>
      </c>
      <c r="AF831" s="772" t="e">
        <f>(#REF!+#REF!/12)-0.25+0.5+0.25*2</f>
        <v>#REF!</v>
      </c>
      <c r="AI831" s="777"/>
      <c r="AL831" s="777"/>
      <c r="AM831" s="777"/>
    </row>
    <row r="832" spans="1:43" s="390" customFormat="1" ht="22.25" customHeight="1">
      <c r="A832" s="454"/>
      <c r="B832" s="657" t="s">
        <v>780</v>
      </c>
      <c r="C832" s="662"/>
      <c r="D832" s="662"/>
      <c r="E832" s="662">
        <v>-3</v>
      </c>
      <c r="F832" s="498">
        <v>3.33</v>
      </c>
      <c r="G832" s="642">
        <f>G828</f>
        <v>0.5</v>
      </c>
      <c r="H832" s="642">
        <v>0.5</v>
      </c>
      <c r="I832" s="507"/>
      <c r="J832" s="507"/>
      <c r="K832" s="455"/>
      <c r="L832" s="302"/>
      <c r="M832" s="722"/>
      <c r="N832" s="722"/>
      <c r="O832" s="500"/>
      <c r="P832" s="722"/>
      <c r="Q832" s="611"/>
      <c r="R832" s="611"/>
      <c r="S832" s="624"/>
      <c r="T832" s="625"/>
      <c r="U832" s="626"/>
      <c r="V832" s="624"/>
      <c r="W832" s="624">
        <f t="shared" si="178"/>
        <v>0</v>
      </c>
      <c r="X832" s="624">
        <f t="shared" si="178"/>
        <v>0</v>
      </c>
      <c r="Y832" s="624">
        <f t="shared" si="178"/>
        <v>0</v>
      </c>
      <c r="Z832" s="624">
        <f t="shared" si="178"/>
        <v>0</v>
      </c>
      <c r="AA832" s="624">
        <f t="shared" si="178"/>
        <v>0</v>
      </c>
      <c r="AB832" s="624">
        <f t="shared" si="178"/>
        <v>0</v>
      </c>
      <c r="AC832" s="624">
        <f t="shared" si="178"/>
        <v>0</v>
      </c>
      <c r="AD832" s="624">
        <f t="shared" si="178"/>
        <v>0</v>
      </c>
      <c r="AE832" s="624">
        <f t="shared" si="178"/>
        <v>0</v>
      </c>
      <c r="AF832" s="471"/>
      <c r="AG832" s="473"/>
      <c r="AH832" s="471"/>
      <c r="AI832" s="471"/>
      <c r="AJ832" s="471"/>
      <c r="AM832" s="404"/>
      <c r="AP832" s="404"/>
      <c r="AQ832" s="404"/>
    </row>
    <row r="833" spans="1:48" s="476" customFormat="1" ht="22.25" customHeight="1">
      <c r="A833" s="478"/>
      <c r="B833" s="761" t="s">
        <v>620</v>
      </c>
      <c r="C833" s="665"/>
      <c r="D833" s="665"/>
      <c r="E833" s="665"/>
      <c r="F833" s="751"/>
      <c r="G833" s="752"/>
      <c r="H833" s="752"/>
      <c r="I833" s="753"/>
      <c r="J833" s="871"/>
      <c r="K833" s="479"/>
      <c r="L833" s="483"/>
      <c r="M833" s="754"/>
      <c r="N833" s="754"/>
      <c r="O833" s="866"/>
      <c r="P833" s="754"/>
      <c r="Q833" s="756"/>
      <c r="R833" s="756"/>
      <c r="S833" s="757"/>
      <c r="T833" s="758"/>
      <c r="U833" s="759"/>
      <c r="V833" s="757"/>
      <c r="W833" s="757">
        <f t="shared" si="178"/>
        <v>0</v>
      </c>
      <c r="X833" s="757">
        <f t="shared" si="178"/>
        <v>0</v>
      </c>
      <c r="Y833" s="757">
        <f t="shared" si="178"/>
        <v>0</v>
      </c>
      <c r="Z833" s="757">
        <f t="shared" si="178"/>
        <v>0</v>
      </c>
      <c r="AA833" s="757">
        <f t="shared" si="178"/>
        <v>0</v>
      </c>
      <c r="AB833" s="757">
        <f t="shared" si="178"/>
        <v>0</v>
      </c>
      <c r="AC833" s="757">
        <f t="shared" si="178"/>
        <v>0</v>
      </c>
      <c r="AD833" s="757">
        <f t="shared" si="178"/>
        <v>0</v>
      </c>
      <c r="AE833" s="757">
        <f t="shared" si="178"/>
        <v>0</v>
      </c>
      <c r="AF833" s="475"/>
      <c r="AG833" s="762"/>
      <c r="AH833" s="475"/>
      <c r="AI833" s="475"/>
      <c r="AJ833" s="475"/>
      <c r="AM833" s="477"/>
      <c r="AP833" s="477"/>
      <c r="AQ833" s="477"/>
    </row>
    <row r="834" spans="1:48" s="776" customFormat="1" ht="22.25" customHeight="1">
      <c r="A834" s="769"/>
      <c r="B834" s="770" t="s">
        <v>484</v>
      </c>
      <c r="C834" s="665"/>
      <c r="D834" s="665">
        <v>2</v>
      </c>
      <c r="E834" s="665">
        <f>E832</f>
        <v>-3</v>
      </c>
      <c r="F834" s="751">
        <f>U834</f>
        <v>1.0149344711978054</v>
      </c>
      <c r="G834" s="773"/>
      <c r="H834" s="778"/>
      <c r="I834" s="774"/>
      <c r="J834" s="492">
        <f>IF(I834=0,1,I834)*IF(H834=0,1,H834)*IF(G834=0,1,G834)*IF(F834=0,1,F834)*IF(E834=0,1,E834)*IF(D834=0,1,D834)*IF(C834=0,1,C834)</f>
        <v>-6.0896068271868327</v>
      </c>
      <c r="K834" s="480"/>
      <c r="L834" s="774"/>
      <c r="M834" s="760">
        <f>G832/3.281</f>
        <v>0.15239256324291373</v>
      </c>
      <c r="N834" s="781">
        <f>F832/3.281</f>
        <v>1.0149344711978054</v>
      </c>
      <c r="O834" s="768">
        <f>E834</f>
        <v>-3</v>
      </c>
      <c r="P834" s="781">
        <f>(1.5/12)/3.281</f>
        <v>3.8098140810728431E-2</v>
      </c>
      <c r="Q834" s="756" t="s">
        <v>604</v>
      </c>
      <c r="R834" s="756">
        <v>10</v>
      </c>
      <c r="S834" s="757"/>
      <c r="T834" s="758">
        <f>D834</f>
        <v>2</v>
      </c>
      <c r="U834" s="759">
        <f>N834</f>
        <v>1.0149344711978054</v>
      </c>
      <c r="V834" s="757">
        <f>T834*U834*O834</f>
        <v>-6.0896068271868327</v>
      </c>
      <c r="W834" s="757">
        <f t="shared" ref="W834:AE835" si="179">IF($R834=W$5,$V834,0)</f>
        <v>0</v>
      </c>
      <c r="X834" s="757">
        <f t="shared" si="179"/>
        <v>0</v>
      </c>
      <c r="Y834" s="757">
        <f t="shared" si="179"/>
        <v>-6.0896068271868327</v>
      </c>
      <c r="Z834" s="757">
        <f t="shared" si="179"/>
        <v>0</v>
      </c>
      <c r="AA834" s="757">
        <f t="shared" si="179"/>
        <v>0</v>
      </c>
      <c r="AB834" s="757">
        <f t="shared" si="179"/>
        <v>0</v>
      </c>
      <c r="AC834" s="757">
        <f t="shared" si="179"/>
        <v>0</v>
      </c>
      <c r="AD834" s="757">
        <f t="shared" si="179"/>
        <v>0</v>
      </c>
      <c r="AE834" s="757">
        <f t="shared" si="179"/>
        <v>0</v>
      </c>
      <c r="AF834" s="772" t="e">
        <f>(#REF!+#REF!/12)-0.25+0.5+0.25*2</f>
        <v>#REF!</v>
      </c>
      <c r="AI834" s="777"/>
      <c r="AL834" s="777"/>
      <c r="AM834" s="777"/>
    </row>
    <row r="835" spans="1:48" s="776" customFormat="1" ht="22.25" customHeight="1">
      <c r="A835" s="769"/>
      <c r="B835" s="770" t="s">
        <v>601</v>
      </c>
      <c r="C835" s="665"/>
      <c r="D835" s="665">
        <f>T835</f>
        <v>8</v>
      </c>
      <c r="E835" s="665">
        <f>E834</f>
        <v>-3</v>
      </c>
      <c r="F835" s="751">
        <f>U835</f>
        <v>0.18019628162145684</v>
      </c>
      <c r="G835" s="773"/>
      <c r="H835" s="778"/>
      <c r="I835" s="774"/>
      <c r="J835" s="492">
        <f>IF(I835=0,1,I835)*IF(H835=0,1,H835)*IF(G835=0,1,G835)*IF(F835=0,1,F835)*IF(E835=0,1,E835)*IF(D835=0,1,D835)*IF(C835=0,1,C835)</f>
        <v>-4.3247107589149643</v>
      </c>
      <c r="K835" s="480"/>
      <c r="L835" s="774"/>
      <c r="M835" s="760">
        <f>H832/3.281</f>
        <v>0.15239256324291373</v>
      </c>
      <c r="N835" s="781"/>
      <c r="O835" s="768">
        <f>E835</f>
        <v>-3</v>
      </c>
      <c r="P835" s="781">
        <f>(1.5/12)/3.281</f>
        <v>3.8098140810728431E-2</v>
      </c>
      <c r="Q835" s="756" t="s">
        <v>463</v>
      </c>
      <c r="R835" s="756">
        <v>6.5</v>
      </c>
      <c r="S835" s="757">
        <f>6/(12*3.281)</f>
        <v>0.15239256324291375</v>
      </c>
      <c r="T835" s="758">
        <f>(ROUND(N834/S835,0))+1</f>
        <v>8</v>
      </c>
      <c r="U835" s="759">
        <f>M834-2*P835+2*8*R835/1000</f>
        <v>0.18019628162145684</v>
      </c>
      <c r="V835" s="757">
        <f>T835*U835*O835</f>
        <v>-4.3247107589149643</v>
      </c>
      <c r="W835" s="757">
        <f t="shared" si="179"/>
        <v>0</v>
      </c>
      <c r="X835" s="757">
        <f t="shared" si="179"/>
        <v>-4.3247107589149643</v>
      </c>
      <c r="Y835" s="757">
        <f t="shared" si="179"/>
        <v>0</v>
      </c>
      <c r="Z835" s="757">
        <f t="shared" si="179"/>
        <v>0</v>
      </c>
      <c r="AA835" s="757">
        <f t="shared" si="179"/>
        <v>0</v>
      </c>
      <c r="AB835" s="757">
        <f t="shared" si="179"/>
        <v>0</v>
      </c>
      <c r="AC835" s="757">
        <f t="shared" si="179"/>
        <v>0</v>
      </c>
      <c r="AD835" s="757">
        <f t="shared" si="179"/>
        <v>0</v>
      </c>
      <c r="AE835" s="757">
        <f t="shared" si="179"/>
        <v>0</v>
      </c>
      <c r="AF835" s="772" t="e">
        <f>(#REF!+#REF!/12)-0.25+0.5+0.25*2</f>
        <v>#REF!</v>
      </c>
      <c r="AI835" s="777"/>
      <c r="AL835" s="777"/>
      <c r="AM835" s="777"/>
    </row>
    <row r="836" spans="1:48" s="390" customFormat="1" ht="22.25" customHeight="1">
      <c r="A836" s="454"/>
      <c r="B836" s="657" t="s">
        <v>781</v>
      </c>
      <c r="C836" s="662"/>
      <c r="D836" s="662"/>
      <c r="E836" s="662">
        <v>-4</v>
      </c>
      <c r="F836" s="498">
        <v>2.5</v>
      </c>
      <c r="G836" s="642">
        <f>G832</f>
        <v>0.5</v>
      </c>
      <c r="H836" s="642">
        <v>0.5</v>
      </c>
      <c r="I836" s="507"/>
      <c r="J836" s="507"/>
      <c r="K836" s="455"/>
      <c r="L836" s="302"/>
      <c r="M836" s="722"/>
      <c r="N836" s="722"/>
      <c r="O836" s="500"/>
      <c r="P836" s="722"/>
      <c r="Q836" s="611"/>
      <c r="R836" s="611"/>
      <c r="S836" s="624"/>
      <c r="T836" s="625"/>
      <c r="U836" s="626"/>
      <c r="V836" s="624"/>
      <c r="W836" s="624"/>
      <c r="X836" s="624"/>
      <c r="Y836" s="624"/>
      <c r="Z836" s="624"/>
      <c r="AA836" s="624"/>
      <c r="AB836" s="624"/>
      <c r="AC836" s="624"/>
      <c r="AD836" s="624"/>
      <c r="AE836" s="624"/>
      <c r="AF836" s="471"/>
      <c r="AG836" s="473"/>
      <c r="AH836" s="471"/>
      <c r="AI836" s="471"/>
      <c r="AJ836" s="471"/>
      <c r="AM836" s="404"/>
      <c r="AP836" s="404"/>
      <c r="AQ836" s="404"/>
    </row>
    <row r="837" spans="1:48" s="476" customFormat="1" ht="22.25" customHeight="1">
      <c r="A837" s="478"/>
      <c r="B837" s="761" t="s">
        <v>620</v>
      </c>
      <c r="C837" s="665"/>
      <c r="D837" s="665"/>
      <c r="E837" s="665"/>
      <c r="F837" s="751"/>
      <c r="G837" s="752"/>
      <c r="H837" s="752"/>
      <c r="I837" s="753"/>
      <c r="J837" s="871"/>
      <c r="K837" s="479"/>
      <c r="L837" s="483"/>
      <c r="M837" s="754"/>
      <c r="N837" s="754"/>
      <c r="O837" s="866"/>
      <c r="P837" s="754"/>
      <c r="Q837" s="756"/>
      <c r="R837" s="756"/>
      <c r="S837" s="757"/>
      <c r="T837" s="758"/>
      <c r="U837" s="759"/>
      <c r="V837" s="757"/>
      <c r="W837" s="757">
        <f t="shared" ref="W837:AE839" si="180">IF($R837=W$5,$V837,0)</f>
        <v>0</v>
      </c>
      <c r="X837" s="757">
        <f t="shared" si="180"/>
        <v>0</v>
      </c>
      <c r="Y837" s="757">
        <f t="shared" si="180"/>
        <v>0</v>
      </c>
      <c r="Z837" s="757">
        <f t="shared" si="180"/>
        <v>0</v>
      </c>
      <c r="AA837" s="757">
        <f t="shared" si="180"/>
        <v>0</v>
      </c>
      <c r="AB837" s="757">
        <f t="shared" si="180"/>
        <v>0</v>
      </c>
      <c r="AC837" s="757">
        <f t="shared" si="180"/>
        <v>0</v>
      </c>
      <c r="AD837" s="757">
        <f t="shared" si="180"/>
        <v>0</v>
      </c>
      <c r="AE837" s="757">
        <f t="shared" si="180"/>
        <v>0</v>
      </c>
      <c r="AF837" s="475"/>
      <c r="AG837" s="762"/>
      <c r="AH837" s="475"/>
      <c r="AI837" s="475"/>
      <c r="AJ837" s="475"/>
      <c r="AM837" s="477"/>
      <c r="AP837" s="477"/>
      <c r="AQ837" s="477"/>
    </row>
    <row r="838" spans="1:48" s="776" customFormat="1" ht="22.25" customHeight="1">
      <c r="A838" s="769"/>
      <c r="B838" s="770" t="s">
        <v>484</v>
      </c>
      <c r="C838" s="665"/>
      <c r="D838" s="665">
        <v>2</v>
      </c>
      <c r="E838" s="665">
        <f>E836</f>
        <v>-4</v>
      </c>
      <c r="F838" s="751">
        <f>U838</f>
        <v>0.76196281621456874</v>
      </c>
      <c r="G838" s="773"/>
      <c r="H838" s="778"/>
      <c r="I838" s="774"/>
      <c r="J838" s="492">
        <f>IF(I838=0,1,I838)*IF(H838=0,1,H838)*IF(G838=0,1,G838)*IF(F838=0,1,F838)*IF(E838=0,1,E838)*IF(D838=0,1,D838)*IF(C838=0,1,C838)</f>
        <v>-6.0957025297165499</v>
      </c>
      <c r="K838" s="480"/>
      <c r="L838" s="774"/>
      <c r="M838" s="760">
        <f>G836/3.281</f>
        <v>0.15239256324291373</v>
      </c>
      <c r="N838" s="781">
        <f>F836/3.281</f>
        <v>0.76196281621456874</v>
      </c>
      <c r="O838" s="768">
        <f>E838</f>
        <v>-4</v>
      </c>
      <c r="P838" s="781">
        <f>(1.5/12)/3.281</f>
        <v>3.8098140810728431E-2</v>
      </c>
      <c r="Q838" s="756" t="s">
        <v>604</v>
      </c>
      <c r="R838" s="756">
        <v>10</v>
      </c>
      <c r="S838" s="757"/>
      <c r="T838" s="758">
        <f>D838</f>
        <v>2</v>
      </c>
      <c r="U838" s="759">
        <f>N838</f>
        <v>0.76196281621456874</v>
      </c>
      <c r="V838" s="757">
        <f>T838*U838*O838</f>
        <v>-6.0957025297165499</v>
      </c>
      <c r="W838" s="757">
        <f t="shared" si="180"/>
        <v>0</v>
      </c>
      <c r="X838" s="757">
        <f t="shared" si="180"/>
        <v>0</v>
      </c>
      <c r="Y838" s="757">
        <f t="shared" si="180"/>
        <v>-6.0957025297165499</v>
      </c>
      <c r="Z838" s="757">
        <f t="shared" si="180"/>
        <v>0</v>
      </c>
      <c r="AA838" s="757">
        <f t="shared" si="180"/>
        <v>0</v>
      </c>
      <c r="AB838" s="757">
        <f t="shared" si="180"/>
        <v>0</v>
      </c>
      <c r="AC838" s="757">
        <f t="shared" si="180"/>
        <v>0</v>
      </c>
      <c r="AD838" s="757">
        <f t="shared" si="180"/>
        <v>0</v>
      </c>
      <c r="AE838" s="757">
        <f t="shared" si="180"/>
        <v>0</v>
      </c>
      <c r="AF838" s="772" t="e">
        <f>(#REF!+#REF!/12)-0.25+0.5+0.25*2</f>
        <v>#REF!</v>
      </c>
      <c r="AI838" s="777"/>
      <c r="AL838" s="777"/>
      <c r="AM838" s="777"/>
    </row>
    <row r="839" spans="1:48" s="776" customFormat="1" ht="22.25" customHeight="1">
      <c r="A839" s="769"/>
      <c r="B839" s="770" t="s">
        <v>601</v>
      </c>
      <c r="C839" s="665"/>
      <c r="D839" s="665">
        <f>T839</f>
        <v>6</v>
      </c>
      <c r="E839" s="665">
        <f>E838</f>
        <v>-4</v>
      </c>
      <c r="F839" s="751">
        <f>U839</f>
        <v>0.18019628162145684</v>
      </c>
      <c r="G839" s="773"/>
      <c r="H839" s="778"/>
      <c r="I839" s="774"/>
      <c r="J839" s="492">
        <f>IF(I839=0,1,I839)*IF(H839=0,1,H839)*IF(G839=0,1,G839)*IF(F839=0,1,F839)*IF(E839=0,1,E839)*IF(D839=0,1,D839)*IF(C839=0,1,C839)</f>
        <v>-4.3247107589149643</v>
      </c>
      <c r="K839" s="480"/>
      <c r="L839" s="774"/>
      <c r="M839" s="760">
        <f>H836/3.281</f>
        <v>0.15239256324291373</v>
      </c>
      <c r="N839" s="781"/>
      <c r="O839" s="768">
        <f>E839</f>
        <v>-4</v>
      </c>
      <c r="P839" s="781">
        <f>(1.5/12)/3.281</f>
        <v>3.8098140810728431E-2</v>
      </c>
      <c r="Q839" s="756" t="s">
        <v>463</v>
      </c>
      <c r="R839" s="756">
        <v>6.5</v>
      </c>
      <c r="S839" s="757">
        <f>6/(12*3.281)</f>
        <v>0.15239256324291375</v>
      </c>
      <c r="T839" s="758">
        <f>(ROUND(N838/S839,0))+1</f>
        <v>6</v>
      </c>
      <c r="U839" s="759">
        <f>M838-2*P839+2*8*R839/1000</f>
        <v>0.18019628162145684</v>
      </c>
      <c r="V839" s="757">
        <f>T839*U839*O839</f>
        <v>-4.3247107589149643</v>
      </c>
      <c r="W839" s="757">
        <f t="shared" si="180"/>
        <v>0</v>
      </c>
      <c r="X839" s="757">
        <f t="shared" si="180"/>
        <v>-4.3247107589149643</v>
      </c>
      <c r="Y839" s="757">
        <f t="shared" si="180"/>
        <v>0</v>
      </c>
      <c r="Z839" s="757">
        <f t="shared" si="180"/>
        <v>0</v>
      </c>
      <c r="AA839" s="757">
        <f t="shared" si="180"/>
        <v>0</v>
      </c>
      <c r="AB839" s="757">
        <f t="shared" si="180"/>
        <v>0</v>
      </c>
      <c r="AC839" s="757">
        <f t="shared" si="180"/>
        <v>0</v>
      </c>
      <c r="AD839" s="757">
        <f t="shared" si="180"/>
        <v>0</v>
      </c>
      <c r="AE839" s="757">
        <f t="shared" si="180"/>
        <v>0</v>
      </c>
      <c r="AF839" s="772" t="e">
        <f>(#REF!+#REF!/12)-0.25+0.5+0.25*2</f>
        <v>#REF!</v>
      </c>
      <c r="AI839" s="777"/>
      <c r="AL839" s="777"/>
      <c r="AM839" s="777"/>
    </row>
    <row r="840" spans="1:48" s="390" customFormat="1" ht="21.9" customHeight="1">
      <c r="A840" s="454"/>
      <c r="B840" s="659" t="s">
        <v>612</v>
      </c>
      <c r="C840" s="662"/>
      <c r="D840" s="662"/>
      <c r="E840" s="662"/>
      <c r="F840" s="498"/>
      <c r="G840" s="642"/>
      <c r="H840" s="648"/>
      <c r="I840" s="501"/>
      <c r="J840" s="455"/>
      <c r="K840" s="455"/>
      <c r="L840" s="312"/>
      <c r="M840" s="726"/>
      <c r="N840" s="726"/>
      <c r="O840" s="726"/>
      <c r="P840" s="726"/>
      <c r="Q840" s="611"/>
      <c r="R840" s="611"/>
      <c r="S840" s="624"/>
      <c r="T840" s="625"/>
      <c r="U840" s="626"/>
      <c r="V840" s="624"/>
      <c r="W840" s="624">
        <f t="shared" ref="W840:AE845" si="181">IF($R840=W$5,$V840,0)</f>
        <v>0</v>
      </c>
      <c r="X840" s="624">
        <f t="shared" si="181"/>
        <v>0</v>
      </c>
      <c r="Y840" s="624">
        <f t="shared" si="181"/>
        <v>0</v>
      </c>
      <c r="Z840" s="624">
        <f t="shared" si="181"/>
        <v>0</v>
      </c>
      <c r="AA840" s="624">
        <f t="shared" si="181"/>
        <v>0</v>
      </c>
      <c r="AB840" s="624">
        <f t="shared" si="181"/>
        <v>0</v>
      </c>
      <c r="AC840" s="624">
        <f t="shared" si="181"/>
        <v>0</v>
      </c>
      <c r="AD840" s="624">
        <f t="shared" si="181"/>
        <v>0</v>
      </c>
      <c r="AE840" s="624">
        <f t="shared" si="181"/>
        <v>0</v>
      </c>
      <c r="AF840" s="404"/>
      <c r="AG840" s="471"/>
      <c r="AH840" s="471"/>
      <c r="AI840" s="471"/>
      <c r="AJ840" s="471"/>
      <c r="AM840" s="404"/>
      <c r="AP840" s="404"/>
      <c r="AQ840" s="404"/>
    </row>
    <row r="841" spans="1:48" s="390" customFormat="1" ht="22.25" customHeight="1">
      <c r="A841" s="454"/>
      <c r="B841" s="659" t="s">
        <v>151</v>
      </c>
      <c r="C841" s="662"/>
      <c r="D841" s="662"/>
      <c r="E841" s="662"/>
      <c r="F841" s="498"/>
      <c r="G841" s="642"/>
      <c r="H841" s="642"/>
      <c r="I841" s="499"/>
      <c r="J841" s="507"/>
      <c r="K841" s="455"/>
      <c r="L841" s="312"/>
      <c r="M841" s="722"/>
      <c r="N841" s="722"/>
      <c r="O841" s="455"/>
      <c r="P841" s="722"/>
      <c r="Q841" s="611"/>
      <c r="R841" s="611"/>
      <c r="S841" s="624"/>
      <c r="T841" s="625"/>
      <c r="U841" s="626"/>
      <c r="V841" s="624"/>
      <c r="W841" s="624">
        <f t="shared" si="181"/>
        <v>0</v>
      </c>
      <c r="X841" s="624">
        <f t="shared" si="181"/>
        <v>0</v>
      </c>
      <c r="Y841" s="624">
        <f t="shared" si="181"/>
        <v>0</v>
      </c>
      <c r="Z841" s="624">
        <f t="shared" si="181"/>
        <v>0</v>
      </c>
      <c r="AA841" s="624">
        <f t="shared" si="181"/>
        <v>0</v>
      </c>
      <c r="AB841" s="624">
        <f t="shared" si="181"/>
        <v>0</v>
      </c>
      <c r="AC841" s="624">
        <f t="shared" si="181"/>
        <v>0</v>
      </c>
      <c r="AD841" s="624">
        <f t="shared" si="181"/>
        <v>0</v>
      </c>
      <c r="AE841" s="624">
        <f t="shared" si="181"/>
        <v>0</v>
      </c>
      <c r="AF841" s="471"/>
      <c r="AG841" s="473"/>
      <c r="AH841" s="471"/>
      <c r="AI841" s="471"/>
      <c r="AJ841" s="471"/>
      <c r="AM841" s="404"/>
      <c r="AP841" s="404"/>
      <c r="AQ841" s="404"/>
    </row>
    <row r="842" spans="1:48" s="390" customFormat="1" ht="22.25" customHeight="1">
      <c r="A842" s="454"/>
      <c r="B842" s="657"/>
      <c r="C842" s="662"/>
      <c r="D842" s="662"/>
      <c r="E842" s="662">
        <v>19</v>
      </c>
      <c r="F842" s="642">
        <v>0.5</v>
      </c>
      <c r="G842" s="642">
        <v>0.5</v>
      </c>
      <c r="H842" s="642">
        <v>13</v>
      </c>
      <c r="I842" s="499"/>
      <c r="J842" s="507"/>
      <c r="K842" s="455"/>
      <c r="L842" s="302"/>
      <c r="M842" s="722"/>
      <c r="N842" s="722"/>
      <c r="O842" s="500"/>
      <c r="P842" s="722"/>
      <c r="Q842" s="611"/>
      <c r="R842" s="611"/>
      <c r="S842" s="624"/>
      <c r="T842" s="625"/>
      <c r="U842" s="626"/>
      <c r="V842" s="624"/>
      <c r="W842" s="624">
        <f t="shared" si="181"/>
        <v>0</v>
      </c>
      <c r="X842" s="624">
        <f t="shared" si="181"/>
        <v>0</v>
      </c>
      <c r="Y842" s="624">
        <f t="shared" si="181"/>
        <v>0</v>
      </c>
      <c r="Z842" s="624">
        <f t="shared" si="181"/>
        <v>0</v>
      </c>
      <c r="AA842" s="624">
        <f t="shared" si="181"/>
        <v>0</v>
      </c>
      <c r="AB842" s="624">
        <f t="shared" si="181"/>
        <v>0</v>
      </c>
      <c r="AC842" s="624">
        <f t="shared" si="181"/>
        <v>0</v>
      </c>
      <c r="AD842" s="624">
        <f t="shared" si="181"/>
        <v>0</v>
      </c>
      <c r="AE842" s="624">
        <f t="shared" si="181"/>
        <v>0</v>
      </c>
      <c r="AF842" s="471"/>
      <c r="AG842" s="473"/>
      <c r="AH842" s="471"/>
      <c r="AI842" s="471"/>
      <c r="AJ842" s="471"/>
      <c r="AM842" s="404"/>
      <c r="AP842" s="404"/>
      <c r="AQ842" s="404"/>
    </row>
    <row r="843" spans="1:48" s="476" customFormat="1" ht="22.25" customHeight="1">
      <c r="A843" s="478"/>
      <c r="B843" s="761" t="s">
        <v>621</v>
      </c>
      <c r="C843" s="665"/>
      <c r="D843" s="665"/>
      <c r="E843" s="665"/>
      <c r="F843" s="751"/>
      <c r="G843" s="752"/>
      <c r="H843" s="752"/>
      <c r="I843" s="753"/>
      <c r="J843" s="871"/>
      <c r="K843" s="479"/>
      <c r="L843" s="483"/>
      <c r="M843" s="754"/>
      <c r="N843" s="754"/>
      <c r="O843" s="866"/>
      <c r="P843" s="754"/>
      <c r="Q843" s="756"/>
      <c r="R843" s="756"/>
      <c r="S843" s="757"/>
      <c r="T843" s="758"/>
      <c r="U843" s="759"/>
      <c r="V843" s="757"/>
      <c r="W843" s="757">
        <f t="shared" si="181"/>
        <v>0</v>
      </c>
      <c r="X843" s="757">
        <f t="shared" si="181"/>
        <v>0</v>
      </c>
      <c r="Y843" s="757">
        <f t="shared" si="181"/>
        <v>0</v>
      </c>
      <c r="Z843" s="757">
        <f t="shared" si="181"/>
        <v>0</v>
      </c>
      <c r="AA843" s="757">
        <f t="shared" si="181"/>
        <v>0</v>
      </c>
      <c r="AB843" s="757">
        <f t="shared" si="181"/>
        <v>0</v>
      </c>
      <c r="AC843" s="757">
        <f t="shared" si="181"/>
        <v>0</v>
      </c>
      <c r="AD843" s="757">
        <f t="shared" si="181"/>
        <v>0</v>
      </c>
      <c r="AE843" s="757">
        <f t="shared" si="181"/>
        <v>0</v>
      </c>
      <c r="AF843" s="475"/>
      <c r="AG843" s="762"/>
      <c r="AH843" s="475"/>
      <c r="AI843" s="475"/>
      <c r="AJ843" s="475"/>
      <c r="AM843" s="477"/>
      <c r="AP843" s="477"/>
      <c r="AQ843" s="477"/>
    </row>
    <row r="844" spans="1:48" s="776" customFormat="1" ht="22.25" customHeight="1">
      <c r="A844" s="769"/>
      <c r="B844" s="770" t="s">
        <v>484</v>
      </c>
      <c r="C844" s="665"/>
      <c r="D844" s="665">
        <v>4</v>
      </c>
      <c r="E844" s="665">
        <f>E842</f>
        <v>19</v>
      </c>
      <c r="F844" s="751">
        <f>U844</f>
        <v>4.1222066443157575</v>
      </c>
      <c r="G844" s="773"/>
      <c r="H844" s="778"/>
      <c r="I844" s="774"/>
      <c r="J844" s="492">
        <f>IF(I844=0,1,I844)*IF(H844=0,1,H844)*IF(G844=0,1,G844)*IF(F844=0,1,F844)*IF(E844=0,1,E844)*IF(D844=0,1,D844)*IF(C844=0,1,C844)</f>
        <v>313.28770496799757</v>
      </c>
      <c r="K844" s="480"/>
      <c r="L844" s="774"/>
      <c r="M844" s="760">
        <f>G842/3.281</f>
        <v>0.15239256324291373</v>
      </c>
      <c r="N844" s="781">
        <f>F842/3.281</f>
        <v>0.15239256324291373</v>
      </c>
      <c r="O844" s="768">
        <f>E844</f>
        <v>19</v>
      </c>
      <c r="P844" s="781">
        <f>(1.5/12)/3.281</f>
        <v>3.8098140810728431E-2</v>
      </c>
      <c r="Q844" s="756" t="s">
        <v>604</v>
      </c>
      <c r="R844" s="756">
        <v>10</v>
      </c>
      <c r="S844" s="757"/>
      <c r="T844" s="758">
        <f>D844</f>
        <v>4</v>
      </c>
      <c r="U844" s="759">
        <f>M845+2*8*R844/1000</f>
        <v>4.1222066443157575</v>
      </c>
      <c r="V844" s="757">
        <f>T844*U844*O844</f>
        <v>313.28770496799757</v>
      </c>
      <c r="W844" s="757">
        <f t="shared" si="181"/>
        <v>0</v>
      </c>
      <c r="X844" s="757">
        <f t="shared" si="181"/>
        <v>0</v>
      </c>
      <c r="Y844" s="757">
        <f t="shared" si="181"/>
        <v>313.28770496799757</v>
      </c>
      <c r="Z844" s="757">
        <f t="shared" si="181"/>
        <v>0</v>
      </c>
      <c r="AA844" s="757">
        <f t="shared" si="181"/>
        <v>0</v>
      </c>
      <c r="AB844" s="757">
        <f t="shared" si="181"/>
        <v>0</v>
      </c>
      <c r="AC844" s="757">
        <f t="shared" si="181"/>
        <v>0</v>
      </c>
      <c r="AD844" s="757">
        <f t="shared" si="181"/>
        <v>0</v>
      </c>
      <c r="AE844" s="757">
        <f t="shared" si="181"/>
        <v>0</v>
      </c>
      <c r="AF844" s="772" t="e">
        <f>(#REF!+#REF!/12)-0.25+0.5+0.25*2</f>
        <v>#REF!</v>
      </c>
      <c r="AI844" s="777"/>
      <c r="AL844" s="777"/>
      <c r="AM844" s="777"/>
    </row>
    <row r="845" spans="1:48" s="776" customFormat="1" ht="22.25" customHeight="1">
      <c r="A845" s="769"/>
      <c r="B845" s="770" t="s">
        <v>601</v>
      </c>
      <c r="C845" s="665"/>
      <c r="D845" s="665">
        <f>T845</f>
        <v>27</v>
      </c>
      <c r="E845" s="665">
        <f>E844</f>
        <v>19</v>
      </c>
      <c r="F845" s="751">
        <f>U845</f>
        <v>0.40878512648582743</v>
      </c>
      <c r="G845" s="773"/>
      <c r="H845" s="778"/>
      <c r="I845" s="774"/>
      <c r="J845" s="492">
        <f>IF(I845=0,1,I845)*IF(H845=0,1,H845)*IF(G845=0,1,G845)*IF(F845=0,1,F845)*IF(E845=0,1,E845)*IF(D845=0,1,D845)*IF(C845=0,1,C845)</f>
        <v>209.70676988722948</v>
      </c>
      <c r="K845" s="480"/>
      <c r="L845" s="774"/>
      <c r="M845" s="760">
        <f>H842/3.281</f>
        <v>3.9622066443157573</v>
      </c>
      <c r="N845" s="781"/>
      <c r="O845" s="768">
        <f>E845</f>
        <v>19</v>
      </c>
      <c r="P845" s="781">
        <f>(1.5/12)/3.281</f>
        <v>3.8098140810728431E-2</v>
      </c>
      <c r="Q845" s="756" t="s">
        <v>463</v>
      </c>
      <c r="R845" s="756">
        <v>6.5</v>
      </c>
      <c r="S845" s="757">
        <f>6/(12*3.281)</f>
        <v>0.15239256324291375</v>
      </c>
      <c r="T845" s="758">
        <f>(ROUND(M845/S845,0))+1</f>
        <v>27</v>
      </c>
      <c r="U845" s="759">
        <f>2*(M844+N844)-8*P845+2*8*R845/1000</f>
        <v>0.40878512648582743</v>
      </c>
      <c r="V845" s="757">
        <f>T845*U845*O845</f>
        <v>209.70676988722948</v>
      </c>
      <c r="W845" s="757">
        <f t="shared" si="181"/>
        <v>0</v>
      </c>
      <c r="X845" s="757">
        <f t="shared" si="181"/>
        <v>209.70676988722948</v>
      </c>
      <c r="Y845" s="757">
        <f t="shared" si="181"/>
        <v>0</v>
      </c>
      <c r="Z845" s="757">
        <f t="shared" si="181"/>
        <v>0</v>
      </c>
      <c r="AA845" s="757">
        <f t="shared" si="181"/>
        <v>0</v>
      </c>
      <c r="AB845" s="757">
        <f t="shared" si="181"/>
        <v>0</v>
      </c>
      <c r="AC845" s="757">
        <f t="shared" si="181"/>
        <v>0</v>
      </c>
      <c r="AD845" s="757">
        <f t="shared" si="181"/>
        <v>0</v>
      </c>
      <c r="AE845" s="757">
        <f t="shared" si="181"/>
        <v>0</v>
      </c>
      <c r="AF845" s="772" t="e">
        <f>(#REF!+#REF!/12)-0.25+0.5+0.25*2</f>
        <v>#REF!</v>
      </c>
      <c r="AI845" s="777"/>
      <c r="AL845" s="777"/>
      <c r="AM845" s="777"/>
    </row>
    <row r="846" spans="1:48" s="776" customFormat="1" ht="22.25" customHeight="1">
      <c r="A846" s="769"/>
      <c r="B846" s="770"/>
      <c r="C846" s="665"/>
      <c r="D846" s="665"/>
      <c r="E846" s="665"/>
      <c r="F846" s="751"/>
      <c r="G846" s="773"/>
      <c r="H846" s="778"/>
      <c r="I846" s="774"/>
      <c r="J846" s="871"/>
      <c r="K846" s="480"/>
      <c r="L846" s="774"/>
      <c r="M846" s="760"/>
      <c r="N846" s="781"/>
      <c r="O846" s="768"/>
      <c r="P846" s="781"/>
      <c r="Q846" s="756"/>
      <c r="R846" s="756"/>
      <c r="S846" s="757"/>
      <c r="T846" s="758"/>
      <c r="U846" s="759"/>
      <c r="V846" s="757"/>
      <c r="W846" s="757"/>
      <c r="X846" s="757"/>
      <c r="Y846" s="757"/>
      <c r="Z846" s="757"/>
      <c r="AA846" s="757"/>
      <c r="AB846" s="757"/>
      <c r="AC846" s="757"/>
      <c r="AD846" s="757"/>
      <c r="AE846" s="757"/>
      <c r="AF846" s="888"/>
      <c r="AI846" s="777"/>
      <c r="AL846" s="777"/>
      <c r="AM846" s="777"/>
    </row>
    <row r="847" spans="1:48" s="885" customFormat="1" ht="23.4" customHeight="1">
      <c r="A847" s="788"/>
      <c r="B847" s="958"/>
      <c r="C847" s="940"/>
      <c r="D847" s="940"/>
      <c r="E847" s="940"/>
      <c r="F847" s="959"/>
      <c r="G847" s="960"/>
      <c r="H847" s="962"/>
      <c r="I847" s="802"/>
      <c r="J847" s="958" t="s">
        <v>484</v>
      </c>
      <c r="K847" s="963">
        <f>SUMIF($B$786:$B$847,J847,$J$786:$J$847)</f>
        <v>490.98352941176472</v>
      </c>
      <c r="L847" s="791" t="s">
        <v>46</v>
      </c>
      <c r="M847" s="964"/>
      <c r="N847" s="964"/>
      <c r="O847" s="965"/>
      <c r="P847" s="964"/>
      <c r="Q847" s="618"/>
      <c r="R847" s="618"/>
      <c r="S847" s="618"/>
      <c r="T847" s="618"/>
      <c r="U847" s="618"/>
      <c r="V847" s="624"/>
      <c r="W847" s="624">
        <f t="shared" ref="W847:AE853" si="182">IF($R847=W$5,$V847,0)</f>
        <v>0</v>
      </c>
      <c r="X847" s="624">
        <f t="shared" si="182"/>
        <v>0</v>
      </c>
      <c r="Y847" s="624">
        <f t="shared" si="182"/>
        <v>0</v>
      </c>
      <c r="Z847" s="624">
        <f t="shared" si="182"/>
        <v>0</v>
      </c>
      <c r="AA847" s="624">
        <f t="shared" si="182"/>
        <v>0</v>
      </c>
      <c r="AB847" s="624">
        <f t="shared" si="182"/>
        <v>0</v>
      </c>
      <c r="AC847" s="624">
        <f t="shared" si="182"/>
        <v>0</v>
      </c>
      <c r="AD847" s="624">
        <f t="shared" si="182"/>
        <v>0</v>
      </c>
      <c r="AE847" s="624">
        <f t="shared" si="182"/>
        <v>0</v>
      </c>
      <c r="AF847" s="944"/>
      <c r="AG847" s="966"/>
      <c r="AH847" s="966"/>
      <c r="AI847" s="966"/>
      <c r="AJ847" s="944"/>
      <c r="AK847" s="944"/>
      <c r="AN847" s="886"/>
      <c r="AQ847" s="886"/>
      <c r="AR847" s="886"/>
    </row>
    <row r="848" spans="1:48" s="390" customFormat="1" ht="23.4" customHeight="1">
      <c r="A848" s="788"/>
      <c r="B848" s="958"/>
      <c r="C848" s="940"/>
      <c r="D848" s="940"/>
      <c r="E848" s="940"/>
      <c r="F848" s="959"/>
      <c r="G848" s="960"/>
      <c r="H848" s="958"/>
      <c r="I848" s="791"/>
      <c r="J848" s="513"/>
      <c r="K848" s="963">
        <f>K847*$Y$889</f>
        <v>303.07625272331154</v>
      </c>
      <c r="L848" s="513" t="s">
        <v>172</v>
      </c>
      <c r="M848" s="722"/>
      <c r="N848" s="722"/>
      <c r="O848" s="957"/>
      <c r="P848" s="722"/>
      <c r="Q848" s="611"/>
      <c r="R848" s="611"/>
      <c r="S848" s="624"/>
      <c r="T848" s="625"/>
      <c r="U848" s="611"/>
      <c r="V848" s="624"/>
      <c r="W848" s="624">
        <f t="shared" si="182"/>
        <v>0</v>
      </c>
      <c r="X848" s="624">
        <f t="shared" si="182"/>
        <v>0</v>
      </c>
      <c r="Y848" s="624">
        <f t="shared" si="182"/>
        <v>0</v>
      </c>
      <c r="Z848" s="624">
        <f t="shared" si="182"/>
        <v>0</v>
      </c>
      <c r="AA848" s="624">
        <f t="shared" si="182"/>
        <v>0</v>
      </c>
      <c r="AB848" s="624">
        <f t="shared" si="182"/>
        <v>0</v>
      </c>
      <c r="AC848" s="624">
        <f t="shared" si="182"/>
        <v>0</v>
      </c>
      <c r="AD848" s="624">
        <f t="shared" si="182"/>
        <v>0</v>
      </c>
      <c r="AE848" s="624">
        <f t="shared" si="182"/>
        <v>0</v>
      </c>
      <c r="AF848" s="471" t="e">
        <f>1/#REF!</f>
        <v>#REF!</v>
      </c>
      <c r="AG848" s="471" t="e">
        <f>#REF!*2.8</f>
        <v>#REF!</v>
      </c>
      <c r="AH848" s="471"/>
      <c r="AI848" s="471"/>
      <c r="AJ848" s="471"/>
      <c r="AK848" s="471"/>
      <c r="AL848" s="471"/>
      <c r="AM848" s="471"/>
      <c r="AN848" s="471"/>
      <c r="AO848" s="471"/>
      <c r="AR848" s="404"/>
      <c r="AU848" s="404"/>
      <c r="AV848" s="404"/>
    </row>
    <row r="849" spans="1:48" s="885" customFormat="1" ht="23.4" customHeight="1">
      <c r="A849" s="788"/>
      <c r="B849" s="958"/>
      <c r="C849" s="940"/>
      <c r="D849" s="940"/>
      <c r="E849" s="940"/>
      <c r="F849" s="959"/>
      <c r="G849" s="960"/>
      <c r="H849" s="962"/>
      <c r="I849" s="802"/>
      <c r="J849" s="958" t="s">
        <v>601</v>
      </c>
      <c r="K849" s="963">
        <f>SUMIF($B$786:$B$847,J849,$J$786:$J$847)</f>
        <v>316.02257604388905</v>
      </c>
      <c r="L849" s="791" t="s">
        <v>46</v>
      </c>
      <c r="M849" s="964"/>
      <c r="N849" s="964"/>
      <c r="O849" s="965"/>
      <c r="P849" s="964"/>
      <c r="Q849" s="618"/>
      <c r="R849" s="618"/>
      <c r="S849" s="618"/>
      <c r="T849" s="618"/>
      <c r="U849" s="618"/>
      <c r="V849" s="624"/>
      <c r="W849" s="624">
        <f t="shared" si="182"/>
        <v>0</v>
      </c>
      <c r="X849" s="624">
        <f t="shared" si="182"/>
        <v>0</v>
      </c>
      <c r="Y849" s="624">
        <f t="shared" si="182"/>
        <v>0</v>
      </c>
      <c r="Z849" s="624">
        <f t="shared" si="182"/>
        <v>0</v>
      </c>
      <c r="AA849" s="624">
        <f t="shared" si="182"/>
        <v>0</v>
      </c>
      <c r="AB849" s="624">
        <f t="shared" si="182"/>
        <v>0</v>
      </c>
      <c r="AC849" s="624">
        <f t="shared" si="182"/>
        <v>0</v>
      </c>
      <c r="AD849" s="624">
        <f t="shared" si="182"/>
        <v>0</v>
      </c>
      <c r="AE849" s="624">
        <f t="shared" si="182"/>
        <v>0</v>
      </c>
      <c r="AF849" s="944"/>
      <c r="AG849" s="966"/>
      <c r="AH849" s="966"/>
      <c r="AI849" s="966"/>
      <c r="AJ849" s="944"/>
      <c r="AK849" s="944"/>
      <c r="AN849" s="886"/>
      <c r="AQ849" s="886"/>
      <c r="AR849" s="886"/>
    </row>
    <row r="850" spans="1:48" s="390" customFormat="1" ht="23.4" customHeight="1">
      <c r="A850" s="788"/>
      <c r="B850" s="958"/>
      <c r="C850" s="940"/>
      <c r="D850" s="940"/>
      <c r="E850" s="940"/>
      <c r="F850" s="959"/>
      <c r="G850" s="960"/>
      <c r="H850" s="958"/>
      <c r="I850" s="791"/>
      <c r="J850" s="513"/>
      <c r="K850" s="963">
        <f>K849*$X$889</f>
        <v>82.419468134903155</v>
      </c>
      <c r="L850" s="513" t="s">
        <v>172</v>
      </c>
      <c r="M850" s="722"/>
      <c r="N850" s="722"/>
      <c r="O850" s="957"/>
      <c r="P850" s="722"/>
      <c r="Q850" s="611"/>
      <c r="R850" s="611"/>
      <c r="S850" s="624"/>
      <c r="T850" s="625"/>
      <c r="U850" s="611"/>
      <c r="V850" s="624"/>
      <c r="W850" s="624">
        <f t="shared" si="182"/>
        <v>0</v>
      </c>
      <c r="X850" s="624">
        <f t="shared" si="182"/>
        <v>0</v>
      </c>
      <c r="Y850" s="624">
        <f t="shared" si="182"/>
        <v>0</v>
      </c>
      <c r="Z850" s="624">
        <f t="shared" si="182"/>
        <v>0</v>
      </c>
      <c r="AA850" s="624">
        <f t="shared" si="182"/>
        <v>0</v>
      </c>
      <c r="AB850" s="624">
        <f t="shared" si="182"/>
        <v>0</v>
      </c>
      <c r="AC850" s="624">
        <f t="shared" si="182"/>
        <v>0</v>
      </c>
      <c r="AD850" s="624">
        <f t="shared" si="182"/>
        <v>0</v>
      </c>
      <c r="AE850" s="624">
        <f t="shared" si="182"/>
        <v>0</v>
      </c>
      <c r="AF850" s="471" t="e">
        <f>1/#REF!</f>
        <v>#REF!</v>
      </c>
      <c r="AG850" s="471" t="e">
        <f>#REF!*2.8</f>
        <v>#REF!</v>
      </c>
      <c r="AH850" s="471"/>
      <c r="AI850" s="471"/>
      <c r="AJ850" s="471"/>
      <c r="AK850" s="471"/>
      <c r="AL850" s="471"/>
      <c r="AM850" s="471"/>
      <c r="AN850" s="471"/>
      <c r="AO850" s="471"/>
      <c r="AR850" s="404"/>
      <c r="AU850" s="404"/>
      <c r="AV850" s="404"/>
    </row>
    <row r="851" spans="1:48" s="390" customFormat="1" ht="22.25" customHeight="1">
      <c r="A851" s="454"/>
      <c r="B851" s="967"/>
      <c r="C851" s="662"/>
      <c r="D851" s="662"/>
      <c r="E851" s="662"/>
      <c r="F851" s="498"/>
      <c r="G851" s="643"/>
      <c r="H851" s="643"/>
      <c r="I851" s="501"/>
      <c r="J851" s="421"/>
      <c r="K851" s="507"/>
      <c r="L851" s="432"/>
      <c r="M851" s="722"/>
      <c r="N851" s="722"/>
      <c r="O851" s="957"/>
      <c r="P851" s="722"/>
      <c r="Q851" s="618"/>
      <c r="R851" s="618"/>
      <c r="S851" s="618"/>
      <c r="T851" s="618"/>
      <c r="U851" s="618"/>
      <c r="V851" s="624"/>
      <c r="W851" s="624">
        <f t="shared" si="182"/>
        <v>0</v>
      </c>
      <c r="X851" s="624">
        <f t="shared" si="182"/>
        <v>0</v>
      </c>
      <c r="Y851" s="624">
        <f t="shared" si="182"/>
        <v>0</v>
      </c>
      <c r="Z851" s="624">
        <f t="shared" si="182"/>
        <v>0</v>
      </c>
      <c r="AA851" s="624">
        <f t="shared" si="182"/>
        <v>0</v>
      </c>
      <c r="AB851" s="624">
        <f t="shared" si="182"/>
        <v>0</v>
      </c>
      <c r="AC851" s="624">
        <f t="shared" si="182"/>
        <v>0</v>
      </c>
      <c r="AD851" s="624">
        <f t="shared" si="182"/>
        <v>0</v>
      </c>
      <c r="AE851" s="624">
        <f t="shared" si="182"/>
        <v>0</v>
      </c>
      <c r="AF851" s="471"/>
      <c r="AG851" s="473"/>
      <c r="AH851" s="471"/>
      <c r="AI851" s="471"/>
      <c r="AJ851" s="471"/>
      <c r="AM851" s="404"/>
      <c r="AP851" s="404"/>
      <c r="AQ851" s="404"/>
    </row>
    <row r="852" spans="1:48" s="390" customFormat="1" ht="21.9" customHeight="1">
      <c r="A852" s="454"/>
      <c r="B852" s="659" t="s">
        <v>650</v>
      </c>
      <c r="C852" s="662"/>
      <c r="D852" s="662"/>
      <c r="E852" s="662"/>
      <c r="F852" s="498"/>
      <c r="G852" s="642"/>
      <c r="H852" s="648"/>
      <c r="I852" s="501"/>
      <c r="J852" s="455"/>
      <c r="K852" s="455"/>
      <c r="L852" s="312"/>
      <c r="M852" s="726"/>
      <c r="N852" s="726"/>
      <c r="O852" s="726"/>
      <c r="P852" s="726"/>
      <c r="Q852" s="611"/>
      <c r="R852" s="611"/>
      <c r="S852" s="624"/>
      <c r="T852" s="625"/>
      <c r="U852" s="626"/>
      <c r="V852" s="624"/>
      <c r="W852" s="624">
        <f t="shared" si="182"/>
        <v>0</v>
      </c>
      <c r="X852" s="624">
        <f t="shared" si="182"/>
        <v>0</v>
      </c>
      <c r="Y852" s="624">
        <f t="shared" si="182"/>
        <v>0</v>
      </c>
      <c r="Z852" s="624">
        <f t="shared" si="182"/>
        <v>0</v>
      </c>
      <c r="AA852" s="624">
        <f t="shared" si="182"/>
        <v>0</v>
      </c>
      <c r="AB852" s="624">
        <f t="shared" si="182"/>
        <v>0</v>
      </c>
      <c r="AC852" s="624">
        <f t="shared" si="182"/>
        <v>0</v>
      </c>
      <c r="AD852" s="624">
        <f t="shared" si="182"/>
        <v>0</v>
      </c>
      <c r="AE852" s="624">
        <f t="shared" si="182"/>
        <v>0</v>
      </c>
      <c r="AF852" s="404"/>
      <c r="AG852" s="471"/>
      <c r="AH852" s="471"/>
      <c r="AI852" s="471"/>
      <c r="AJ852" s="471"/>
      <c r="AM852" s="404"/>
      <c r="AP852" s="404"/>
      <c r="AQ852" s="404"/>
    </row>
    <row r="853" spans="1:48" s="390" customFormat="1" ht="22.25" customHeight="1">
      <c r="A853" s="454"/>
      <c r="B853" s="659" t="s">
        <v>151</v>
      </c>
      <c r="C853" s="662"/>
      <c r="D853" s="662"/>
      <c r="E853" s="662"/>
      <c r="F853" s="498"/>
      <c r="G853" s="642"/>
      <c r="H853" s="642"/>
      <c r="I853" s="499"/>
      <c r="J853" s="507"/>
      <c r="K853" s="455"/>
      <c r="L853" s="312"/>
      <c r="M853" s="722">
        <f>F853*2+G853*2</f>
        <v>0</v>
      </c>
      <c r="N853" s="722">
        <f>M853*H853</f>
        <v>0</v>
      </c>
      <c r="O853" s="455">
        <f>F853*G853</f>
        <v>0</v>
      </c>
      <c r="P853" s="722"/>
      <c r="Q853" s="611"/>
      <c r="R853" s="611"/>
      <c r="S853" s="624"/>
      <c r="T853" s="625"/>
      <c r="U853" s="626"/>
      <c r="V853" s="624"/>
      <c r="W853" s="624">
        <f t="shared" si="182"/>
        <v>0</v>
      </c>
      <c r="X853" s="624">
        <f t="shared" si="182"/>
        <v>0</v>
      </c>
      <c r="Y853" s="624">
        <f t="shared" si="182"/>
        <v>0</v>
      </c>
      <c r="Z853" s="624">
        <f t="shared" si="182"/>
        <v>0</v>
      </c>
      <c r="AA853" s="624">
        <f t="shared" si="182"/>
        <v>0</v>
      </c>
      <c r="AB853" s="624">
        <f t="shared" si="182"/>
        <v>0</v>
      </c>
      <c r="AC853" s="624">
        <f t="shared" si="182"/>
        <v>0</v>
      </c>
      <c r="AD853" s="624">
        <f t="shared" si="182"/>
        <v>0</v>
      </c>
      <c r="AE853" s="624">
        <f t="shared" si="182"/>
        <v>0</v>
      </c>
      <c r="AF853" s="471"/>
      <c r="AG853" s="473"/>
      <c r="AH853" s="471"/>
      <c r="AI853" s="471"/>
      <c r="AJ853" s="471"/>
      <c r="AM853" s="404"/>
      <c r="AP853" s="404"/>
      <c r="AQ853" s="404"/>
    </row>
    <row r="854" spans="1:48" s="776" customFormat="1" ht="20" customHeight="1">
      <c r="A854" s="769"/>
      <c r="B854" s="939" t="s">
        <v>774</v>
      </c>
      <c r="C854" s="940"/>
      <c r="D854" s="940"/>
      <c r="E854" s="940">
        <v>2</v>
      </c>
      <c r="F854" s="941">
        <f>(9.67+6.83)*2</f>
        <v>33</v>
      </c>
      <c r="G854" s="942">
        <v>0.33</v>
      </c>
      <c r="H854" s="942">
        <v>0.33</v>
      </c>
      <c r="I854" s="924"/>
      <c r="J854" s="492"/>
      <c r="K854" s="924"/>
      <c r="L854" s="774"/>
      <c r="M854" s="775"/>
      <c r="N854" s="775"/>
      <c r="O854" s="775"/>
      <c r="P854" s="775"/>
      <c r="Q854" s="775"/>
      <c r="R854" s="775"/>
      <c r="S854" s="775"/>
      <c r="T854" s="775"/>
      <c r="U854" s="775"/>
      <c r="V854" s="775"/>
      <c r="Y854" s="777"/>
      <c r="AB854" s="777"/>
      <c r="AC854" s="777"/>
    </row>
    <row r="855" spans="1:48" s="476" customFormat="1" ht="22.25" customHeight="1">
      <c r="A855" s="478"/>
      <c r="B855" s="761" t="s">
        <v>792</v>
      </c>
      <c r="C855" s="665"/>
      <c r="D855" s="665"/>
      <c r="E855" s="665"/>
      <c r="F855" s="751"/>
      <c r="G855" s="752"/>
      <c r="H855" s="752"/>
      <c r="I855" s="753"/>
      <c r="J855" s="871"/>
      <c r="K855" s="479"/>
      <c r="L855" s="483"/>
      <c r="M855" s="754"/>
      <c r="N855" s="754"/>
      <c r="O855" s="866"/>
      <c r="P855" s="754"/>
      <c r="Q855" s="756"/>
      <c r="R855" s="756"/>
      <c r="S855" s="757"/>
      <c r="T855" s="758"/>
      <c r="U855" s="759"/>
      <c r="V855" s="757"/>
      <c r="W855" s="757">
        <f t="shared" ref="W855:AE871" si="183">IF($R855=W$5,$V855,0)</f>
        <v>0</v>
      </c>
      <c r="X855" s="757">
        <f t="shared" si="183"/>
        <v>0</v>
      </c>
      <c r="Y855" s="757">
        <f t="shared" si="183"/>
        <v>0</v>
      </c>
      <c r="Z855" s="757">
        <f t="shared" si="183"/>
        <v>0</v>
      </c>
      <c r="AA855" s="757">
        <f t="shared" si="183"/>
        <v>0</v>
      </c>
      <c r="AB855" s="757">
        <f t="shared" si="183"/>
        <v>0</v>
      </c>
      <c r="AC855" s="757">
        <f t="shared" si="183"/>
        <v>0</v>
      </c>
      <c r="AD855" s="757">
        <f t="shared" si="183"/>
        <v>0</v>
      </c>
      <c r="AE855" s="757">
        <f t="shared" si="183"/>
        <v>0</v>
      </c>
      <c r="AF855" s="475"/>
      <c r="AG855" s="762"/>
      <c r="AH855" s="475"/>
      <c r="AI855" s="475"/>
      <c r="AJ855" s="475"/>
      <c r="AM855" s="477"/>
      <c r="AP855" s="477"/>
      <c r="AQ855" s="477"/>
    </row>
    <row r="856" spans="1:48" s="776" customFormat="1" ht="22.25" customHeight="1">
      <c r="A856" s="769"/>
      <c r="B856" s="770" t="s">
        <v>484</v>
      </c>
      <c r="C856" s="665"/>
      <c r="D856" s="665">
        <v>3</v>
      </c>
      <c r="E856" s="665">
        <f>E854</f>
        <v>2</v>
      </c>
      <c r="F856" s="751">
        <f>U856</f>
        <v>10.217909174032307</v>
      </c>
      <c r="G856" s="773"/>
      <c r="H856" s="778"/>
      <c r="I856" s="774"/>
      <c r="J856" s="492">
        <f>IF(I856=0,1,I856)*IF(H856=0,1,H856)*IF(G856=0,1,G856)*IF(F856=0,1,F856)*IF(E856=0,1,E856)*IF(D856=0,1,D856)*IF(C856=0,1,C856)</f>
        <v>61.307455044193844</v>
      </c>
      <c r="K856" s="480"/>
      <c r="L856" s="774"/>
      <c r="M856" s="760">
        <f>G854/3.281</f>
        <v>0.10057909174032308</v>
      </c>
      <c r="N856" s="781">
        <f>F854/3.281</f>
        <v>10.057909174032307</v>
      </c>
      <c r="O856" s="768">
        <f>E856</f>
        <v>2</v>
      </c>
      <c r="P856" s="781">
        <f>(1.5/12)/3.281</f>
        <v>3.8098140810728431E-2</v>
      </c>
      <c r="Q856" s="756" t="s">
        <v>604</v>
      </c>
      <c r="R856" s="756">
        <v>10</v>
      </c>
      <c r="S856" s="757"/>
      <c r="T856" s="758">
        <f>D856</f>
        <v>3</v>
      </c>
      <c r="U856" s="759">
        <f>N856+2*8*R856/1000</f>
        <v>10.217909174032307</v>
      </c>
      <c r="V856" s="757">
        <f>T856*U856*O856</f>
        <v>61.307455044193844</v>
      </c>
      <c r="W856" s="757">
        <f t="shared" si="183"/>
        <v>0</v>
      </c>
      <c r="X856" s="757">
        <f t="shared" si="183"/>
        <v>0</v>
      </c>
      <c r="Y856" s="757">
        <f t="shared" si="183"/>
        <v>61.307455044193844</v>
      </c>
      <c r="Z856" s="757">
        <f t="shared" si="183"/>
        <v>0</v>
      </c>
      <c r="AA856" s="757">
        <f t="shared" si="183"/>
        <v>0</v>
      </c>
      <c r="AB856" s="757">
        <f t="shared" si="183"/>
        <v>0</v>
      </c>
      <c r="AC856" s="757">
        <f t="shared" si="183"/>
        <v>0</v>
      </c>
      <c r="AD856" s="757">
        <f t="shared" si="183"/>
        <v>0</v>
      </c>
      <c r="AE856" s="757">
        <f t="shared" si="183"/>
        <v>0</v>
      </c>
      <c r="AF856" s="772" t="e">
        <f>(#REF!+#REF!/12)-0.25+0.5+0.25*2</f>
        <v>#REF!</v>
      </c>
      <c r="AI856" s="777"/>
      <c r="AL856" s="777"/>
      <c r="AM856" s="777"/>
    </row>
    <row r="857" spans="1:48" s="776" customFormat="1" ht="22.25" customHeight="1">
      <c r="A857" s="769"/>
      <c r="B857" s="770" t="s">
        <v>601</v>
      </c>
      <c r="C857" s="665"/>
      <c r="D857" s="665">
        <f>T857</f>
        <v>67</v>
      </c>
      <c r="E857" s="665">
        <f>E856</f>
        <v>2</v>
      </c>
      <c r="F857" s="751">
        <f>U857</f>
        <v>0.20153124047546483</v>
      </c>
      <c r="G857" s="773"/>
      <c r="H857" s="778"/>
      <c r="I857" s="774"/>
      <c r="J857" s="492">
        <f>IF(I857=0,1,I857)*IF(H857=0,1,H857)*IF(G857=0,1,G857)*IF(F857=0,1,F857)*IF(E857=0,1,E857)*IF(D857=0,1,D857)*IF(C857=0,1,C857)</f>
        <v>27.005186223712286</v>
      </c>
      <c r="K857" s="480"/>
      <c r="L857" s="774"/>
      <c r="M857" s="760">
        <f>H854/3.281</f>
        <v>0.10057909174032308</v>
      </c>
      <c r="N857" s="781"/>
      <c r="O857" s="768">
        <f>E857</f>
        <v>2</v>
      </c>
      <c r="P857" s="781">
        <f>(1.5/12)/3.281</f>
        <v>3.8098140810728431E-2</v>
      </c>
      <c r="Q857" s="756" t="s">
        <v>463</v>
      </c>
      <c r="R857" s="756">
        <v>6.5</v>
      </c>
      <c r="S857" s="757">
        <f>6/(12*3.281)</f>
        <v>0.15239256324291375</v>
      </c>
      <c r="T857" s="758">
        <f>(ROUND(N856/S857,0))+1</f>
        <v>67</v>
      </c>
      <c r="U857" s="759">
        <f>2*(M856+M857)-8*P857+2*8*R857/1000</f>
        <v>0.20153124047546483</v>
      </c>
      <c r="V857" s="757">
        <f>T857*U857*O857</f>
        <v>27.005186223712286</v>
      </c>
      <c r="W857" s="757">
        <f t="shared" si="183"/>
        <v>0</v>
      </c>
      <c r="X857" s="757">
        <f t="shared" si="183"/>
        <v>27.005186223712286</v>
      </c>
      <c r="Y857" s="757">
        <f t="shared" si="183"/>
        <v>0</v>
      </c>
      <c r="Z857" s="757">
        <f t="shared" si="183"/>
        <v>0</v>
      </c>
      <c r="AA857" s="757">
        <f t="shared" si="183"/>
        <v>0</v>
      </c>
      <c r="AB857" s="757">
        <f t="shared" si="183"/>
        <v>0</v>
      </c>
      <c r="AC857" s="757">
        <f t="shared" si="183"/>
        <v>0</v>
      </c>
      <c r="AD857" s="757">
        <f t="shared" si="183"/>
        <v>0</v>
      </c>
      <c r="AE857" s="757">
        <f t="shared" si="183"/>
        <v>0</v>
      </c>
      <c r="AF857" s="772" t="e">
        <f>(#REF!+#REF!/12)-0.25+0.5+0.25*2</f>
        <v>#REF!</v>
      </c>
      <c r="AI857" s="777"/>
      <c r="AL857" s="777"/>
      <c r="AM857" s="777"/>
    </row>
    <row r="858" spans="1:48" s="885" customFormat="1" ht="20" customHeight="1">
      <c r="A858" s="788"/>
      <c r="B858" s="939" t="s">
        <v>775</v>
      </c>
      <c r="C858" s="940"/>
      <c r="D858" s="940"/>
      <c r="E858" s="940">
        <v>1</v>
      </c>
      <c r="F858" s="941">
        <f>(6.17+6.83)*2</f>
        <v>26</v>
      </c>
      <c r="G858" s="942">
        <v>0.33</v>
      </c>
      <c r="H858" s="942">
        <v>0.33</v>
      </c>
      <c r="I858" s="943"/>
      <c r="J858" s="507">
        <f>IF(I858=0,1,I858)*IF(H858=0,1,H858)*IF(G858=0,1,G858)*IF(F858=0,1,F858)*IF(E858=0,1,E858)*IF(D858=0,1,D858)*IF(C858=0,1,C858)</f>
        <v>2.8314000000000004</v>
      </c>
      <c r="K858" s="943"/>
      <c r="L858" s="802"/>
      <c r="M858" s="944"/>
      <c r="N858" s="944"/>
      <c r="O858" s="944"/>
      <c r="P858" s="944"/>
      <c r="Q858" s="944"/>
      <c r="R858" s="944"/>
      <c r="S858" s="944"/>
      <c r="T858" s="944"/>
      <c r="U858" s="944"/>
      <c r="V858" s="944"/>
      <c r="Y858" s="886"/>
      <c r="AB858" s="886"/>
      <c r="AC858" s="886"/>
    </row>
    <row r="859" spans="1:48" s="476" customFormat="1" ht="22.25" customHeight="1">
      <c r="A859" s="478"/>
      <c r="B859" s="761" t="s">
        <v>792</v>
      </c>
      <c r="C859" s="665"/>
      <c r="D859" s="665"/>
      <c r="E859" s="665"/>
      <c r="F859" s="751"/>
      <c r="G859" s="752"/>
      <c r="H859" s="752"/>
      <c r="I859" s="753"/>
      <c r="J859" s="871"/>
      <c r="K859" s="479"/>
      <c r="L859" s="483"/>
      <c r="M859" s="754"/>
      <c r="N859" s="754"/>
      <c r="O859" s="866"/>
      <c r="P859" s="754"/>
      <c r="Q859" s="756"/>
      <c r="R859" s="756"/>
      <c r="S859" s="757"/>
      <c r="T859" s="758"/>
      <c r="U859" s="759"/>
      <c r="V859" s="757"/>
      <c r="W859" s="757">
        <f t="shared" si="183"/>
        <v>0</v>
      </c>
      <c r="X859" s="757">
        <f t="shared" si="183"/>
        <v>0</v>
      </c>
      <c r="Y859" s="757">
        <f t="shared" si="183"/>
        <v>0</v>
      </c>
      <c r="Z859" s="757">
        <f t="shared" si="183"/>
        <v>0</v>
      </c>
      <c r="AA859" s="757">
        <f t="shared" si="183"/>
        <v>0</v>
      </c>
      <c r="AB859" s="757">
        <f t="shared" si="183"/>
        <v>0</v>
      </c>
      <c r="AC859" s="757">
        <f t="shared" si="183"/>
        <v>0</v>
      </c>
      <c r="AD859" s="757">
        <f t="shared" si="183"/>
        <v>0</v>
      </c>
      <c r="AE859" s="757">
        <f t="shared" si="183"/>
        <v>0</v>
      </c>
      <c r="AF859" s="475"/>
      <c r="AG859" s="762"/>
      <c r="AH859" s="475"/>
      <c r="AI859" s="475"/>
      <c r="AJ859" s="475"/>
      <c r="AM859" s="477"/>
      <c r="AP859" s="477"/>
      <c r="AQ859" s="477"/>
    </row>
    <row r="860" spans="1:48" s="776" customFormat="1" ht="22.25" customHeight="1">
      <c r="A860" s="769"/>
      <c r="B860" s="770" t="s">
        <v>484</v>
      </c>
      <c r="C860" s="665"/>
      <c r="D860" s="665">
        <v>3</v>
      </c>
      <c r="E860" s="665">
        <f>E858</f>
        <v>1</v>
      </c>
      <c r="F860" s="751">
        <f>U860</f>
        <v>8.0844132886315148</v>
      </c>
      <c r="G860" s="773"/>
      <c r="H860" s="778"/>
      <c r="I860" s="774"/>
      <c r="J860" s="492">
        <f>IF(I860=0,1,I860)*IF(H860=0,1,H860)*IF(G860=0,1,G860)*IF(F860=0,1,F860)*IF(E860=0,1,E860)*IF(D860=0,1,D860)*IF(C860=0,1,C860)</f>
        <v>24.253239865894543</v>
      </c>
      <c r="K860" s="480"/>
      <c r="L860" s="774"/>
      <c r="M860" s="760">
        <f>G858/3.281</f>
        <v>0.10057909174032308</v>
      </c>
      <c r="N860" s="781">
        <f>F858/3.281</f>
        <v>7.9244132886315146</v>
      </c>
      <c r="O860" s="768">
        <f>E860</f>
        <v>1</v>
      </c>
      <c r="P860" s="781">
        <f>(1.5/12)/3.281</f>
        <v>3.8098140810728431E-2</v>
      </c>
      <c r="Q860" s="756" t="s">
        <v>604</v>
      </c>
      <c r="R860" s="756">
        <v>10</v>
      </c>
      <c r="S860" s="757"/>
      <c r="T860" s="758">
        <f>D860</f>
        <v>3</v>
      </c>
      <c r="U860" s="759">
        <f>N860+2*8*R860/1000</f>
        <v>8.0844132886315148</v>
      </c>
      <c r="V860" s="757">
        <f>T860*U860*O860</f>
        <v>24.253239865894543</v>
      </c>
      <c r="W860" s="757">
        <f t="shared" si="183"/>
        <v>0</v>
      </c>
      <c r="X860" s="757">
        <f t="shared" si="183"/>
        <v>0</v>
      </c>
      <c r="Y860" s="757">
        <f t="shared" si="183"/>
        <v>24.253239865894543</v>
      </c>
      <c r="Z860" s="757">
        <f t="shared" si="183"/>
        <v>0</v>
      </c>
      <c r="AA860" s="757">
        <f t="shared" si="183"/>
        <v>0</v>
      </c>
      <c r="AB860" s="757">
        <f t="shared" si="183"/>
        <v>0</v>
      </c>
      <c r="AC860" s="757">
        <f t="shared" si="183"/>
        <v>0</v>
      </c>
      <c r="AD860" s="757">
        <f t="shared" si="183"/>
        <v>0</v>
      </c>
      <c r="AE860" s="757">
        <f t="shared" si="183"/>
        <v>0</v>
      </c>
      <c r="AF860" s="772" t="e">
        <f>(#REF!+#REF!/12)-0.25+0.5+0.25*2</f>
        <v>#REF!</v>
      </c>
      <c r="AI860" s="777"/>
      <c r="AL860" s="777"/>
      <c r="AM860" s="777"/>
    </row>
    <row r="861" spans="1:48" s="776" customFormat="1" ht="22.25" customHeight="1">
      <c r="A861" s="769"/>
      <c r="B861" s="770" t="s">
        <v>601</v>
      </c>
      <c r="C861" s="665"/>
      <c r="D861" s="665">
        <f>T861</f>
        <v>53</v>
      </c>
      <c r="E861" s="665">
        <f>E860</f>
        <v>1</v>
      </c>
      <c r="F861" s="751">
        <f>U861</f>
        <v>0.20153124047546483</v>
      </c>
      <c r="G861" s="773"/>
      <c r="H861" s="778"/>
      <c r="I861" s="774"/>
      <c r="J861" s="492">
        <f>IF(I861=0,1,I861)*IF(H861=0,1,H861)*IF(G861=0,1,G861)*IF(F861=0,1,F861)*IF(E861=0,1,E861)*IF(D861=0,1,D861)*IF(C861=0,1,C861)</f>
        <v>10.681155745199636</v>
      </c>
      <c r="K861" s="480"/>
      <c r="L861" s="774"/>
      <c r="M861" s="760">
        <f>H858/3.281</f>
        <v>0.10057909174032308</v>
      </c>
      <c r="N861" s="781"/>
      <c r="O861" s="768">
        <f>E861</f>
        <v>1</v>
      </c>
      <c r="P861" s="781">
        <f>(1.5/12)/3.281</f>
        <v>3.8098140810728431E-2</v>
      </c>
      <c r="Q861" s="756" t="s">
        <v>463</v>
      </c>
      <c r="R861" s="756">
        <v>6.5</v>
      </c>
      <c r="S861" s="757">
        <f>6/(12*3.281)</f>
        <v>0.15239256324291375</v>
      </c>
      <c r="T861" s="758">
        <f>(ROUND(N860/S861,0))+1</f>
        <v>53</v>
      </c>
      <c r="U861" s="759">
        <f>2*(M860+M861)-8*P861+2*8*R861/1000</f>
        <v>0.20153124047546483</v>
      </c>
      <c r="V861" s="757">
        <f>T861*U861*O861</f>
        <v>10.681155745199636</v>
      </c>
      <c r="W861" s="757">
        <f t="shared" si="183"/>
        <v>0</v>
      </c>
      <c r="X861" s="757">
        <f t="shared" si="183"/>
        <v>10.681155745199636</v>
      </c>
      <c r="Y861" s="757">
        <f t="shared" si="183"/>
        <v>0</v>
      </c>
      <c r="Z861" s="757">
        <f t="shared" si="183"/>
        <v>0</v>
      </c>
      <c r="AA861" s="757">
        <f t="shared" si="183"/>
        <v>0</v>
      </c>
      <c r="AB861" s="757">
        <f t="shared" si="183"/>
        <v>0</v>
      </c>
      <c r="AC861" s="757">
        <f t="shared" si="183"/>
        <v>0</v>
      </c>
      <c r="AD861" s="757">
        <f t="shared" si="183"/>
        <v>0</v>
      </c>
      <c r="AE861" s="757">
        <f t="shared" si="183"/>
        <v>0</v>
      </c>
      <c r="AF861" s="772" t="e">
        <f>(#REF!+#REF!/12)-0.25+0.5+0.25*2</f>
        <v>#REF!</v>
      </c>
      <c r="AI861" s="777"/>
      <c r="AL861" s="777"/>
      <c r="AM861" s="777"/>
    </row>
    <row r="862" spans="1:48" s="885" customFormat="1" ht="20" customHeight="1">
      <c r="A862" s="788"/>
      <c r="B862" s="939"/>
      <c r="C862" s="940"/>
      <c r="D862" s="940"/>
      <c r="E862" s="940">
        <v>1</v>
      </c>
      <c r="F862" s="941">
        <f>(11+6.83)*2</f>
        <v>35.659999999999997</v>
      </c>
      <c r="G862" s="942">
        <v>0.33</v>
      </c>
      <c r="H862" s="942">
        <v>0.33</v>
      </c>
      <c r="I862" s="943"/>
      <c r="J862" s="507">
        <f>IF(I862=0,1,I862)*IF(H862=0,1,H862)*IF(G862=0,1,G862)*IF(F862=0,1,F862)*IF(E862=0,1,E862)*IF(D862=0,1,D862)*IF(C862=0,1,C862)</f>
        <v>3.8833739999999999</v>
      </c>
      <c r="K862" s="943"/>
      <c r="L862" s="802"/>
      <c r="M862" s="944"/>
      <c r="N862" s="944"/>
      <c r="O862" s="944"/>
      <c r="P862" s="944"/>
      <c r="Q862" s="944"/>
      <c r="R862" s="944"/>
      <c r="S862" s="944"/>
      <c r="T862" s="944"/>
      <c r="U862" s="944"/>
      <c r="V862" s="944"/>
      <c r="Y862" s="886"/>
      <c r="AB862" s="886"/>
      <c r="AC862" s="886"/>
    </row>
    <row r="863" spans="1:48" s="476" customFormat="1" ht="22.25" customHeight="1">
      <c r="A863" s="478"/>
      <c r="B863" s="761" t="s">
        <v>792</v>
      </c>
      <c r="C863" s="665"/>
      <c r="D863" s="665"/>
      <c r="E863" s="665"/>
      <c r="F863" s="751"/>
      <c r="G863" s="752"/>
      <c r="H863" s="752"/>
      <c r="I863" s="753"/>
      <c r="J863" s="871"/>
      <c r="K863" s="479"/>
      <c r="L863" s="483"/>
      <c r="M863" s="754"/>
      <c r="N863" s="754"/>
      <c r="O863" s="866"/>
      <c r="P863" s="754"/>
      <c r="Q863" s="756"/>
      <c r="R863" s="756"/>
      <c r="S863" s="757"/>
      <c r="T863" s="758"/>
      <c r="U863" s="759"/>
      <c r="V863" s="757"/>
      <c r="W863" s="757">
        <f t="shared" si="183"/>
        <v>0</v>
      </c>
      <c r="X863" s="757">
        <f t="shared" si="183"/>
        <v>0</v>
      </c>
      <c r="Y863" s="757">
        <f t="shared" si="183"/>
        <v>0</v>
      </c>
      <c r="Z863" s="757">
        <f t="shared" si="183"/>
        <v>0</v>
      </c>
      <c r="AA863" s="757">
        <f t="shared" si="183"/>
        <v>0</v>
      </c>
      <c r="AB863" s="757">
        <f t="shared" si="183"/>
        <v>0</v>
      </c>
      <c r="AC863" s="757">
        <f t="shared" si="183"/>
        <v>0</v>
      </c>
      <c r="AD863" s="757">
        <f t="shared" si="183"/>
        <v>0</v>
      </c>
      <c r="AE863" s="757">
        <f t="shared" si="183"/>
        <v>0</v>
      </c>
      <c r="AF863" s="475"/>
      <c r="AG863" s="762"/>
      <c r="AH863" s="475"/>
      <c r="AI863" s="475"/>
      <c r="AJ863" s="475"/>
      <c r="AM863" s="477"/>
      <c r="AP863" s="477"/>
      <c r="AQ863" s="477"/>
    </row>
    <row r="864" spans="1:48" s="776" customFormat="1" ht="22.25" customHeight="1">
      <c r="A864" s="769"/>
      <c r="B864" s="770" t="s">
        <v>484</v>
      </c>
      <c r="C864" s="665"/>
      <c r="D864" s="665">
        <v>3</v>
      </c>
      <c r="E864" s="665">
        <f>E862</f>
        <v>1</v>
      </c>
      <c r="F864" s="751">
        <f>U864</f>
        <v>11.028637610484607</v>
      </c>
      <c r="G864" s="773"/>
      <c r="H864" s="778"/>
      <c r="I864" s="774"/>
      <c r="J864" s="492">
        <f>IF(I864=0,1,I864)*IF(H864=0,1,H864)*IF(G864=0,1,G864)*IF(F864=0,1,F864)*IF(E864=0,1,E864)*IF(D864=0,1,D864)*IF(C864=0,1,C864)</f>
        <v>33.085912831453818</v>
      </c>
      <c r="K864" s="480"/>
      <c r="L864" s="774"/>
      <c r="M864" s="760">
        <f>G862/3.281</f>
        <v>0.10057909174032308</v>
      </c>
      <c r="N864" s="781">
        <f>F862/3.281</f>
        <v>10.868637610484607</v>
      </c>
      <c r="O864" s="768">
        <f>E864</f>
        <v>1</v>
      </c>
      <c r="P864" s="781">
        <f>(1.5/12)/3.281</f>
        <v>3.8098140810728431E-2</v>
      </c>
      <c r="Q864" s="756" t="s">
        <v>604</v>
      </c>
      <c r="R864" s="756">
        <v>10</v>
      </c>
      <c r="S864" s="757"/>
      <c r="T864" s="758">
        <f>D864</f>
        <v>3</v>
      </c>
      <c r="U864" s="759">
        <f>N864+2*8*R864/1000</f>
        <v>11.028637610484607</v>
      </c>
      <c r="V864" s="757">
        <f>T864*U864*O864</f>
        <v>33.085912831453818</v>
      </c>
      <c r="W864" s="757">
        <f t="shared" si="183"/>
        <v>0</v>
      </c>
      <c r="X864" s="757">
        <f t="shared" si="183"/>
        <v>0</v>
      </c>
      <c r="Y864" s="757">
        <f t="shared" si="183"/>
        <v>33.085912831453818</v>
      </c>
      <c r="Z864" s="757">
        <f t="shared" si="183"/>
        <v>0</v>
      </c>
      <c r="AA864" s="757">
        <f t="shared" si="183"/>
        <v>0</v>
      </c>
      <c r="AB864" s="757">
        <f t="shared" si="183"/>
        <v>0</v>
      </c>
      <c r="AC864" s="757">
        <f t="shared" si="183"/>
        <v>0</v>
      </c>
      <c r="AD864" s="757">
        <f t="shared" si="183"/>
        <v>0</v>
      </c>
      <c r="AE864" s="757">
        <f t="shared" si="183"/>
        <v>0</v>
      </c>
      <c r="AF864" s="772" t="e">
        <f>(#REF!+#REF!/12)-0.25+0.5+0.25*2</f>
        <v>#REF!</v>
      </c>
      <c r="AI864" s="777"/>
      <c r="AL864" s="777"/>
      <c r="AM864" s="777"/>
    </row>
    <row r="865" spans="1:43" s="776" customFormat="1" ht="22.25" customHeight="1">
      <c r="A865" s="769"/>
      <c r="B865" s="770" t="s">
        <v>601</v>
      </c>
      <c r="C865" s="665"/>
      <c r="D865" s="665">
        <f>T865</f>
        <v>72</v>
      </c>
      <c r="E865" s="665">
        <f>E864</f>
        <v>1</v>
      </c>
      <c r="F865" s="751">
        <f>U865</f>
        <v>0.20153124047546483</v>
      </c>
      <c r="G865" s="773"/>
      <c r="H865" s="778"/>
      <c r="I865" s="774"/>
      <c r="J865" s="492">
        <f>IF(I865=0,1,I865)*IF(H865=0,1,H865)*IF(G865=0,1,G865)*IF(F865=0,1,F865)*IF(E865=0,1,E865)*IF(D865=0,1,D865)*IF(C865=0,1,C865)</f>
        <v>14.510249314233468</v>
      </c>
      <c r="K865" s="480"/>
      <c r="L865" s="774"/>
      <c r="M865" s="760">
        <f>H862/3.281</f>
        <v>0.10057909174032308</v>
      </c>
      <c r="N865" s="781"/>
      <c r="O865" s="768">
        <f>E865</f>
        <v>1</v>
      </c>
      <c r="P865" s="781">
        <f>(1.5/12)/3.281</f>
        <v>3.8098140810728431E-2</v>
      </c>
      <c r="Q865" s="756" t="s">
        <v>463</v>
      </c>
      <c r="R865" s="756">
        <v>6.5</v>
      </c>
      <c r="S865" s="757">
        <f>6/(12*3.281)</f>
        <v>0.15239256324291375</v>
      </c>
      <c r="T865" s="758">
        <f>(ROUND(N864/S865,0))+1</f>
        <v>72</v>
      </c>
      <c r="U865" s="759">
        <f>2*(M864+M865)-8*P865+2*8*R865/1000</f>
        <v>0.20153124047546483</v>
      </c>
      <c r="V865" s="757">
        <f>T865*U865*O865</f>
        <v>14.510249314233468</v>
      </c>
      <c r="W865" s="757">
        <f t="shared" si="183"/>
        <v>0</v>
      </c>
      <c r="X865" s="757">
        <f t="shared" si="183"/>
        <v>14.510249314233468</v>
      </c>
      <c r="Y865" s="757">
        <f t="shared" si="183"/>
        <v>0</v>
      </c>
      <c r="Z865" s="757">
        <f t="shared" si="183"/>
        <v>0</v>
      </c>
      <c r="AA865" s="757">
        <f t="shared" si="183"/>
        <v>0</v>
      </c>
      <c r="AB865" s="757">
        <f t="shared" si="183"/>
        <v>0</v>
      </c>
      <c r="AC865" s="757">
        <f t="shared" si="183"/>
        <v>0</v>
      </c>
      <c r="AD865" s="757">
        <f t="shared" si="183"/>
        <v>0</v>
      </c>
      <c r="AE865" s="757">
        <f t="shared" si="183"/>
        <v>0</v>
      </c>
      <c r="AF865" s="772" t="e">
        <f>(#REF!+#REF!/12)-0.25+0.5+0.25*2</f>
        <v>#REF!</v>
      </c>
      <c r="AI865" s="777"/>
      <c r="AL865" s="777"/>
      <c r="AM865" s="777"/>
    </row>
    <row r="866" spans="1:43" s="885" customFormat="1" ht="20" customHeight="1">
      <c r="A866" s="788"/>
      <c r="B866" s="939"/>
      <c r="C866" s="940"/>
      <c r="D866" s="940"/>
      <c r="E866" s="940">
        <v>1</v>
      </c>
      <c r="F866" s="941">
        <f>(4.67+6.83)*2</f>
        <v>23</v>
      </c>
      <c r="G866" s="942">
        <v>0.33</v>
      </c>
      <c r="H866" s="942">
        <v>0.33</v>
      </c>
      <c r="I866" s="943"/>
      <c r="J866" s="507">
        <f>IF(I866=0,1,I866)*IF(H866=0,1,H866)*IF(G866=0,1,G866)*IF(F866=0,1,F866)*IF(E866=0,1,E866)*IF(D866=0,1,D866)*IF(C866=0,1,C866)</f>
        <v>2.5047000000000001</v>
      </c>
      <c r="K866" s="943"/>
      <c r="L866" s="802"/>
      <c r="M866" s="944"/>
      <c r="N866" s="944"/>
      <c r="O866" s="944"/>
      <c r="P866" s="944"/>
      <c r="Q866" s="944"/>
      <c r="R866" s="944"/>
      <c r="S866" s="944"/>
      <c r="T866" s="944"/>
      <c r="U866" s="944"/>
      <c r="V866" s="944"/>
      <c r="Y866" s="886"/>
      <c r="AB866" s="886"/>
      <c r="AC866" s="886"/>
    </row>
    <row r="867" spans="1:43" s="476" customFormat="1" ht="22.25" customHeight="1">
      <c r="A867" s="478"/>
      <c r="B867" s="761" t="s">
        <v>792</v>
      </c>
      <c r="C867" s="665"/>
      <c r="D867" s="665"/>
      <c r="E867" s="665"/>
      <c r="F867" s="751"/>
      <c r="G867" s="752"/>
      <c r="H867" s="752"/>
      <c r="I867" s="753"/>
      <c r="J867" s="871"/>
      <c r="K867" s="479"/>
      <c r="L867" s="483"/>
      <c r="M867" s="754"/>
      <c r="N867" s="754"/>
      <c r="O867" s="866"/>
      <c r="P867" s="754"/>
      <c r="Q867" s="756"/>
      <c r="R867" s="756"/>
      <c r="S867" s="757"/>
      <c r="T867" s="758"/>
      <c r="U867" s="759"/>
      <c r="V867" s="757"/>
      <c r="W867" s="757">
        <f t="shared" si="183"/>
        <v>0</v>
      </c>
      <c r="X867" s="757">
        <f t="shared" si="183"/>
        <v>0</v>
      </c>
      <c r="Y867" s="757">
        <f t="shared" si="183"/>
        <v>0</v>
      </c>
      <c r="Z867" s="757">
        <f t="shared" si="183"/>
        <v>0</v>
      </c>
      <c r="AA867" s="757">
        <f t="shared" si="183"/>
        <v>0</v>
      </c>
      <c r="AB867" s="757">
        <f t="shared" si="183"/>
        <v>0</v>
      </c>
      <c r="AC867" s="757">
        <f t="shared" si="183"/>
        <v>0</v>
      </c>
      <c r="AD867" s="757">
        <f t="shared" si="183"/>
        <v>0</v>
      </c>
      <c r="AE867" s="757">
        <f t="shared" si="183"/>
        <v>0</v>
      </c>
      <c r="AF867" s="475"/>
      <c r="AG867" s="762"/>
      <c r="AH867" s="475"/>
      <c r="AI867" s="475"/>
      <c r="AJ867" s="475"/>
      <c r="AM867" s="477"/>
      <c r="AP867" s="477"/>
      <c r="AQ867" s="477"/>
    </row>
    <row r="868" spans="1:43" s="776" customFormat="1" ht="22.25" customHeight="1">
      <c r="A868" s="769"/>
      <c r="B868" s="770" t="s">
        <v>484</v>
      </c>
      <c r="C868" s="665"/>
      <c r="D868" s="665">
        <v>3</v>
      </c>
      <c r="E868" s="665">
        <f>E866</f>
        <v>1</v>
      </c>
      <c r="F868" s="751">
        <f>U868</f>
        <v>7.170057909174032</v>
      </c>
      <c r="G868" s="773"/>
      <c r="H868" s="778"/>
      <c r="I868" s="774"/>
      <c r="J868" s="492">
        <f>IF(I868=0,1,I868)*IF(H868=0,1,H868)*IF(G868=0,1,G868)*IF(F868=0,1,F868)*IF(E868=0,1,E868)*IF(D868=0,1,D868)*IF(C868=0,1,C868)</f>
        <v>21.510173727522094</v>
      </c>
      <c r="K868" s="480"/>
      <c r="L868" s="774"/>
      <c r="M868" s="760">
        <f>G866/3.281</f>
        <v>0.10057909174032308</v>
      </c>
      <c r="N868" s="781">
        <f>F866/3.281</f>
        <v>7.0100579091740318</v>
      </c>
      <c r="O868" s="768">
        <f>E868</f>
        <v>1</v>
      </c>
      <c r="P868" s="781">
        <f>(1.5/12)/3.281</f>
        <v>3.8098140810728431E-2</v>
      </c>
      <c r="Q868" s="756" t="s">
        <v>604</v>
      </c>
      <c r="R868" s="756">
        <v>10</v>
      </c>
      <c r="S868" s="757"/>
      <c r="T868" s="758">
        <f>D868</f>
        <v>3</v>
      </c>
      <c r="U868" s="759">
        <f>N868+2*8*R868/1000</f>
        <v>7.170057909174032</v>
      </c>
      <c r="V868" s="757">
        <f>T868*U868*O868</f>
        <v>21.510173727522094</v>
      </c>
      <c r="W868" s="757">
        <f t="shared" si="183"/>
        <v>0</v>
      </c>
      <c r="X868" s="757">
        <f t="shared" si="183"/>
        <v>0</v>
      </c>
      <c r="Y868" s="757">
        <f t="shared" si="183"/>
        <v>21.510173727522094</v>
      </c>
      <c r="Z868" s="757">
        <f t="shared" si="183"/>
        <v>0</v>
      </c>
      <c r="AA868" s="757">
        <f t="shared" si="183"/>
        <v>0</v>
      </c>
      <c r="AB868" s="757">
        <f t="shared" si="183"/>
        <v>0</v>
      </c>
      <c r="AC868" s="757">
        <f t="shared" si="183"/>
        <v>0</v>
      </c>
      <c r="AD868" s="757">
        <f t="shared" si="183"/>
        <v>0</v>
      </c>
      <c r="AE868" s="757">
        <f t="shared" si="183"/>
        <v>0</v>
      </c>
      <c r="AF868" s="772" t="e">
        <f>(#REF!+#REF!/12)-0.25+0.5+0.25*2</f>
        <v>#REF!</v>
      </c>
      <c r="AI868" s="777"/>
      <c r="AL868" s="777"/>
      <c r="AM868" s="777"/>
    </row>
    <row r="869" spans="1:43" s="776" customFormat="1" ht="22.25" customHeight="1">
      <c r="A869" s="769"/>
      <c r="B869" s="770" t="s">
        <v>601</v>
      </c>
      <c r="C869" s="665"/>
      <c r="D869" s="665">
        <f>T869</f>
        <v>47</v>
      </c>
      <c r="E869" s="665">
        <f>E868</f>
        <v>1</v>
      </c>
      <c r="F869" s="751">
        <f>U869</f>
        <v>0.20153124047546483</v>
      </c>
      <c r="G869" s="773"/>
      <c r="H869" s="778"/>
      <c r="I869" s="774"/>
      <c r="J869" s="492">
        <f>IF(I869=0,1,I869)*IF(H869=0,1,H869)*IF(G869=0,1,G869)*IF(F869=0,1,F869)*IF(E869=0,1,E869)*IF(D869=0,1,D869)*IF(C869=0,1,C869)</f>
        <v>9.4719683023468466</v>
      </c>
      <c r="K869" s="480"/>
      <c r="L869" s="774"/>
      <c r="M869" s="760">
        <f>H866/3.281</f>
        <v>0.10057909174032308</v>
      </c>
      <c r="N869" s="781"/>
      <c r="O869" s="768">
        <f>E869</f>
        <v>1</v>
      </c>
      <c r="P869" s="781">
        <f>(1.5/12)/3.281</f>
        <v>3.8098140810728431E-2</v>
      </c>
      <c r="Q869" s="756" t="s">
        <v>463</v>
      </c>
      <c r="R869" s="756">
        <v>6.5</v>
      </c>
      <c r="S869" s="757">
        <f>6/(12*3.281)</f>
        <v>0.15239256324291375</v>
      </c>
      <c r="T869" s="758">
        <f>(ROUND(N868/S869,0))+1</f>
        <v>47</v>
      </c>
      <c r="U869" s="759">
        <f>2*(M868+M869)-8*P869+2*8*R869/1000</f>
        <v>0.20153124047546483</v>
      </c>
      <c r="V869" s="757">
        <f>T869*U869*O869</f>
        <v>9.4719683023468466</v>
      </c>
      <c r="W869" s="757">
        <f t="shared" si="183"/>
        <v>0</v>
      </c>
      <c r="X869" s="757">
        <f t="shared" si="183"/>
        <v>9.4719683023468466</v>
      </c>
      <c r="Y869" s="757">
        <f t="shared" si="183"/>
        <v>0</v>
      </c>
      <c r="Z869" s="757">
        <f t="shared" si="183"/>
        <v>0</v>
      </c>
      <c r="AA869" s="757">
        <f t="shared" si="183"/>
        <v>0</v>
      </c>
      <c r="AB869" s="757">
        <f t="shared" si="183"/>
        <v>0</v>
      </c>
      <c r="AC869" s="757">
        <f t="shared" si="183"/>
        <v>0</v>
      </c>
      <c r="AD869" s="757">
        <f t="shared" si="183"/>
        <v>0</v>
      </c>
      <c r="AE869" s="757">
        <f t="shared" si="183"/>
        <v>0</v>
      </c>
      <c r="AF869" s="772" t="e">
        <f>(#REF!+#REF!/12)-0.25+0.5+0.25*2</f>
        <v>#REF!</v>
      </c>
      <c r="AI869" s="777"/>
      <c r="AL869" s="777"/>
      <c r="AM869" s="777"/>
    </row>
    <row r="870" spans="1:43" s="885" customFormat="1" ht="20" customHeight="1">
      <c r="A870" s="788"/>
      <c r="B870" s="939" t="s">
        <v>776</v>
      </c>
      <c r="C870" s="940"/>
      <c r="D870" s="940"/>
      <c r="E870" s="940">
        <v>2</v>
      </c>
      <c r="F870" s="941">
        <f>(4.67+6.83)*2</f>
        <v>23</v>
      </c>
      <c r="G870" s="942">
        <v>0.33</v>
      </c>
      <c r="H870" s="942">
        <v>0.33</v>
      </c>
      <c r="I870" s="943"/>
      <c r="J870" s="507">
        <f>IF(I870=0,1,I870)*IF(H870=0,1,H870)*IF(G870=0,1,G870)*IF(F870=0,1,F870)*IF(E870=0,1,E870)*IF(D870=0,1,D870)*IF(C870=0,1,C870)</f>
        <v>5.0094000000000003</v>
      </c>
      <c r="K870" s="943"/>
      <c r="L870" s="802"/>
      <c r="M870" s="944"/>
      <c r="N870" s="944"/>
      <c r="O870" s="944"/>
      <c r="P870" s="944"/>
      <c r="Q870" s="944"/>
      <c r="R870" s="944"/>
      <c r="S870" s="944"/>
      <c r="T870" s="944"/>
      <c r="U870" s="944"/>
      <c r="V870" s="944"/>
      <c r="Y870" s="886"/>
      <c r="AB870" s="886"/>
      <c r="AC870" s="886"/>
    </row>
    <row r="871" spans="1:43" s="476" customFormat="1" ht="22.25" customHeight="1">
      <c r="A871" s="478"/>
      <c r="B871" s="761" t="s">
        <v>792</v>
      </c>
      <c r="C871" s="665"/>
      <c r="D871" s="665"/>
      <c r="E871" s="665"/>
      <c r="F871" s="751"/>
      <c r="G871" s="752"/>
      <c r="H871" s="752"/>
      <c r="I871" s="753"/>
      <c r="J871" s="871"/>
      <c r="K871" s="479"/>
      <c r="L871" s="483"/>
      <c r="M871" s="754"/>
      <c r="N871" s="754"/>
      <c r="O871" s="866"/>
      <c r="P871" s="754"/>
      <c r="Q871" s="756"/>
      <c r="R871" s="756"/>
      <c r="S871" s="757"/>
      <c r="T871" s="758"/>
      <c r="U871" s="759"/>
      <c r="V871" s="757"/>
      <c r="W871" s="757">
        <f t="shared" si="183"/>
        <v>0</v>
      </c>
      <c r="X871" s="757">
        <f t="shared" si="183"/>
        <v>0</v>
      </c>
      <c r="Y871" s="757">
        <f t="shared" si="183"/>
        <v>0</v>
      </c>
      <c r="Z871" s="757">
        <f t="shared" si="183"/>
        <v>0</v>
      </c>
      <c r="AA871" s="757">
        <f t="shared" si="183"/>
        <v>0</v>
      </c>
      <c r="AB871" s="757">
        <f t="shared" si="183"/>
        <v>0</v>
      </c>
      <c r="AC871" s="757">
        <f t="shared" si="183"/>
        <v>0</v>
      </c>
      <c r="AD871" s="757">
        <f t="shared" si="183"/>
        <v>0</v>
      </c>
      <c r="AE871" s="757">
        <f t="shared" si="183"/>
        <v>0</v>
      </c>
      <c r="AF871" s="475"/>
      <c r="AG871" s="762"/>
      <c r="AH871" s="475"/>
      <c r="AI871" s="475"/>
      <c r="AJ871" s="475"/>
      <c r="AM871" s="477"/>
      <c r="AP871" s="477"/>
      <c r="AQ871" s="477"/>
    </row>
    <row r="872" spans="1:43" s="776" customFormat="1" ht="22.25" customHeight="1">
      <c r="A872" s="769"/>
      <c r="B872" s="770" t="s">
        <v>484</v>
      </c>
      <c r="C872" s="665"/>
      <c r="D872" s="665">
        <v>3</v>
      </c>
      <c r="E872" s="665">
        <f>E870</f>
        <v>2</v>
      </c>
      <c r="F872" s="751">
        <f>U872</f>
        <v>7.170057909174032</v>
      </c>
      <c r="G872" s="773"/>
      <c r="H872" s="778"/>
      <c r="I872" s="774"/>
      <c r="J872" s="492">
        <f>IF(I872=0,1,I872)*IF(H872=0,1,H872)*IF(G872=0,1,G872)*IF(F872=0,1,F872)*IF(E872=0,1,E872)*IF(D872=0,1,D872)*IF(C872=0,1,C872)</f>
        <v>43.020347455044188</v>
      </c>
      <c r="K872" s="480"/>
      <c r="L872" s="774"/>
      <c r="M872" s="760">
        <f>G870/3.281</f>
        <v>0.10057909174032308</v>
      </c>
      <c r="N872" s="781">
        <f>F870/3.281</f>
        <v>7.0100579091740318</v>
      </c>
      <c r="O872" s="768">
        <f>E872</f>
        <v>2</v>
      </c>
      <c r="P872" s="781">
        <f>(1.5/12)/3.281</f>
        <v>3.8098140810728431E-2</v>
      </c>
      <c r="Q872" s="756" t="s">
        <v>604</v>
      </c>
      <c r="R872" s="756">
        <v>10</v>
      </c>
      <c r="S872" s="757"/>
      <c r="T872" s="758">
        <f>D872</f>
        <v>3</v>
      </c>
      <c r="U872" s="759">
        <f>N872+2*8*R872/1000</f>
        <v>7.170057909174032</v>
      </c>
      <c r="V872" s="757">
        <f>T872*U872*O872</f>
        <v>43.020347455044188</v>
      </c>
      <c r="W872" s="757">
        <f t="shared" ref="W872:AE873" si="184">IF($R872=W$5,$V872,0)</f>
        <v>0</v>
      </c>
      <c r="X872" s="757">
        <f t="shared" si="184"/>
        <v>0</v>
      </c>
      <c r="Y872" s="757">
        <f t="shared" si="184"/>
        <v>43.020347455044188</v>
      </c>
      <c r="Z872" s="757">
        <f t="shared" si="184"/>
        <v>0</v>
      </c>
      <c r="AA872" s="757">
        <f t="shared" si="184"/>
        <v>0</v>
      </c>
      <c r="AB872" s="757">
        <f t="shared" si="184"/>
        <v>0</v>
      </c>
      <c r="AC872" s="757">
        <f t="shared" si="184"/>
        <v>0</v>
      </c>
      <c r="AD872" s="757">
        <f t="shared" si="184"/>
        <v>0</v>
      </c>
      <c r="AE872" s="757">
        <f t="shared" si="184"/>
        <v>0</v>
      </c>
      <c r="AF872" s="772" t="e">
        <f>(#REF!+#REF!/12)-0.25+0.5+0.25*2</f>
        <v>#REF!</v>
      </c>
      <c r="AI872" s="777"/>
      <c r="AL872" s="777"/>
      <c r="AM872" s="777"/>
    </row>
    <row r="873" spans="1:43" s="776" customFormat="1" ht="22.25" customHeight="1">
      <c r="A873" s="769"/>
      <c r="B873" s="770" t="s">
        <v>601</v>
      </c>
      <c r="C873" s="665"/>
      <c r="D873" s="665">
        <f>T873</f>
        <v>47</v>
      </c>
      <c r="E873" s="665">
        <f>E872</f>
        <v>2</v>
      </c>
      <c r="F873" s="751">
        <f>U873</f>
        <v>0.20153124047546483</v>
      </c>
      <c r="G873" s="773"/>
      <c r="H873" s="778"/>
      <c r="I873" s="774"/>
      <c r="J873" s="492">
        <f>IF(I873=0,1,I873)*IF(H873=0,1,H873)*IF(G873=0,1,G873)*IF(F873=0,1,F873)*IF(E873=0,1,E873)*IF(D873=0,1,D873)*IF(C873=0,1,C873)</f>
        <v>18.943936604693693</v>
      </c>
      <c r="K873" s="480"/>
      <c r="L873" s="774"/>
      <c r="M873" s="760">
        <f>H870/3.281</f>
        <v>0.10057909174032308</v>
      </c>
      <c r="N873" s="781"/>
      <c r="O873" s="768">
        <f>E873</f>
        <v>2</v>
      </c>
      <c r="P873" s="781">
        <f>(1.5/12)/3.281</f>
        <v>3.8098140810728431E-2</v>
      </c>
      <c r="Q873" s="756" t="s">
        <v>463</v>
      </c>
      <c r="R873" s="756">
        <v>6.5</v>
      </c>
      <c r="S873" s="757">
        <f>6/(12*3.281)</f>
        <v>0.15239256324291375</v>
      </c>
      <c r="T873" s="758">
        <f>(ROUND(N872/S873,0))+1</f>
        <v>47</v>
      </c>
      <c r="U873" s="759">
        <f>2*(M872+M873)-8*P873+2*8*R873/1000</f>
        <v>0.20153124047546483</v>
      </c>
      <c r="V873" s="757">
        <f>T873*U873*O873</f>
        <v>18.943936604693693</v>
      </c>
      <c r="W873" s="757">
        <f t="shared" si="184"/>
        <v>0</v>
      </c>
      <c r="X873" s="757">
        <f t="shared" si="184"/>
        <v>18.943936604693693</v>
      </c>
      <c r="Y873" s="757">
        <f t="shared" si="184"/>
        <v>0</v>
      </c>
      <c r="Z873" s="757">
        <f t="shared" si="184"/>
        <v>0</v>
      </c>
      <c r="AA873" s="757">
        <f t="shared" si="184"/>
        <v>0</v>
      </c>
      <c r="AB873" s="757">
        <f t="shared" si="184"/>
        <v>0</v>
      </c>
      <c r="AC873" s="757">
        <f t="shared" si="184"/>
        <v>0</v>
      </c>
      <c r="AD873" s="757">
        <f t="shared" si="184"/>
        <v>0</v>
      </c>
      <c r="AE873" s="757">
        <f t="shared" si="184"/>
        <v>0</v>
      </c>
      <c r="AF873" s="772" t="e">
        <f>(#REF!+#REF!/12)-0.25+0.5+0.25*2</f>
        <v>#REF!</v>
      </c>
      <c r="AI873" s="777"/>
      <c r="AL873" s="777"/>
      <c r="AM873" s="777"/>
    </row>
    <row r="874" spans="1:43" s="885" customFormat="1" ht="20" customHeight="1">
      <c r="A874" s="788"/>
      <c r="B874" s="939" t="s">
        <v>777</v>
      </c>
      <c r="C874" s="940"/>
      <c r="D874" s="940"/>
      <c r="E874" s="940">
        <v>1</v>
      </c>
      <c r="F874" s="941">
        <f>(11.67+6.83)*2</f>
        <v>37</v>
      </c>
      <c r="G874" s="942">
        <v>0.33</v>
      </c>
      <c r="H874" s="942">
        <v>0.33</v>
      </c>
      <c r="I874" s="943"/>
      <c r="J874" s="507">
        <f>IF(I874=0,1,I874)*IF(H874=0,1,H874)*IF(G874=0,1,G874)*IF(F874=0,1,F874)*IF(E874=0,1,E874)*IF(D874=0,1,D874)*IF(C874=0,1,C874)</f>
        <v>4.0293000000000001</v>
      </c>
      <c r="K874" s="943"/>
      <c r="L874" s="802"/>
      <c r="M874" s="944"/>
      <c r="N874" s="944"/>
      <c r="O874" s="944"/>
      <c r="P874" s="944"/>
      <c r="Q874" s="944"/>
      <c r="R874" s="944"/>
      <c r="S874" s="944"/>
      <c r="T874" s="944"/>
      <c r="U874" s="944"/>
      <c r="V874" s="944"/>
      <c r="Y874" s="886"/>
      <c r="AB874" s="886"/>
      <c r="AC874" s="886"/>
    </row>
    <row r="875" spans="1:43" s="476" customFormat="1" ht="22.25" customHeight="1">
      <c r="A875" s="478"/>
      <c r="B875" s="761" t="s">
        <v>792</v>
      </c>
      <c r="C875" s="665"/>
      <c r="D875" s="665"/>
      <c r="E875" s="665"/>
      <c r="F875" s="751"/>
      <c r="G875" s="752"/>
      <c r="H875" s="752"/>
      <c r="I875" s="753"/>
      <c r="J875" s="871"/>
      <c r="K875" s="479"/>
      <c r="L875" s="483"/>
      <c r="M875" s="754"/>
      <c r="N875" s="754"/>
      <c r="O875" s="866"/>
      <c r="P875" s="754"/>
      <c r="Q875" s="756"/>
      <c r="R875" s="756"/>
      <c r="S875" s="757"/>
      <c r="T875" s="758"/>
      <c r="U875" s="759"/>
      <c r="V875" s="757"/>
      <c r="W875" s="757">
        <f t="shared" ref="W875:AE881" si="185">IF($R875=W$5,$V875,0)</f>
        <v>0</v>
      </c>
      <c r="X875" s="757">
        <f t="shared" si="185"/>
        <v>0</v>
      </c>
      <c r="Y875" s="757">
        <f t="shared" si="185"/>
        <v>0</v>
      </c>
      <c r="Z875" s="757">
        <f t="shared" si="185"/>
        <v>0</v>
      </c>
      <c r="AA875" s="757">
        <f t="shared" si="185"/>
        <v>0</v>
      </c>
      <c r="AB875" s="757">
        <f t="shared" si="185"/>
        <v>0</v>
      </c>
      <c r="AC875" s="757">
        <f t="shared" si="185"/>
        <v>0</v>
      </c>
      <c r="AD875" s="757">
        <f t="shared" si="185"/>
        <v>0</v>
      </c>
      <c r="AE875" s="757">
        <f t="shared" si="185"/>
        <v>0</v>
      </c>
      <c r="AF875" s="475"/>
      <c r="AG875" s="762"/>
      <c r="AH875" s="475"/>
      <c r="AI875" s="475"/>
      <c r="AJ875" s="475"/>
      <c r="AM875" s="477"/>
      <c r="AP875" s="477"/>
      <c r="AQ875" s="477"/>
    </row>
    <row r="876" spans="1:43" s="776" customFormat="1" ht="22.25" customHeight="1">
      <c r="A876" s="769"/>
      <c r="B876" s="770" t="s">
        <v>484</v>
      </c>
      <c r="C876" s="665"/>
      <c r="D876" s="665">
        <v>3</v>
      </c>
      <c r="E876" s="665">
        <f>E874</f>
        <v>1</v>
      </c>
      <c r="F876" s="751">
        <f>U876</f>
        <v>11.437049679975617</v>
      </c>
      <c r="G876" s="773"/>
      <c r="H876" s="778"/>
      <c r="I876" s="774"/>
      <c r="J876" s="492">
        <f>IF(I876=0,1,I876)*IF(H876=0,1,H876)*IF(G876=0,1,G876)*IF(F876=0,1,F876)*IF(E876=0,1,E876)*IF(D876=0,1,D876)*IF(C876=0,1,C876)</f>
        <v>34.311149039926853</v>
      </c>
      <c r="K876" s="480"/>
      <c r="L876" s="774"/>
      <c r="M876" s="760">
        <f>G874/3.281</f>
        <v>0.10057909174032308</v>
      </c>
      <c r="N876" s="781">
        <f>F874/3.281</f>
        <v>11.277049679975617</v>
      </c>
      <c r="O876" s="768">
        <f>E876</f>
        <v>1</v>
      </c>
      <c r="P876" s="781">
        <f>(1.5/12)/3.281</f>
        <v>3.8098140810728431E-2</v>
      </c>
      <c r="Q876" s="756" t="s">
        <v>604</v>
      </c>
      <c r="R876" s="756">
        <v>10</v>
      </c>
      <c r="S876" s="757"/>
      <c r="T876" s="758">
        <f>D876</f>
        <v>3</v>
      </c>
      <c r="U876" s="759">
        <f>N876+2*8*R876/1000</f>
        <v>11.437049679975617</v>
      </c>
      <c r="V876" s="757">
        <f>T876*U876*O876</f>
        <v>34.311149039926853</v>
      </c>
      <c r="W876" s="757">
        <f t="shared" si="185"/>
        <v>0</v>
      </c>
      <c r="X876" s="757">
        <f t="shared" si="185"/>
        <v>0</v>
      </c>
      <c r="Y876" s="757">
        <f t="shared" si="185"/>
        <v>34.311149039926853</v>
      </c>
      <c r="Z876" s="757">
        <f t="shared" si="185"/>
        <v>0</v>
      </c>
      <c r="AA876" s="757">
        <f t="shared" si="185"/>
        <v>0</v>
      </c>
      <c r="AB876" s="757">
        <f t="shared" si="185"/>
        <v>0</v>
      </c>
      <c r="AC876" s="757">
        <f t="shared" si="185"/>
        <v>0</v>
      </c>
      <c r="AD876" s="757">
        <f t="shared" si="185"/>
        <v>0</v>
      </c>
      <c r="AE876" s="757">
        <f t="shared" si="185"/>
        <v>0</v>
      </c>
      <c r="AF876" s="772" t="e">
        <f>(#REF!+#REF!/12)-0.25+0.5+0.25*2</f>
        <v>#REF!</v>
      </c>
      <c r="AI876" s="777"/>
      <c r="AL876" s="777"/>
      <c r="AM876" s="777"/>
    </row>
    <row r="877" spans="1:43" s="776" customFormat="1" ht="22.25" customHeight="1">
      <c r="A877" s="769"/>
      <c r="B877" s="770" t="s">
        <v>601</v>
      </c>
      <c r="C877" s="665"/>
      <c r="D877" s="665">
        <f>T877</f>
        <v>75</v>
      </c>
      <c r="E877" s="665">
        <f>E876</f>
        <v>1</v>
      </c>
      <c r="F877" s="751">
        <f>U877</f>
        <v>0.20153124047546483</v>
      </c>
      <c r="G877" s="773"/>
      <c r="H877" s="778"/>
      <c r="I877" s="774"/>
      <c r="J877" s="492">
        <f>IF(I877=0,1,I877)*IF(H877=0,1,H877)*IF(G877=0,1,G877)*IF(F877=0,1,F877)*IF(E877=0,1,E877)*IF(D877=0,1,D877)*IF(C877=0,1,C877)</f>
        <v>15.114843035659863</v>
      </c>
      <c r="K877" s="480"/>
      <c r="L877" s="774"/>
      <c r="M877" s="760">
        <f>H874/3.281</f>
        <v>0.10057909174032308</v>
      </c>
      <c r="N877" s="781"/>
      <c r="O877" s="768">
        <f>E877</f>
        <v>1</v>
      </c>
      <c r="P877" s="781">
        <f>(1.5/12)/3.281</f>
        <v>3.8098140810728431E-2</v>
      </c>
      <c r="Q877" s="756" t="s">
        <v>463</v>
      </c>
      <c r="R877" s="756">
        <v>6.5</v>
      </c>
      <c r="S877" s="757">
        <f>6/(12*3.281)</f>
        <v>0.15239256324291375</v>
      </c>
      <c r="T877" s="758">
        <f>(ROUND(N876/S877,0))+1</f>
        <v>75</v>
      </c>
      <c r="U877" s="759">
        <f>2*(M876+M877)-8*P877+2*8*R877/1000</f>
        <v>0.20153124047546483</v>
      </c>
      <c r="V877" s="757">
        <f>T877*U877*O877</f>
        <v>15.114843035659863</v>
      </c>
      <c r="W877" s="757">
        <f t="shared" si="185"/>
        <v>0</v>
      </c>
      <c r="X877" s="757">
        <f t="shared" si="185"/>
        <v>15.114843035659863</v>
      </c>
      <c r="Y877" s="757">
        <f t="shared" si="185"/>
        <v>0</v>
      </c>
      <c r="Z877" s="757">
        <f t="shared" si="185"/>
        <v>0</v>
      </c>
      <c r="AA877" s="757">
        <f t="shared" si="185"/>
        <v>0</v>
      </c>
      <c r="AB877" s="757">
        <f t="shared" si="185"/>
        <v>0</v>
      </c>
      <c r="AC877" s="757">
        <f t="shared" si="185"/>
        <v>0</v>
      </c>
      <c r="AD877" s="757">
        <f t="shared" si="185"/>
        <v>0</v>
      </c>
      <c r="AE877" s="757">
        <f t="shared" si="185"/>
        <v>0</v>
      </c>
      <c r="AF877" s="772" t="e">
        <f>(#REF!+#REF!/12)-0.25+0.5+0.25*2</f>
        <v>#REF!</v>
      </c>
      <c r="AI877" s="777"/>
      <c r="AL877" s="777"/>
      <c r="AM877" s="777"/>
    </row>
    <row r="878" spans="1:43" s="885" customFormat="1" ht="20" customHeight="1">
      <c r="A878" s="788"/>
      <c r="B878" s="939"/>
      <c r="C878" s="940"/>
      <c r="D878" s="940"/>
      <c r="E878" s="940">
        <v>2</v>
      </c>
      <c r="F878" s="941">
        <f>(4.67+6.83)*2</f>
        <v>23</v>
      </c>
      <c r="G878" s="942">
        <v>0.33</v>
      </c>
      <c r="H878" s="942">
        <v>0.33</v>
      </c>
      <c r="I878" s="943"/>
      <c r="J878" s="507">
        <f>IF(I878=0,1,I878)*IF(H878=0,1,H878)*IF(G878=0,1,G878)*IF(F878=0,1,F878)*IF(E878=0,1,E878)*IF(D878=0,1,D878)*IF(C878=0,1,C878)</f>
        <v>5.0094000000000003</v>
      </c>
      <c r="K878" s="943"/>
      <c r="L878" s="802"/>
      <c r="M878" s="944"/>
      <c r="N878" s="944"/>
      <c r="O878" s="944"/>
      <c r="P878" s="944"/>
      <c r="Q878" s="944"/>
      <c r="R878" s="944"/>
      <c r="S878" s="944"/>
      <c r="T878" s="944"/>
      <c r="U878" s="944"/>
      <c r="V878" s="944"/>
      <c r="Y878" s="886"/>
      <c r="AB878" s="886"/>
      <c r="AC878" s="886"/>
    </row>
    <row r="879" spans="1:43" s="476" customFormat="1" ht="22.25" customHeight="1">
      <c r="A879" s="478"/>
      <c r="B879" s="761" t="s">
        <v>792</v>
      </c>
      <c r="C879" s="665"/>
      <c r="D879" s="665"/>
      <c r="E879" s="665"/>
      <c r="F879" s="751"/>
      <c r="G879" s="752"/>
      <c r="H879" s="752"/>
      <c r="I879" s="753"/>
      <c r="J879" s="871"/>
      <c r="K879" s="479"/>
      <c r="L879" s="483"/>
      <c r="M879" s="754"/>
      <c r="N879" s="754"/>
      <c r="O879" s="866"/>
      <c r="P879" s="754"/>
      <c r="Q879" s="756"/>
      <c r="R879" s="756"/>
      <c r="S879" s="757"/>
      <c r="T879" s="758"/>
      <c r="U879" s="759"/>
      <c r="V879" s="757"/>
      <c r="W879" s="757">
        <f t="shared" si="185"/>
        <v>0</v>
      </c>
      <c r="X879" s="757">
        <f t="shared" si="185"/>
        <v>0</v>
      </c>
      <c r="Y879" s="757">
        <f t="shared" si="185"/>
        <v>0</v>
      </c>
      <c r="Z879" s="757">
        <f t="shared" si="185"/>
        <v>0</v>
      </c>
      <c r="AA879" s="757">
        <f t="shared" si="185"/>
        <v>0</v>
      </c>
      <c r="AB879" s="757">
        <f t="shared" si="185"/>
        <v>0</v>
      </c>
      <c r="AC879" s="757">
        <f t="shared" si="185"/>
        <v>0</v>
      </c>
      <c r="AD879" s="757">
        <f t="shared" si="185"/>
        <v>0</v>
      </c>
      <c r="AE879" s="757">
        <f t="shared" si="185"/>
        <v>0</v>
      </c>
      <c r="AF879" s="475"/>
      <c r="AG879" s="762"/>
      <c r="AH879" s="475"/>
      <c r="AI879" s="475"/>
      <c r="AJ879" s="475"/>
      <c r="AM879" s="477"/>
      <c r="AP879" s="477"/>
      <c r="AQ879" s="477"/>
    </row>
    <row r="880" spans="1:43" s="776" customFormat="1" ht="22.25" customHeight="1">
      <c r="A880" s="769"/>
      <c r="B880" s="770" t="s">
        <v>484</v>
      </c>
      <c r="C880" s="665"/>
      <c r="D880" s="665">
        <v>3</v>
      </c>
      <c r="E880" s="665">
        <f>E878</f>
        <v>2</v>
      </c>
      <c r="F880" s="751">
        <f>U880</f>
        <v>7.170057909174032</v>
      </c>
      <c r="G880" s="773"/>
      <c r="H880" s="778"/>
      <c r="I880" s="774"/>
      <c r="J880" s="492">
        <f>IF(I880=0,1,I880)*IF(H880=0,1,H880)*IF(G880=0,1,G880)*IF(F880=0,1,F880)*IF(E880=0,1,E880)*IF(D880=0,1,D880)*IF(C880=0,1,C880)</f>
        <v>43.020347455044188</v>
      </c>
      <c r="K880" s="480"/>
      <c r="L880" s="774"/>
      <c r="M880" s="760">
        <f>G878/3.281</f>
        <v>0.10057909174032308</v>
      </c>
      <c r="N880" s="781">
        <f>F878/3.281</f>
        <v>7.0100579091740318</v>
      </c>
      <c r="O880" s="768">
        <f>E880</f>
        <v>2</v>
      </c>
      <c r="P880" s="781">
        <f>(1.5/12)/3.281</f>
        <v>3.8098140810728431E-2</v>
      </c>
      <c r="Q880" s="756" t="s">
        <v>604</v>
      </c>
      <c r="R880" s="756">
        <v>10</v>
      </c>
      <c r="S880" s="757"/>
      <c r="T880" s="758">
        <f>D880</f>
        <v>3</v>
      </c>
      <c r="U880" s="759">
        <f>N880+2*8*R880/1000</f>
        <v>7.170057909174032</v>
      </c>
      <c r="V880" s="757">
        <f>T880*U880*O880</f>
        <v>43.020347455044188</v>
      </c>
      <c r="W880" s="757">
        <f t="shared" si="185"/>
        <v>0</v>
      </c>
      <c r="X880" s="757">
        <f t="shared" si="185"/>
        <v>0</v>
      </c>
      <c r="Y880" s="757">
        <f t="shared" si="185"/>
        <v>43.020347455044188</v>
      </c>
      <c r="Z880" s="757">
        <f t="shared" si="185"/>
        <v>0</v>
      </c>
      <c r="AA880" s="757">
        <f t="shared" si="185"/>
        <v>0</v>
      </c>
      <c r="AB880" s="757">
        <f t="shared" si="185"/>
        <v>0</v>
      </c>
      <c r="AC880" s="757">
        <f t="shared" si="185"/>
        <v>0</v>
      </c>
      <c r="AD880" s="757">
        <f t="shared" si="185"/>
        <v>0</v>
      </c>
      <c r="AE880" s="757">
        <f t="shared" si="185"/>
        <v>0</v>
      </c>
      <c r="AF880" s="772" t="e">
        <f>(#REF!+#REF!/12)-0.25+0.5+0.25*2</f>
        <v>#REF!</v>
      </c>
      <c r="AI880" s="777"/>
      <c r="AL880" s="777"/>
      <c r="AM880" s="777"/>
    </row>
    <row r="881" spans="1:48" s="776" customFormat="1" ht="22.25" customHeight="1">
      <c r="A881" s="769"/>
      <c r="B881" s="770" t="s">
        <v>601</v>
      </c>
      <c r="C881" s="665"/>
      <c r="D881" s="665">
        <f>T881</f>
        <v>47</v>
      </c>
      <c r="E881" s="665">
        <f>E880</f>
        <v>2</v>
      </c>
      <c r="F881" s="751">
        <f>U881</f>
        <v>0.20153124047546483</v>
      </c>
      <c r="G881" s="773"/>
      <c r="H881" s="778"/>
      <c r="I881" s="774"/>
      <c r="J881" s="492">
        <f>IF(I881=0,1,I881)*IF(H881=0,1,H881)*IF(G881=0,1,G881)*IF(F881=0,1,F881)*IF(E881=0,1,E881)*IF(D881=0,1,D881)*IF(C881=0,1,C881)</f>
        <v>18.943936604693693</v>
      </c>
      <c r="K881" s="480"/>
      <c r="L881" s="774"/>
      <c r="M881" s="760">
        <f>H878/3.281</f>
        <v>0.10057909174032308</v>
      </c>
      <c r="N881" s="781"/>
      <c r="O881" s="768">
        <f>E881</f>
        <v>2</v>
      </c>
      <c r="P881" s="781">
        <f>(1.5/12)/3.281</f>
        <v>3.8098140810728431E-2</v>
      </c>
      <c r="Q881" s="756" t="s">
        <v>463</v>
      </c>
      <c r="R881" s="756">
        <v>6.5</v>
      </c>
      <c r="S881" s="757">
        <f>6/(12*3.281)</f>
        <v>0.15239256324291375</v>
      </c>
      <c r="T881" s="758">
        <f>(ROUND(N880/S881,0))+1</f>
        <v>47</v>
      </c>
      <c r="U881" s="759">
        <f>2*(M880+M881)-8*P881+2*8*R881/1000</f>
        <v>0.20153124047546483</v>
      </c>
      <c r="V881" s="757">
        <f>T881*U881*O881</f>
        <v>18.943936604693693</v>
      </c>
      <c r="W881" s="757">
        <f t="shared" si="185"/>
        <v>0</v>
      </c>
      <c r="X881" s="757">
        <f t="shared" si="185"/>
        <v>18.943936604693693</v>
      </c>
      <c r="Y881" s="757">
        <f t="shared" si="185"/>
        <v>0</v>
      </c>
      <c r="Z881" s="757">
        <f t="shared" si="185"/>
        <v>0</v>
      </c>
      <c r="AA881" s="757">
        <f t="shared" si="185"/>
        <v>0</v>
      </c>
      <c r="AB881" s="757">
        <f t="shared" si="185"/>
        <v>0</v>
      </c>
      <c r="AC881" s="757">
        <f t="shared" si="185"/>
        <v>0</v>
      </c>
      <c r="AD881" s="757">
        <f t="shared" si="185"/>
        <v>0</v>
      </c>
      <c r="AE881" s="757">
        <f t="shared" si="185"/>
        <v>0</v>
      </c>
      <c r="AF881" s="772" t="e">
        <f>(#REF!+#REF!/12)-0.25+0.5+0.25*2</f>
        <v>#REF!</v>
      </c>
      <c r="AI881" s="777"/>
      <c r="AL881" s="777"/>
      <c r="AM881" s="777"/>
    </row>
    <row r="882" spans="1:48" s="885" customFormat="1" ht="23.4" customHeight="1">
      <c r="A882" s="788"/>
      <c r="B882" s="958"/>
      <c r="C882" s="940"/>
      <c r="D882" s="940"/>
      <c r="E882" s="940"/>
      <c r="F882" s="959"/>
      <c r="G882" s="960"/>
      <c r="H882" s="962"/>
      <c r="I882" s="802"/>
      <c r="J882" s="958" t="s">
        <v>484</v>
      </c>
      <c r="K882" s="963">
        <f>SUMIF($B$854:$B$882,J882,$J$854:$J$882)</f>
        <v>260.50862541907952</v>
      </c>
      <c r="L882" s="791" t="s">
        <v>46</v>
      </c>
      <c r="M882" s="964"/>
      <c r="N882" s="964"/>
      <c r="O882" s="965"/>
      <c r="P882" s="964"/>
      <c r="Q882" s="618"/>
      <c r="R882" s="618"/>
      <c r="S882" s="618"/>
      <c r="T882" s="618"/>
      <c r="U882" s="618"/>
      <c r="V882" s="624"/>
      <c r="W882" s="624">
        <f t="shared" ref="W882:AE887" si="186">IF($R882=W$5,$V882,0)</f>
        <v>0</v>
      </c>
      <c r="X882" s="624">
        <f t="shared" si="186"/>
        <v>0</v>
      </c>
      <c r="Y882" s="624">
        <f t="shared" si="186"/>
        <v>0</v>
      </c>
      <c r="Z882" s="624">
        <f t="shared" si="186"/>
        <v>0</v>
      </c>
      <c r="AA882" s="624">
        <f t="shared" si="186"/>
        <v>0</v>
      </c>
      <c r="AB882" s="624">
        <f t="shared" si="186"/>
        <v>0</v>
      </c>
      <c r="AC882" s="624">
        <f t="shared" si="186"/>
        <v>0</v>
      </c>
      <c r="AD882" s="624">
        <f t="shared" si="186"/>
        <v>0</v>
      </c>
      <c r="AE882" s="624">
        <f t="shared" si="186"/>
        <v>0</v>
      </c>
      <c r="AF882" s="944"/>
      <c r="AG882" s="966"/>
      <c r="AH882" s="966"/>
      <c r="AI882" s="966"/>
      <c r="AJ882" s="944"/>
      <c r="AK882" s="944"/>
      <c r="AN882" s="886"/>
      <c r="AQ882" s="886"/>
      <c r="AR882" s="886"/>
    </row>
    <row r="883" spans="1:48" s="390" customFormat="1" ht="23.4" customHeight="1">
      <c r="A883" s="788"/>
      <c r="B883" s="958"/>
      <c r="C883" s="940"/>
      <c r="D883" s="940"/>
      <c r="E883" s="940"/>
      <c r="F883" s="959"/>
      <c r="G883" s="960"/>
      <c r="H883" s="958"/>
      <c r="I883" s="791"/>
      <c r="J883" s="513"/>
      <c r="K883" s="963">
        <f>K882*$Y$889</f>
        <v>160.80779346856761</v>
      </c>
      <c r="L883" s="513" t="s">
        <v>172</v>
      </c>
      <c r="M883" s="722"/>
      <c r="N883" s="722"/>
      <c r="O883" s="957"/>
      <c r="P883" s="722"/>
      <c r="Q883" s="611"/>
      <c r="R883" s="611"/>
      <c r="S883" s="624"/>
      <c r="T883" s="625"/>
      <c r="U883" s="611"/>
      <c r="V883" s="624"/>
      <c r="W883" s="624">
        <f t="shared" si="186"/>
        <v>0</v>
      </c>
      <c r="X883" s="624">
        <f t="shared" si="186"/>
        <v>0</v>
      </c>
      <c r="Y883" s="624">
        <f t="shared" si="186"/>
        <v>0</v>
      </c>
      <c r="Z883" s="624">
        <f t="shared" si="186"/>
        <v>0</v>
      </c>
      <c r="AA883" s="624">
        <f t="shared" si="186"/>
        <v>0</v>
      </c>
      <c r="AB883" s="624">
        <f t="shared" si="186"/>
        <v>0</v>
      </c>
      <c r="AC883" s="624">
        <f t="shared" si="186"/>
        <v>0</v>
      </c>
      <c r="AD883" s="624">
        <f t="shared" si="186"/>
        <v>0</v>
      </c>
      <c r="AE883" s="624">
        <f t="shared" si="186"/>
        <v>0</v>
      </c>
      <c r="AF883" s="471" t="e">
        <f>1/#REF!</f>
        <v>#REF!</v>
      </c>
      <c r="AG883" s="471" t="e">
        <f>#REF!*2.8</f>
        <v>#REF!</v>
      </c>
      <c r="AH883" s="471"/>
      <c r="AI883" s="471"/>
      <c r="AJ883" s="471"/>
      <c r="AK883" s="471"/>
      <c r="AL883" s="471"/>
      <c r="AM883" s="471"/>
      <c r="AN883" s="471"/>
      <c r="AO883" s="471"/>
      <c r="AR883" s="404"/>
      <c r="AU883" s="404"/>
      <c r="AV883" s="404"/>
    </row>
    <row r="884" spans="1:48" s="885" customFormat="1" ht="23.4" customHeight="1">
      <c r="A884" s="788"/>
      <c r="B884" s="958"/>
      <c r="C884" s="940"/>
      <c r="D884" s="940"/>
      <c r="E884" s="940"/>
      <c r="F884" s="959"/>
      <c r="G884" s="960"/>
      <c r="H884" s="962"/>
      <c r="I884" s="802"/>
      <c r="J884" s="958" t="s">
        <v>601</v>
      </c>
      <c r="K884" s="963">
        <f>SUMIF($B$854:$B$882,J884,$J$854:$J$882)</f>
        <v>114.67127583053947</v>
      </c>
      <c r="L884" s="791" t="s">
        <v>46</v>
      </c>
      <c r="M884" s="964"/>
      <c r="N884" s="964"/>
      <c r="O884" s="965"/>
      <c r="P884" s="964"/>
      <c r="Q884" s="618"/>
      <c r="R884" s="618"/>
      <c r="S884" s="618"/>
      <c r="T884" s="618"/>
      <c r="U884" s="618"/>
      <c r="V884" s="624"/>
      <c r="W884" s="624">
        <f t="shared" si="186"/>
        <v>0</v>
      </c>
      <c r="X884" s="624">
        <f t="shared" si="186"/>
        <v>0</v>
      </c>
      <c r="Y884" s="624">
        <f t="shared" si="186"/>
        <v>0</v>
      </c>
      <c r="Z884" s="624">
        <f t="shared" si="186"/>
        <v>0</v>
      </c>
      <c r="AA884" s="624">
        <f t="shared" si="186"/>
        <v>0</v>
      </c>
      <c r="AB884" s="624">
        <f t="shared" si="186"/>
        <v>0</v>
      </c>
      <c r="AC884" s="624">
        <f t="shared" si="186"/>
        <v>0</v>
      </c>
      <c r="AD884" s="624">
        <f t="shared" si="186"/>
        <v>0</v>
      </c>
      <c r="AE884" s="624">
        <f t="shared" si="186"/>
        <v>0</v>
      </c>
      <c r="AF884" s="944"/>
      <c r="AG884" s="966"/>
      <c r="AH884" s="966"/>
      <c r="AI884" s="966"/>
      <c r="AJ884" s="944"/>
      <c r="AK884" s="944"/>
      <c r="AN884" s="886"/>
      <c r="AQ884" s="886"/>
      <c r="AR884" s="886"/>
    </row>
    <row r="885" spans="1:48" s="390" customFormat="1" ht="23.4" customHeight="1">
      <c r="A885" s="788"/>
      <c r="B885" s="958"/>
      <c r="C885" s="940"/>
      <c r="D885" s="940"/>
      <c r="E885" s="940"/>
      <c r="F885" s="959"/>
      <c r="G885" s="960"/>
      <c r="H885" s="958"/>
      <c r="I885" s="791"/>
      <c r="J885" s="513"/>
      <c r="K885" s="963">
        <f>K884*$X$889</f>
        <v>29.906551875557362</v>
      </c>
      <c r="L885" s="513" t="s">
        <v>172</v>
      </c>
      <c r="M885" s="722"/>
      <c r="N885" s="722"/>
      <c r="O885" s="957"/>
      <c r="P885" s="722"/>
      <c r="Q885" s="611"/>
      <c r="R885" s="611"/>
      <c r="S885" s="624"/>
      <c r="T885" s="625"/>
      <c r="U885" s="611"/>
      <c r="V885" s="624"/>
      <c r="W885" s="624">
        <f t="shared" si="186"/>
        <v>0</v>
      </c>
      <c r="X885" s="624">
        <f t="shared" si="186"/>
        <v>0</v>
      </c>
      <c r="Y885" s="624">
        <f t="shared" si="186"/>
        <v>0</v>
      </c>
      <c r="Z885" s="624">
        <f t="shared" si="186"/>
        <v>0</v>
      </c>
      <c r="AA885" s="624">
        <f t="shared" si="186"/>
        <v>0</v>
      </c>
      <c r="AB885" s="624">
        <f t="shared" si="186"/>
        <v>0</v>
      </c>
      <c r="AC885" s="624">
        <f t="shared" si="186"/>
        <v>0</v>
      </c>
      <c r="AD885" s="624">
        <f t="shared" si="186"/>
        <v>0</v>
      </c>
      <c r="AE885" s="624">
        <f t="shared" si="186"/>
        <v>0</v>
      </c>
      <c r="AF885" s="471" t="e">
        <f>1/#REF!</f>
        <v>#REF!</v>
      </c>
      <c r="AG885" s="471" t="e">
        <f>#REF!*2.8</f>
        <v>#REF!</v>
      </c>
      <c r="AH885" s="471"/>
      <c r="AI885" s="471"/>
      <c r="AJ885" s="471"/>
      <c r="AK885" s="471"/>
      <c r="AL885" s="471"/>
      <c r="AM885" s="471"/>
      <c r="AN885" s="471"/>
      <c r="AO885" s="471"/>
      <c r="AR885" s="404"/>
      <c r="AU885" s="404"/>
      <c r="AV885" s="404"/>
    </row>
    <row r="886" spans="1:48" s="476" customFormat="1" ht="22.25" customHeight="1">
      <c r="A886" s="478"/>
      <c r="B886" s="767"/>
      <c r="C886" s="665"/>
      <c r="D886" s="665"/>
      <c r="E886" s="665"/>
      <c r="F886" s="751"/>
      <c r="G886" s="645"/>
      <c r="H886" s="645"/>
      <c r="I886" s="485"/>
      <c r="J886" s="481"/>
      <c r="K886" s="492"/>
      <c r="L886" s="482"/>
      <c r="M886" s="754"/>
      <c r="N886" s="754"/>
      <c r="O886" s="765"/>
      <c r="P886" s="754"/>
      <c r="Q886" s="755"/>
      <c r="R886" s="755"/>
      <c r="S886" s="755"/>
      <c r="T886" s="755"/>
      <c r="U886" s="755"/>
      <c r="V886" s="757"/>
      <c r="W886" s="757">
        <f t="shared" si="186"/>
        <v>0</v>
      </c>
      <c r="X886" s="757">
        <f t="shared" si="186"/>
        <v>0</v>
      </c>
      <c r="Y886" s="757">
        <f t="shared" si="186"/>
        <v>0</v>
      </c>
      <c r="Z886" s="757">
        <f t="shared" si="186"/>
        <v>0</v>
      </c>
      <c r="AA886" s="757">
        <f t="shared" si="186"/>
        <v>0</v>
      </c>
      <c r="AB886" s="757">
        <f t="shared" si="186"/>
        <v>0</v>
      </c>
      <c r="AC886" s="757">
        <f t="shared" si="186"/>
        <v>0</v>
      </c>
      <c r="AD886" s="757">
        <f t="shared" si="186"/>
        <v>0</v>
      </c>
      <c r="AE886" s="757">
        <f t="shared" si="186"/>
        <v>0</v>
      </c>
      <c r="AF886" s="475"/>
      <c r="AG886" s="762"/>
      <c r="AH886" s="475"/>
      <c r="AI886" s="475"/>
      <c r="AJ886" s="475"/>
      <c r="AM886" s="477"/>
      <c r="AP886" s="477"/>
      <c r="AQ886" s="477"/>
    </row>
    <row r="887" spans="1:48" s="476" customFormat="1" ht="22.25" customHeight="1">
      <c r="A887" s="478"/>
      <c r="B887" s="767"/>
      <c r="C887" s="665"/>
      <c r="D887" s="665"/>
      <c r="E887" s="665"/>
      <c r="F887" s="751"/>
      <c r="G887" s="645"/>
      <c r="H887" s="645"/>
      <c r="I887" s="485"/>
      <c r="J887" s="481"/>
      <c r="K887" s="492"/>
      <c r="L887" s="482"/>
      <c r="M887" s="754"/>
      <c r="N887" s="754"/>
      <c r="O887" s="765"/>
      <c r="P887" s="754"/>
      <c r="Q887" s="755"/>
      <c r="R887" s="755"/>
      <c r="S887" s="755"/>
      <c r="T887" s="755"/>
      <c r="U887" s="755"/>
      <c r="V887" s="757"/>
      <c r="W887" s="757">
        <f t="shared" si="186"/>
        <v>0</v>
      </c>
      <c r="X887" s="757">
        <f t="shared" si="186"/>
        <v>0</v>
      </c>
      <c r="Y887" s="757">
        <f t="shared" si="186"/>
        <v>0</v>
      </c>
      <c r="Z887" s="757">
        <f t="shared" si="186"/>
        <v>0</v>
      </c>
      <c r="AA887" s="757">
        <f t="shared" si="186"/>
        <v>0</v>
      </c>
      <c r="AB887" s="757">
        <f t="shared" si="186"/>
        <v>0</v>
      </c>
      <c r="AC887" s="757">
        <f t="shared" si="186"/>
        <v>0</v>
      </c>
      <c r="AD887" s="757">
        <f t="shared" si="186"/>
        <v>0</v>
      </c>
      <c r="AE887" s="757">
        <f t="shared" si="186"/>
        <v>0</v>
      </c>
      <c r="AF887" s="475"/>
      <c r="AG887" s="762"/>
      <c r="AH887" s="475"/>
      <c r="AI887" s="475"/>
      <c r="AJ887" s="475"/>
      <c r="AM887" s="477"/>
      <c r="AP887" s="477"/>
      <c r="AQ887" s="477"/>
    </row>
    <row r="888" spans="1:48" s="390" customFormat="1" ht="22.25" customHeight="1">
      <c r="A888" s="969"/>
      <c r="B888" s="960" t="s">
        <v>402</v>
      </c>
      <c r="C888" s="970"/>
      <c r="D888" s="970"/>
      <c r="E888" s="970"/>
      <c r="F888" s="959" t="s">
        <v>46</v>
      </c>
      <c r="G888" s="960" t="s">
        <v>9</v>
      </c>
      <c r="H888" s="962" t="s">
        <v>403</v>
      </c>
      <c r="I888" s="802"/>
      <c r="J888" s="802"/>
      <c r="K888" s="802"/>
      <c r="L888" s="802"/>
      <c r="M888" s="971"/>
      <c r="N888" s="971"/>
      <c r="O888" s="972"/>
      <c r="P888" s="971"/>
      <c r="Q888" s="611"/>
      <c r="R888" s="611"/>
      <c r="S888" s="624"/>
      <c r="T888" s="625"/>
      <c r="U888" s="626"/>
      <c r="V888" s="640" t="s">
        <v>466</v>
      </c>
      <c r="W888" s="640">
        <f t="shared" ref="W888:AE888" si="187">SUM(W6:W887)</f>
        <v>0</v>
      </c>
      <c r="X888" s="640">
        <f t="shared" si="187"/>
        <v>1124.6895848826573</v>
      </c>
      <c r="Y888" s="640">
        <f t="shared" si="187"/>
        <v>7801.8026523149638</v>
      </c>
      <c r="Z888" s="640">
        <f t="shared" si="187"/>
        <v>190.12749771411157</v>
      </c>
      <c r="AA888" s="640">
        <f t="shared" si="187"/>
        <v>3891.3535558264766</v>
      </c>
      <c r="AB888" s="640">
        <f t="shared" si="187"/>
        <v>0</v>
      </c>
      <c r="AC888" s="640">
        <f t="shared" si="187"/>
        <v>0</v>
      </c>
      <c r="AD888" s="640">
        <f t="shared" si="187"/>
        <v>0</v>
      </c>
      <c r="AE888" s="640">
        <f t="shared" si="187"/>
        <v>0</v>
      </c>
      <c r="AF888" s="471"/>
      <c r="AG888" s="473"/>
      <c r="AH888" s="471"/>
      <c r="AI888" s="471"/>
      <c r="AJ888" s="471"/>
      <c r="AM888" s="404"/>
      <c r="AP888" s="404"/>
      <c r="AQ888" s="404"/>
    </row>
    <row r="889" spans="1:48" s="423" customFormat="1" ht="22.25" customHeight="1">
      <c r="A889" s="969"/>
      <c r="B889" s="962" t="s">
        <v>547</v>
      </c>
      <c r="C889" s="445" t="s">
        <v>221</v>
      </c>
      <c r="D889" s="968" t="s">
        <v>544</v>
      </c>
      <c r="E889" s="970"/>
      <c r="F889" s="959">
        <f>SUMIF($J$387:$J$887,D889,$K$387:$K$887)</f>
        <v>0</v>
      </c>
      <c r="G889" s="960">
        <f>(F889)*AC889/1000</f>
        <v>0</v>
      </c>
      <c r="H889" s="960">
        <f>G889*1.05</f>
        <v>0</v>
      </c>
      <c r="I889" s="969"/>
      <c r="J889" s="969"/>
      <c r="K889" s="969"/>
      <c r="L889" s="969"/>
      <c r="M889" s="973"/>
      <c r="N889" s="973"/>
      <c r="O889" s="972"/>
      <c r="P889" s="973"/>
      <c r="Q889" s="611"/>
      <c r="R889" s="611"/>
      <c r="S889" s="624"/>
      <c r="T889" s="625"/>
      <c r="U889" s="626"/>
      <c r="V889" s="640" t="s">
        <v>232</v>
      </c>
      <c r="W889" s="640">
        <f>W$5^2/162</f>
        <v>0.22222222222222221</v>
      </c>
      <c r="X889" s="640">
        <f>X$5^2/162</f>
        <v>0.26080246913580246</v>
      </c>
      <c r="Y889" s="974">
        <f t="shared" ref="Y889:AE889" si="188">Y$5^2/162</f>
        <v>0.61728395061728392</v>
      </c>
      <c r="Z889" s="640">
        <f t="shared" si="188"/>
        <v>0.88888888888888884</v>
      </c>
      <c r="AA889" s="640">
        <f t="shared" si="188"/>
        <v>1.5802469135802468</v>
      </c>
      <c r="AB889" s="640">
        <f t="shared" si="188"/>
        <v>2</v>
      </c>
      <c r="AC889" s="640">
        <f t="shared" si="188"/>
        <v>2.4691358024691357</v>
      </c>
      <c r="AD889" s="640">
        <f t="shared" si="188"/>
        <v>2.9876543209876543</v>
      </c>
      <c r="AE889" s="640">
        <f t="shared" si="188"/>
        <v>3.8580246913580245</v>
      </c>
      <c r="AF889" s="472"/>
      <c r="AG889" s="472"/>
      <c r="AH889" s="472"/>
      <c r="AI889" s="472"/>
      <c r="AJ889" s="472"/>
      <c r="AK889" s="472"/>
      <c r="AL889" s="472"/>
      <c r="AM889" s="472"/>
      <c r="AN889" s="472"/>
      <c r="AO889" s="472"/>
      <c r="AR889" s="427"/>
      <c r="AU889" s="427"/>
      <c r="AV889" s="427"/>
    </row>
    <row r="890" spans="1:48" s="423" customFormat="1" ht="22.25" customHeight="1">
      <c r="A890" s="969"/>
      <c r="B890" s="962" t="s">
        <v>486</v>
      </c>
      <c r="C890" s="445" t="s">
        <v>221</v>
      </c>
      <c r="D890" s="968" t="s">
        <v>483</v>
      </c>
      <c r="E890" s="970"/>
      <c r="F890" s="959">
        <f>SUMIF($J$387:$J$887,D890,$K$387:$K$887)</f>
        <v>3891.3535558264757</v>
      </c>
      <c r="G890" s="960">
        <f>(F890)*AA889/1000</f>
        <v>6.1492994462443065</v>
      </c>
      <c r="H890" s="960">
        <f>G890*1.05</f>
        <v>6.4567644185565225</v>
      </c>
      <c r="I890" s="969"/>
      <c r="J890" s="969"/>
      <c r="K890" s="969"/>
      <c r="L890" s="969"/>
      <c r="M890" s="973"/>
      <c r="N890" s="973"/>
      <c r="O890" s="972"/>
      <c r="P890" s="973"/>
      <c r="Q890" s="611"/>
      <c r="R890" s="611"/>
      <c r="S890" s="624"/>
      <c r="T890" s="625"/>
      <c r="U890" s="626"/>
      <c r="V890" s="640" t="s">
        <v>467</v>
      </c>
      <c r="W890" s="640">
        <f t="shared" ref="W890:AE890" si="189">W888*W889</f>
        <v>0</v>
      </c>
      <c r="X890" s="640">
        <f t="shared" si="189"/>
        <v>293.3218207487177</v>
      </c>
      <c r="Y890" s="640">
        <f t="shared" si="189"/>
        <v>4815.9275631573846</v>
      </c>
      <c r="Z890" s="640">
        <f t="shared" si="189"/>
        <v>169.0022201903214</v>
      </c>
      <c r="AA890" s="640">
        <f t="shared" si="189"/>
        <v>6149.2994462443085</v>
      </c>
      <c r="AB890" s="640">
        <f t="shared" si="189"/>
        <v>0</v>
      </c>
      <c r="AC890" s="640">
        <f t="shared" si="189"/>
        <v>0</v>
      </c>
      <c r="AD890" s="640">
        <f t="shared" si="189"/>
        <v>0</v>
      </c>
      <c r="AE890" s="640">
        <f t="shared" si="189"/>
        <v>0</v>
      </c>
      <c r="AF890" s="472"/>
      <c r="AG890" s="472"/>
      <c r="AH890" s="472"/>
      <c r="AI890" s="472"/>
      <c r="AJ890" s="472"/>
      <c r="AK890" s="472"/>
      <c r="AL890" s="472"/>
      <c r="AM890" s="472"/>
      <c r="AN890" s="472"/>
      <c r="AO890" s="472"/>
      <c r="AR890" s="427"/>
      <c r="AU890" s="427"/>
      <c r="AV890" s="427"/>
    </row>
    <row r="891" spans="1:48" s="423" customFormat="1" ht="18" customHeight="1">
      <c r="A891" s="969"/>
      <c r="B891" s="962" t="s">
        <v>546</v>
      </c>
      <c r="C891" s="445"/>
      <c r="D891" s="968" t="s">
        <v>545</v>
      </c>
      <c r="E891" s="970"/>
      <c r="F891" s="959">
        <f>SUMIF($J$387:$J$887,D891,$K$387:$K$887)</f>
        <v>190.12749771411157</v>
      </c>
      <c r="G891" s="960">
        <f>(F891)*Z889/1000</f>
        <v>0.16900222019032141</v>
      </c>
      <c r="H891" s="960">
        <f>G891*1.05</f>
        <v>0.17745233119983747</v>
      </c>
      <c r="I891" s="969"/>
      <c r="J891" s="969"/>
      <c r="K891" s="969"/>
      <c r="L891" s="969"/>
      <c r="M891" s="973"/>
      <c r="N891" s="973"/>
      <c r="O891" s="972"/>
      <c r="P891" s="973"/>
      <c r="Q891" s="618"/>
      <c r="R891" s="618"/>
      <c r="S891" s="618"/>
      <c r="T891" s="618"/>
      <c r="U891" s="618"/>
      <c r="V891" s="641" t="s">
        <v>482</v>
      </c>
      <c r="W891" s="641">
        <f t="shared" ref="W891:AE891" si="190">W890*1.05</f>
        <v>0</v>
      </c>
      <c r="X891" s="641">
        <f>X890*1.05</f>
        <v>307.98791178615357</v>
      </c>
      <c r="Y891" s="640">
        <f t="shared" si="190"/>
        <v>5056.7239413152538</v>
      </c>
      <c r="Z891" s="640">
        <f t="shared" si="190"/>
        <v>177.45233119983746</v>
      </c>
      <c r="AA891" s="640">
        <f t="shared" si="190"/>
        <v>6456.7644185565241</v>
      </c>
      <c r="AB891" s="641">
        <f t="shared" si="190"/>
        <v>0</v>
      </c>
      <c r="AC891" s="641">
        <f t="shared" si="190"/>
        <v>0</v>
      </c>
      <c r="AD891" s="641">
        <f t="shared" si="190"/>
        <v>0</v>
      </c>
      <c r="AE891" s="641">
        <f t="shared" si="190"/>
        <v>0</v>
      </c>
      <c r="AF891" s="472"/>
      <c r="AG891" s="472"/>
      <c r="AH891" s="472"/>
      <c r="AI891" s="472"/>
      <c r="AJ891" s="472"/>
      <c r="AK891" s="472"/>
      <c r="AL891" s="472"/>
      <c r="AM891" s="472"/>
      <c r="AN891" s="472"/>
      <c r="AO891" s="472"/>
      <c r="AR891" s="427"/>
      <c r="AU891" s="427"/>
      <c r="AV891" s="427"/>
    </row>
    <row r="892" spans="1:48" s="390" customFormat="1" ht="19.25" customHeight="1">
      <c r="A892" s="969"/>
      <c r="B892" s="962" t="s">
        <v>485</v>
      </c>
      <c r="C892" s="445" t="s">
        <v>221</v>
      </c>
      <c r="D892" s="968" t="s">
        <v>484</v>
      </c>
      <c r="E892" s="970"/>
      <c r="F892" s="959">
        <f>SUMIF($J$387:$J$887,D892,$K$387:$K$887)</f>
        <v>7801.8026523149665</v>
      </c>
      <c r="G892" s="960">
        <f>(F892)*Y889/1000</f>
        <v>4.8159275631573868</v>
      </c>
      <c r="H892" s="960">
        <f>G892*1.05</f>
        <v>5.0567239413152567</v>
      </c>
      <c r="I892" s="969"/>
      <c r="J892" s="969"/>
      <c r="K892" s="969"/>
      <c r="L892" s="969"/>
      <c r="M892" s="973"/>
      <c r="N892" s="973"/>
      <c r="O892" s="973"/>
      <c r="P892" s="973"/>
      <c r="Q892" s="618"/>
      <c r="R892" s="618"/>
      <c r="S892" s="618"/>
      <c r="T892" s="618"/>
      <c r="U892" s="618"/>
      <c r="V892" s="640" t="s">
        <v>468</v>
      </c>
      <c r="W892" s="640">
        <f>SUM(W890:AE890)</f>
        <v>11427.551050340731</v>
      </c>
      <c r="X892" s="640" t="s">
        <v>172</v>
      </c>
      <c r="Y892" s="640"/>
      <c r="Z892" s="640"/>
      <c r="AA892" s="640"/>
      <c r="AB892" s="640"/>
      <c r="AC892" s="640"/>
      <c r="AD892" s="640"/>
      <c r="AE892" s="640"/>
      <c r="AF892" s="472"/>
      <c r="AG892" s="472"/>
      <c r="AH892" s="472"/>
      <c r="AI892" s="472"/>
      <c r="AJ892" s="472"/>
      <c r="AK892" s="472"/>
      <c r="AL892" s="472"/>
      <c r="AM892" s="472"/>
      <c r="AN892" s="471"/>
      <c r="AO892" s="471"/>
      <c r="AR892" s="404"/>
      <c r="AU892" s="404"/>
      <c r="AV892" s="404"/>
    </row>
    <row r="893" spans="1:48" s="390" customFormat="1" ht="19.25" customHeight="1">
      <c r="A893" s="969"/>
      <c r="B893" s="962" t="s">
        <v>602</v>
      </c>
      <c r="C893" s="445"/>
      <c r="D893" s="968" t="s">
        <v>601</v>
      </c>
      <c r="E893" s="970"/>
      <c r="F893" s="959">
        <f>SUMIF($J$387:$J$887,D893,$K$387:$K$887)</f>
        <v>1124.6895848826578</v>
      </c>
      <c r="G893" s="960">
        <f>(F893)*X889/1000</f>
        <v>0.29332182074871782</v>
      </c>
      <c r="H893" s="960">
        <f>G893*1.05</f>
        <v>0.3079879117861537</v>
      </c>
      <c r="I893" s="969"/>
      <c r="J893" s="969"/>
      <c r="K893" s="969"/>
      <c r="L893" s="969"/>
      <c r="M893" s="973"/>
      <c r="N893" s="973"/>
      <c r="O893" s="973"/>
      <c r="P893" s="973"/>
      <c r="Q893" s="618"/>
      <c r="R893" s="618"/>
      <c r="S893" s="618"/>
      <c r="T893" s="618"/>
      <c r="U893" s="618"/>
      <c r="V893" s="640" t="s">
        <v>469</v>
      </c>
      <c r="W893" s="640">
        <f>W892/1000</f>
        <v>11.427551050340732</v>
      </c>
      <c r="X893" s="671" t="s">
        <v>9</v>
      </c>
      <c r="Y893" s="671"/>
      <c r="Z893" s="671"/>
      <c r="AA893" s="671"/>
      <c r="AB893" s="671"/>
      <c r="AC893" s="671"/>
      <c r="AD893" s="671"/>
      <c r="AE893" s="671"/>
      <c r="AF893" s="472"/>
      <c r="AG893" s="472"/>
      <c r="AH893" s="472"/>
      <c r="AI893" s="472"/>
      <c r="AJ893" s="472"/>
      <c r="AK893" s="472"/>
      <c r="AL893" s="472"/>
      <c r="AM893" s="472"/>
      <c r="AN893" s="471"/>
      <c r="AO893" s="471"/>
      <c r="AR893" s="404"/>
      <c r="AU893" s="404"/>
      <c r="AV893" s="404"/>
    </row>
    <row r="894" spans="1:48" s="390" customFormat="1" ht="22.25" customHeight="1">
      <c r="A894" s="969"/>
      <c r="B894" s="962"/>
      <c r="C894" s="445"/>
      <c r="D894" s="445"/>
      <c r="E894" s="445"/>
      <c r="F894" s="959"/>
      <c r="G894" s="960"/>
      <c r="H894" s="962"/>
      <c r="I894" s="969"/>
      <c r="J894" s="969"/>
      <c r="K894" s="975"/>
      <c r="L894" s="969"/>
      <c r="M894" s="973"/>
      <c r="N894" s="973"/>
      <c r="O894" s="973"/>
      <c r="P894" s="973"/>
      <c r="Q894" s="618"/>
      <c r="R894" s="618"/>
      <c r="S894" s="618"/>
      <c r="T894" s="618"/>
      <c r="U894" s="618"/>
      <c r="V894" s="641" t="s">
        <v>470</v>
      </c>
      <c r="W894" s="641">
        <f>W893*1.05</f>
        <v>11.998928602857768</v>
      </c>
      <c r="X894" s="618" t="s">
        <v>9</v>
      </c>
      <c r="Y894" s="618"/>
      <c r="Z894" s="618"/>
      <c r="AA894" s="618"/>
      <c r="AB894" s="618"/>
      <c r="AC894" s="618"/>
      <c r="AD894" s="618"/>
      <c r="AE894" s="618"/>
      <c r="AF894" s="471">
        <f>1/AF178</f>
        <v>0.30303030303030298</v>
      </c>
      <c r="AG894" s="471">
        <f>AF45*2.8</f>
        <v>0</v>
      </c>
      <c r="AH894" s="471"/>
      <c r="AI894" s="471"/>
      <c r="AJ894" s="471"/>
      <c r="AK894" s="471"/>
      <c r="AL894" s="471"/>
      <c r="AM894" s="471"/>
      <c r="AN894" s="471"/>
      <c r="AO894" s="471"/>
      <c r="AR894" s="404"/>
      <c r="AU894" s="404"/>
      <c r="AV894" s="404"/>
    </row>
    <row r="895" spans="1:48" s="390" customFormat="1" ht="24.65" customHeight="1">
      <c r="A895" s="969"/>
      <c r="B895" s="976" t="s">
        <v>20</v>
      </c>
      <c r="C895" s="445" t="s">
        <v>221</v>
      </c>
      <c r="D895" s="1149"/>
      <c r="E895" s="1149"/>
      <c r="F895" s="959"/>
      <c r="G895" s="960">
        <f>20*(SUM(H889:H894))</f>
        <v>239.97857205715542</v>
      </c>
      <c r="H895" s="962" t="s">
        <v>487</v>
      </c>
      <c r="I895" s="977"/>
      <c r="J895" s="969"/>
      <c r="K895" s="969"/>
      <c r="L895" s="969"/>
      <c r="M895" s="964"/>
      <c r="N895" s="964"/>
      <c r="O895" s="964"/>
      <c r="P895" s="964"/>
      <c r="Q895" s="618"/>
      <c r="R895" s="618"/>
      <c r="S895" s="618"/>
      <c r="T895" s="618"/>
      <c r="U895" s="618"/>
      <c r="V895" s="641"/>
      <c r="W895" s="641"/>
      <c r="X895" s="641"/>
      <c r="Y895" s="618"/>
      <c r="Z895" s="618"/>
      <c r="AA895" s="618"/>
      <c r="AB895" s="618"/>
      <c r="AC895" s="618"/>
      <c r="AD895" s="618"/>
      <c r="AE895" s="618"/>
      <c r="AF895" s="471"/>
      <c r="AG895" s="473" t="e">
        <f>#REF!*#REF!*#REF!</f>
        <v>#REF!</v>
      </c>
      <c r="AH895" s="471"/>
      <c r="AI895" s="471"/>
      <c r="AJ895" s="471">
        <f>11.75+16.25</f>
        <v>28</v>
      </c>
      <c r="AM895" s="404"/>
      <c r="AP895" s="404"/>
      <c r="AQ895" s="404"/>
    </row>
    <row r="896" spans="1:48" s="390" customFormat="1" ht="24.65" customHeight="1">
      <c r="A896" s="969"/>
      <c r="B896" s="978" t="s">
        <v>402</v>
      </c>
      <c r="C896" s="1042"/>
      <c r="D896" s="979"/>
      <c r="E896" s="979"/>
      <c r="F896" s="979"/>
      <c r="G896" s="979"/>
      <c r="H896" s="979"/>
      <c r="I896" s="977"/>
      <c r="J896" s="969"/>
      <c r="K896" s="980">
        <f>SUM(G889:G894)</f>
        <v>11.427551050340734</v>
      </c>
      <c r="L896" s="791" t="s">
        <v>9</v>
      </c>
      <c r="M896" s="964">
        <f>G889+G890+G891+G892+G893</f>
        <v>11.427551050340734</v>
      </c>
      <c r="N896" s="964"/>
      <c r="O896" s="964"/>
      <c r="P896" s="964"/>
      <c r="Q896" s="618"/>
      <c r="R896" s="618"/>
      <c r="S896" s="618"/>
      <c r="T896" s="618"/>
      <c r="U896" s="618"/>
      <c r="V896" s="641" t="s">
        <v>524</v>
      </c>
      <c r="W896" s="641"/>
      <c r="X896" s="641"/>
      <c r="Y896" s="618">
        <v>135</v>
      </c>
      <c r="Z896" s="618">
        <v>88</v>
      </c>
      <c r="AA896" s="618">
        <v>53</v>
      </c>
      <c r="AB896" s="618">
        <v>41</v>
      </c>
      <c r="AC896" s="618">
        <v>33</v>
      </c>
      <c r="AD896" s="618">
        <v>27</v>
      </c>
      <c r="AE896" s="618">
        <v>21</v>
      </c>
      <c r="AF896" s="471"/>
      <c r="AG896" s="473"/>
      <c r="AH896" s="471"/>
      <c r="AI896" s="471"/>
      <c r="AJ896" s="471"/>
      <c r="AM896" s="404"/>
      <c r="AP896" s="404"/>
      <c r="AQ896" s="404"/>
    </row>
    <row r="897" spans="1:48" s="390" customFormat="1" ht="24.65" customHeight="1">
      <c r="A897" s="788"/>
      <c r="B897" s="978" t="s">
        <v>404</v>
      </c>
      <c r="C897" s="1042"/>
      <c r="D897" s="979"/>
      <c r="E897" s="979"/>
      <c r="F897" s="979"/>
      <c r="G897" s="979"/>
      <c r="H897" s="979"/>
      <c r="I897" s="791"/>
      <c r="J897" s="969"/>
      <c r="K897" s="980">
        <f>SUM(H889:H894)</f>
        <v>11.99892860285777</v>
      </c>
      <c r="L897" s="791" t="s">
        <v>9</v>
      </c>
      <c r="M897" s="973"/>
      <c r="N897" s="973"/>
      <c r="O897" s="973"/>
      <c r="P897" s="973"/>
      <c r="Q897" s="618"/>
      <c r="R897" s="618"/>
      <c r="S897" s="618"/>
      <c r="T897" s="618"/>
      <c r="U897" s="618"/>
      <c r="V897" s="641"/>
      <c r="W897" s="641"/>
      <c r="X897" s="641"/>
      <c r="Y897" s="618"/>
      <c r="Z897" s="618"/>
      <c r="AA897" s="618"/>
      <c r="AB897" s="618"/>
      <c r="AC897" s="618"/>
      <c r="AD897" s="618"/>
      <c r="AE897" s="618"/>
      <c r="AF897" s="471"/>
      <c r="AG897" s="473"/>
      <c r="AH897" s="471"/>
      <c r="AI897" s="471"/>
      <c r="AJ897" s="471"/>
      <c r="AM897" s="404"/>
      <c r="AP897" s="404"/>
      <c r="AQ897" s="404"/>
    </row>
    <row r="898" spans="1:48" s="390" customFormat="1" ht="24.65" customHeight="1">
      <c r="A898" s="454"/>
      <c r="B898" s="978"/>
      <c r="C898" s="1043"/>
      <c r="D898" s="981"/>
      <c r="E898" s="981"/>
      <c r="F898" s="982"/>
      <c r="G898" s="983"/>
      <c r="H898" s="983"/>
      <c r="I898" s="501"/>
      <c r="J898" s="421"/>
      <c r="K898" s="969"/>
      <c r="L898" s="969"/>
      <c r="M898" s="725"/>
      <c r="N898" s="725"/>
      <c r="O898" s="725"/>
      <c r="P898" s="725"/>
      <c r="Q898" s="618"/>
      <c r="R898" s="618"/>
      <c r="S898" s="618"/>
      <c r="T898" s="618"/>
      <c r="U898" s="618"/>
      <c r="V898" s="641"/>
      <c r="W898" s="984">
        <f>7.85*W$5*W$5*3.142/(4*1000)</f>
        <v>0.22198229999999997</v>
      </c>
      <c r="X898" s="984">
        <f>7.85*X$5*X$5*3.142/(4*1000)</f>
        <v>0.26052089374999998</v>
      </c>
      <c r="Y898" s="984">
        <f t="shared" ref="Y898:AE898" si="191">7.85*Y$5*Y$5*3.142/(4*1000)</f>
        <v>0.61661749999999993</v>
      </c>
      <c r="Z898" s="984">
        <f t="shared" si="191"/>
        <v>0.88792919999999986</v>
      </c>
      <c r="AA898" s="984">
        <f t="shared" si="191"/>
        <v>1.5785408000000001</v>
      </c>
      <c r="AB898" s="984">
        <f t="shared" si="191"/>
        <v>1.9978406999999998</v>
      </c>
      <c r="AC898" s="984">
        <f t="shared" si="191"/>
        <v>2.4664699999999997</v>
      </c>
      <c r="AD898" s="984">
        <f t="shared" si="191"/>
        <v>2.9844286999999996</v>
      </c>
      <c r="AE898" s="984">
        <f t="shared" si="191"/>
        <v>3.8538593749999999</v>
      </c>
      <c r="AF898" s="471"/>
      <c r="AG898" s="473"/>
      <c r="AH898" s="471"/>
      <c r="AI898" s="471"/>
      <c r="AJ898" s="471"/>
      <c r="AM898" s="404"/>
      <c r="AP898" s="404"/>
      <c r="AQ898" s="404"/>
    </row>
    <row r="899" spans="1:48" s="390" customFormat="1" ht="22.75" customHeight="1">
      <c r="A899" s="454">
        <v>11</v>
      </c>
      <c r="B899" s="985" t="s">
        <v>648</v>
      </c>
      <c r="C899" s="1043"/>
      <c r="D899" s="981"/>
      <c r="E899" s="981"/>
      <c r="F899" s="982"/>
      <c r="G899" s="983"/>
      <c r="H899" s="983"/>
      <c r="I899" s="501"/>
      <c r="J899" s="421"/>
      <c r="K899" s="969"/>
      <c r="L899" s="969"/>
      <c r="M899" s="725"/>
      <c r="N899" s="725"/>
      <c r="O899" s="725"/>
      <c r="P899" s="725"/>
      <c r="Q899" s="618"/>
      <c r="R899" s="618"/>
      <c r="S899" s="618"/>
      <c r="T899" s="618"/>
      <c r="U899" s="618"/>
      <c r="V899" s="641"/>
      <c r="W899" s="984"/>
      <c r="X899" s="984"/>
      <c r="Y899" s="984"/>
      <c r="Z899" s="984"/>
      <c r="AA899" s="984"/>
      <c r="AB899" s="984"/>
      <c r="AC899" s="984"/>
      <c r="AD899" s="984"/>
      <c r="AE899" s="984"/>
      <c r="AF899" s="471"/>
      <c r="AG899" s="473"/>
      <c r="AH899" s="471"/>
      <c r="AI899" s="471"/>
      <c r="AJ899" s="471"/>
      <c r="AM899" s="404"/>
      <c r="AP899" s="404"/>
      <c r="AQ899" s="404"/>
    </row>
    <row r="900" spans="1:48" s="390" customFormat="1" ht="22.75" customHeight="1">
      <c r="A900" s="986"/>
      <c r="B900" s="987" t="s">
        <v>481</v>
      </c>
      <c r="C900" s="940"/>
      <c r="D900" s="940"/>
      <c r="E900" s="940">
        <f>E347</f>
        <v>1</v>
      </c>
      <c r="F900" s="959">
        <f>F347</f>
        <v>9.5</v>
      </c>
      <c r="G900" s="960">
        <f>G347</f>
        <v>5.83</v>
      </c>
      <c r="H900" s="960"/>
      <c r="I900" s="501"/>
      <c r="J900" s="507">
        <f>IF(I900=0,1,I900)*IF(H900=0,1,H900)*IF(G900=0,1,G900)*IF(F900=0,1,F900)*IF(E900=0,1,E900)*IF(D900=0,1,D900)*IF(C900=0,1,C900)</f>
        <v>55.384999999999998</v>
      </c>
      <c r="K900" s="969"/>
      <c r="L900" s="969"/>
      <c r="M900" s="725"/>
      <c r="N900" s="725"/>
      <c r="O900" s="725"/>
      <c r="P900" s="725"/>
      <c r="Q900" s="618"/>
      <c r="R900" s="618"/>
      <c r="S900" s="618"/>
      <c r="T900" s="618"/>
      <c r="U900" s="618"/>
      <c r="V900" s="641"/>
      <c r="W900" s="984"/>
      <c r="X900" s="984"/>
      <c r="Y900" s="984"/>
      <c r="Z900" s="984"/>
      <c r="AA900" s="984"/>
      <c r="AB900" s="984"/>
      <c r="AC900" s="984"/>
      <c r="AD900" s="984"/>
      <c r="AE900" s="984"/>
      <c r="AF900" s="471"/>
      <c r="AG900" s="473"/>
      <c r="AH900" s="471"/>
      <c r="AI900" s="471"/>
      <c r="AJ900" s="471"/>
      <c r="AM900" s="404"/>
      <c r="AP900" s="404"/>
      <c r="AQ900" s="404"/>
    </row>
    <row r="901" spans="1:48" s="390" customFormat="1" ht="22.75" customHeight="1">
      <c r="A901" s="986"/>
      <c r="B901" s="987" t="s">
        <v>770</v>
      </c>
      <c r="C901" s="940"/>
      <c r="D901" s="940"/>
      <c r="E901" s="940">
        <f>E349</f>
        <v>1</v>
      </c>
      <c r="F901" s="959">
        <f>F349</f>
        <v>204</v>
      </c>
      <c r="G901" s="960">
        <f>G349</f>
        <v>3</v>
      </c>
      <c r="H901" s="960"/>
      <c r="I901" s="501"/>
      <c r="J901" s="507">
        <f>IF(I901=0,1,I901)*IF(H901=0,1,H901)*IF(G901=0,1,G901)*IF(F901=0,1,F901)*IF(E901=0,1,E901)*IF(D901=0,1,D901)*IF(C901=0,1,C901)</f>
        <v>612</v>
      </c>
      <c r="K901" s="969"/>
      <c r="L901" s="969"/>
      <c r="M901" s="725"/>
      <c r="N901" s="725"/>
      <c r="O901" s="725"/>
      <c r="P901" s="725"/>
      <c r="Q901" s="618"/>
      <c r="R901" s="618"/>
      <c r="S901" s="618"/>
      <c r="T901" s="618"/>
      <c r="U901" s="618"/>
      <c r="V901" s="641"/>
      <c r="W901" s="984"/>
      <c r="X901" s="984"/>
      <c r="Y901" s="984"/>
      <c r="Z901" s="984"/>
      <c r="AA901" s="984"/>
      <c r="AB901" s="984"/>
      <c r="AC901" s="984"/>
      <c r="AD901" s="984"/>
      <c r="AE901" s="984"/>
      <c r="AF901" s="471"/>
      <c r="AG901" s="473"/>
      <c r="AH901" s="471"/>
      <c r="AI901" s="471"/>
      <c r="AJ901" s="471"/>
      <c r="AM901" s="404"/>
      <c r="AP901" s="404"/>
      <c r="AQ901" s="404"/>
    </row>
    <row r="902" spans="1:48" s="390" customFormat="1" ht="22.75" customHeight="1" thickBot="1">
      <c r="A902" s="986"/>
      <c r="B902" s="987"/>
      <c r="C902" s="940"/>
      <c r="D902" s="940"/>
      <c r="E902" s="940">
        <f>E350</f>
        <v>1</v>
      </c>
      <c r="F902" s="959">
        <f>F350</f>
        <v>204</v>
      </c>
      <c r="G902" s="960"/>
      <c r="H902" s="960">
        <f>H350</f>
        <v>1.5</v>
      </c>
      <c r="I902" s="501"/>
      <c r="J902" s="507">
        <f>IF(I902=0,1,I902)*IF(H902=0,1,H902)*IF(G902=0,1,G902)*IF(F902=0,1,F902)*IF(E902=0,1,E902)*IF(D902=0,1,D902)*IF(C902=0,1,C902)</f>
        <v>306</v>
      </c>
      <c r="K902" s="988"/>
      <c r="L902" s="988"/>
      <c r="M902" s="725"/>
      <c r="N902" s="725"/>
      <c r="O902" s="725"/>
      <c r="P902" s="725"/>
      <c r="Q902" s="618"/>
      <c r="R902" s="618"/>
      <c r="S902" s="618"/>
      <c r="T902" s="618"/>
      <c r="U902" s="618"/>
      <c r="V902" s="641"/>
      <c r="W902" s="984"/>
      <c r="X902" s="984"/>
      <c r="Y902" s="984"/>
      <c r="Z902" s="984"/>
      <c r="AA902" s="984"/>
      <c r="AB902" s="984"/>
      <c r="AC902" s="984"/>
      <c r="AD902" s="984"/>
      <c r="AE902" s="984"/>
      <c r="AF902" s="471"/>
      <c r="AG902" s="473"/>
      <c r="AH902" s="471"/>
      <c r="AI902" s="471"/>
      <c r="AJ902" s="471"/>
      <c r="AM902" s="404"/>
      <c r="AP902" s="404"/>
      <c r="AQ902" s="404"/>
    </row>
    <row r="903" spans="1:48" s="390" customFormat="1" ht="22.75" customHeight="1" thickBot="1">
      <c r="A903" s="986"/>
      <c r="B903" s="989"/>
      <c r="C903" s="940"/>
      <c r="D903" s="940"/>
      <c r="E903" s="940"/>
      <c r="F903" s="959"/>
      <c r="G903" s="960"/>
      <c r="H903" s="960"/>
      <c r="I903" s="501"/>
      <c r="J903" s="421"/>
      <c r="K903" s="990">
        <f>SUM(J899:J903)</f>
        <v>973.38499999999999</v>
      </c>
      <c r="L903" s="991" t="s">
        <v>45</v>
      </c>
      <c r="M903" s="725"/>
      <c r="N903" s="725"/>
      <c r="O903" s="725"/>
      <c r="P903" s="725"/>
      <c r="Q903" s="618"/>
      <c r="R903" s="618"/>
      <c r="S903" s="618"/>
      <c r="T903" s="618"/>
      <c r="U903" s="618"/>
      <c r="V903" s="641"/>
      <c r="W903" s="984"/>
      <c r="X903" s="984"/>
      <c r="Y903" s="984"/>
      <c r="Z903" s="984"/>
      <c r="AA903" s="984"/>
      <c r="AB903" s="984"/>
      <c r="AC903" s="984"/>
      <c r="AD903" s="984"/>
      <c r="AE903" s="984"/>
      <c r="AF903" s="471"/>
      <c r="AG903" s="473"/>
      <c r="AH903" s="471"/>
      <c r="AI903" s="471"/>
      <c r="AJ903" s="471"/>
      <c r="AM903" s="404"/>
      <c r="AP903" s="404"/>
      <c r="AQ903" s="404"/>
    </row>
    <row r="904" spans="1:48" s="390" customFormat="1" ht="22.75" customHeight="1" thickBot="1">
      <c r="A904" s="986"/>
      <c r="B904" s="989"/>
      <c r="C904" s="940"/>
      <c r="D904" s="940"/>
      <c r="E904" s="940"/>
      <c r="F904" s="959"/>
      <c r="G904" s="960"/>
      <c r="H904" s="960"/>
      <c r="I904" s="501"/>
      <c r="J904" s="421"/>
      <c r="K904" s="992">
        <f>K903/100</f>
        <v>9.7338500000000003</v>
      </c>
      <c r="L904" s="993" t="s">
        <v>315</v>
      </c>
      <c r="M904" s="725"/>
      <c r="N904" s="725"/>
      <c r="O904" s="725"/>
      <c r="P904" s="725"/>
      <c r="Q904" s="618"/>
      <c r="R904" s="618"/>
      <c r="S904" s="618"/>
      <c r="T904" s="618"/>
      <c r="U904" s="618"/>
      <c r="V904" s="641"/>
      <c r="W904" s="984"/>
      <c r="X904" s="984"/>
      <c r="Y904" s="984"/>
      <c r="Z904" s="984"/>
      <c r="AA904" s="984"/>
      <c r="AB904" s="984"/>
      <c r="AC904" s="984"/>
      <c r="AD904" s="984"/>
      <c r="AE904" s="984"/>
      <c r="AF904" s="471"/>
      <c r="AG904" s="473"/>
      <c r="AH904" s="471"/>
      <c r="AI904" s="471"/>
      <c r="AJ904" s="471"/>
      <c r="AM904" s="404"/>
      <c r="AP904" s="404"/>
      <c r="AQ904" s="404"/>
    </row>
    <row r="905" spans="1:48" s="390" customFormat="1" ht="22.75" customHeight="1" thickTop="1">
      <c r="A905" s="454"/>
      <c r="B905" s="978"/>
      <c r="C905" s="1043"/>
      <c r="D905" s="981"/>
      <c r="E905" s="981"/>
      <c r="F905" s="982"/>
      <c r="G905" s="983"/>
      <c r="H905" s="983"/>
      <c r="I905" s="501"/>
      <c r="J905" s="421"/>
      <c r="K905" s="994"/>
      <c r="L905" s="994"/>
      <c r="M905" s="725"/>
      <c r="N905" s="725"/>
      <c r="O905" s="725"/>
      <c r="P905" s="725"/>
      <c r="Q905" s="618"/>
      <c r="R905" s="618"/>
      <c r="S905" s="618"/>
      <c r="T905" s="618"/>
      <c r="U905" s="618"/>
      <c r="V905" s="641"/>
      <c r="W905" s="984"/>
      <c r="X905" s="984"/>
      <c r="Y905" s="984"/>
      <c r="Z905" s="984"/>
      <c r="AA905" s="984"/>
      <c r="AB905" s="984"/>
      <c r="AC905" s="984"/>
      <c r="AD905" s="984"/>
      <c r="AE905" s="984"/>
      <c r="AF905" s="471"/>
      <c r="AG905" s="473"/>
      <c r="AH905" s="471"/>
      <c r="AI905" s="471"/>
      <c r="AJ905" s="471"/>
      <c r="AM905" s="404"/>
      <c r="AP905" s="404"/>
      <c r="AQ905" s="404"/>
    </row>
    <row r="906" spans="1:48" s="390" customFormat="1" ht="22.25" customHeight="1">
      <c r="A906" s="454">
        <v>12</v>
      </c>
      <c r="B906" s="649" t="s">
        <v>563</v>
      </c>
      <c r="C906" s="662"/>
      <c r="D906" s="662"/>
      <c r="E906" s="662"/>
      <c r="F906" s="504"/>
      <c r="G906" s="643"/>
      <c r="H906" s="648"/>
      <c r="I906" s="501"/>
      <c r="J906" s="421"/>
      <c r="K906" s="421"/>
      <c r="L906" s="432"/>
      <c r="M906" s="724"/>
      <c r="N906" s="724"/>
      <c r="O906" s="724"/>
      <c r="P906" s="724"/>
      <c r="Q906" s="618"/>
      <c r="R906" s="618"/>
      <c r="S906" s="618"/>
      <c r="T906" s="618"/>
      <c r="U906" s="618"/>
      <c r="V906" s="641"/>
      <c r="W906" s="641"/>
      <c r="X906" s="641"/>
      <c r="Y906" s="618"/>
      <c r="Z906" s="618"/>
      <c r="AA906" s="618"/>
      <c r="AB906" s="618"/>
      <c r="AC906" s="618"/>
      <c r="AD906" s="618"/>
      <c r="AE906" s="618"/>
      <c r="AF906" s="471"/>
      <c r="AG906" s="473"/>
      <c r="AH906" s="471"/>
      <c r="AI906" s="471"/>
      <c r="AJ906" s="471"/>
      <c r="AM906" s="404"/>
      <c r="AP906" s="404"/>
      <c r="AQ906" s="404"/>
    </row>
    <row r="907" spans="1:48" s="390" customFormat="1" ht="22.25" customHeight="1">
      <c r="A907" s="454"/>
      <c r="B907" s="995" t="str">
        <f>B226</f>
        <v>Floor</v>
      </c>
      <c r="C907" s="662"/>
      <c r="D907" s="662"/>
      <c r="E907" s="662"/>
      <c r="F907" s="498"/>
      <c r="G907" s="642"/>
      <c r="H907" s="642"/>
      <c r="I907" s="501"/>
      <c r="K907" s="421"/>
      <c r="L907" s="421"/>
      <c r="M907" s="724"/>
      <c r="N907" s="724"/>
      <c r="O907" s="724"/>
      <c r="P907" s="724"/>
      <c r="Q907" s="618"/>
      <c r="R907" s="618"/>
      <c r="S907" s="618"/>
      <c r="T907" s="618"/>
      <c r="U907" s="618"/>
      <c r="V907" s="641"/>
      <c r="W907" s="641"/>
      <c r="X907" s="641"/>
      <c r="Y907" s="618"/>
      <c r="Z907" s="618"/>
      <c r="AA907" s="618"/>
      <c r="AB907" s="618"/>
      <c r="AC907" s="618"/>
      <c r="AD907" s="618"/>
      <c r="AE907" s="618"/>
      <c r="AF907" s="471"/>
      <c r="AG907" s="473"/>
      <c r="AH907" s="471"/>
      <c r="AI907" s="471"/>
      <c r="AJ907" s="471"/>
      <c r="AM907" s="404"/>
      <c r="AP907" s="404"/>
      <c r="AQ907" s="404"/>
    </row>
    <row r="908" spans="1:48" s="423" customFormat="1" ht="22.25" customHeight="1">
      <c r="A908" s="454"/>
      <c r="B908" s="872" t="s">
        <v>151</v>
      </c>
      <c r="C908" s="662"/>
      <c r="D908" s="662"/>
      <c r="E908" s="662"/>
      <c r="F908" s="498"/>
      <c r="G908" s="642"/>
      <c r="H908" s="642"/>
      <c r="I908" s="501"/>
      <c r="J908" s="390"/>
      <c r="K908" s="421"/>
      <c r="L908" s="421"/>
      <c r="M908" s="726"/>
      <c r="N908" s="726"/>
      <c r="O908" s="726"/>
      <c r="P908" s="726"/>
      <c r="Q908" s="618"/>
      <c r="R908" s="618"/>
      <c r="S908" s="618"/>
      <c r="T908" s="618"/>
      <c r="U908" s="618"/>
      <c r="V908" s="641"/>
      <c r="W908" s="641"/>
      <c r="X908" s="641"/>
      <c r="Y908" s="618"/>
      <c r="Z908" s="618"/>
      <c r="AA908" s="618"/>
      <c r="AB908" s="618"/>
      <c r="AC908" s="618"/>
      <c r="AD908" s="618"/>
      <c r="AE908" s="618"/>
      <c r="AF908" s="472"/>
      <c r="AG908" s="472"/>
      <c r="AH908" s="472"/>
      <c r="AI908" s="472"/>
      <c r="AJ908" s="472"/>
      <c r="AK908" s="472"/>
      <c r="AL908" s="472"/>
      <c r="AM908" s="472"/>
      <c r="AN908" s="472"/>
      <c r="AO908" s="472"/>
      <c r="AR908" s="427"/>
      <c r="AU908" s="427"/>
      <c r="AV908" s="427"/>
    </row>
    <row r="909" spans="1:48" s="423" customFormat="1" ht="22.25" customHeight="1">
      <c r="A909" s="454"/>
      <c r="B909" s="660"/>
      <c r="C909" s="662"/>
      <c r="D909" s="662"/>
      <c r="E909" s="996">
        <f>E215</f>
        <v>1</v>
      </c>
      <c r="F909" s="501">
        <f>F215</f>
        <v>35</v>
      </c>
      <c r="G909" s="498">
        <f>G215</f>
        <v>45</v>
      </c>
      <c r="H909" s="642"/>
      <c r="I909" s="513"/>
      <c r="J909" s="507">
        <f>IF(I909=0,1,I909)*IF(H909=0,1,H909)*IF(G909=0,1,G909)*IF(F909=0,1,F909)*IF(E909=0,1,E909)*IF(D909=0,1,D909)*IF(C909=0,1,C909)</f>
        <v>1575</v>
      </c>
      <c r="L909" s="421"/>
      <c r="M909" s="726"/>
      <c r="N909" s="726"/>
      <c r="O909" s="726"/>
      <c r="P909" s="726"/>
      <c r="Q909" s="618"/>
      <c r="R909" s="618"/>
      <c r="S909" s="618"/>
      <c r="T909" s="618"/>
      <c r="U909" s="618"/>
      <c r="V909" s="641"/>
      <c r="W909" s="641"/>
      <c r="X909" s="641"/>
      <c r="Y909" s="618"/>
      <c r="Z909" s="618"/>
      <c r="AA909" s="618"/>
      <c r="AB909" s="618"/>
      <c r="AC909" s="618"/>
      <c r="AD909" s="618"/>
      <c r="AE909" s="618"/>
      <c r="AF909" s="472"/>
      <c r="AG909" s="472"/>
      <c r="AH909" s="472"/>
      <c r="AI909" s="472"/>
      <c r="AJ909" s="472"/>
      <c r="AK909" s="472"/>
      <c r="AL909" s="472"/>
      <c r="AM909" s="472"/>
      <c r="AN909" s="472"/>
      <c r="AO909" s="472"/>
      <c r="AR909" s="427"/>
      <c r="AU909" s="427"/>
      <c r="AV909" s="427"/>
    </row>
    <row r="910" spans="1:48" s="423" customFormat="1" ht="22.25" customHeight="1">
      <c r="A910" s="454"/>
      <c r="B910" s="660"/>
      <c r="C910" s="662"/>
      <c r="D910" s="662"/>
      <c r="E910" s="662">
        <v>1</v>
      </c>
      <c r="F910" s="501">
        <f>F216</f>
        <v>9.5</v>
      </c>
      <c r="G910" s="498">
        <f>G216</f>
        <v>5</v>
      </c>
      <c r="H910" s="642"/>
      <c r="I910" s="513"/>
      <c r="J910" s="421">
        <f>IF(I910=0,1,I910)*IF(H910=0,1,H910)*IF(G910=0,1,G910)*IF(F910=0,1,F910)*IF(E910=0,1,E910)*IF(D910=0,1,D910)*IF(C910=0,1,C910)</f>
        <v>47.5</v>
      </c>
      <c r="K910" s="513"/>
      <c r="L910" s="421"/>
      <c r="M910" s="726"/>
      <c r="N910" s="726"/>
      <c r="O910" s="726"/>
      <c r="P910" s="726"/>
      <c r="Q910" s="618"/>
      <c r="R910" s="618"/>
      <c r="S910" s="618"/>
      <c r="T910" s="618"/>
      <c r="U910" s="618"/>
      <c r="V910" s="641"/>
      <c r="W910" s="641"/>
      <c r="X910" s="641"/>
      <c r="Y910" s="618"/>
      <c r="Z910" s="618"/>
      <c r="AA910" s="618"/>
      <c r="AB910" s="618"/>
      <c r="AC910" s="618"/>
      <c r="AD910" s="618"/>
      <c r="AE910" s="618"/>
      <c r="AF910" s="472"/>
      <c r="AG910" s="472"/>
      <c r="AH910" s="472"/>
      <c r="AI910" s="472"/>
      <c r="AJ910" s="472"/>
      <c r="AK910" s="472"/>
      <c r="AL910" s="472"/>
      <c r="AM910" s="472"/>
      <c r="AN910" s="472"/>
      <c r="AO910" s="472"/>
      <c r="AR910" s="427"/>
      <c r="AU910" s="427"/>
      <c r="AV910" s="427"/>
    </row>
    <row r="911" spans="1:48" s="423" customFormat="1" ht="22.25" customHeight="1">
      <c r="A911" s="454"/>
      <c r="B911" s="660"/>
      <c r="C911" s="662"/>
      <c r="D911" s="662"/>
      <c r="E911" s="662"/>
      <c r="F911" s="498"/>
      <c r="G911" s="642"/>
      <c r="H911" s="642"/>
      <c r="I911" s="513"/>
      <c r="J911" s="421"/>
      <c r="K911" s="421">
        <f>SUM(J908:J911)</f>
        <v>1622.5</v>
      </c>
      <c r="L911" s="421" t="s">
        <v>45</v>
      </c>
      <c r="M911" s="726"/>
      <c r="N911" s="726"/>
      <c r="O911" s="726"/>
      <c r="P911" s="726"/>
      <c r="Q911" s="618"/>
      <c r="R911" s="618"/>
      <c r="S911" s="618"/>
      <c r="T911" s="618"/>
      <c r="U911" s="618"/>
      <c r="V911" s="641"/>
      <c r="W911" s="641"/>
      <c r="X911" s="641"/>
      <c r="Y911" s="618"/>
      <c r="Z911" s="618"/>
      <c r="AA911" s="618"/>
      <c r="AB911" s="618"/>
      <c r="AC911" s="618"/>
      <c r="AD911" s="618"/>
      <c r="AE911" s="618"/>
      <c r="AF911" s="472"/>
      <c r="AG911" s="472"/>
      <c r="AH911" s="472"/>
      <c r="AI911" s="472"/>
      <c r="AJ911" s="472"/>
      <c r="AK911" s="472"/>
      <c r="AL911" s="472"/>
      <c r="AM911" s="472"/>
      <c r="AN911" s="472"/>
      <c r="AO911" s="472"/>
      <c r="AR911" s="427"/>
      <c r="AU911" s="427"/>
      <c r="AV911" s="427"/>
    </row>
    <row r="912" spans="1:48" s="423" customFormat="1" ht="22.25" customHeight="1">
      <c r="A912" s="454"/>
      <c r="B912" s="872" t="s">
        <v>350</v>
      </c>
      <c r="C912" s="662"/>
      <c r="D912" s="662"/>
      <c r="E912" s="662"/>
      <c r="F912" s="498"/>
      <c r="G912" s="642"/>
      <c r="H912" s="642"/>
      <c r="I912" s="501"/>
      <c r="J912" s="421"/>
      <c r="K912" s="421"/>
      <c r="L912" s="421"/>
      <c r="M912" s="726"/>
      <c r="N912" s="726"/>
      <c r="O912" s="726"/>
      <c r="P912" s="726"/>
      <c r="Q912" s="618"/>
      <c r="R912" s="618"/>
      <c r="S912" s="618"/>
      <c r="T912" s="618"/>
      <c r="U912" s="618"/>
      <c r="V912" s="641"/>
      <c r="W912" s="641"/>
      <c r="X912" s="641"/>
      <c r="Y912" s="618"/>
      <c r="Z912" s="618"/>
      <c r="AA912" s="618"/>
      <c r="AB912" s="618"/>
      <c r="AC912" s="618"/>
      <c r="AD912" s="618"/>
      <c r="AE912" s="618"/>
      <c r="AF912" s="472"/>
      <c r="AG912" s="472"/>
      <c r="AH912" s="472"/>
      <c r="AI912" s="472"/>
      <c r="AJ912" s="472"/>
      <c r="AK912" s="472"/>
      <c r="AL912" s="472"/>
      <c r="AM912" s="472"/>
      <c r="AN912" s="472"/>
      <c r="AO912" s="472"/>
      <c r="AR912" s="427"/>
      <c r="AU912" s="427"/>
      <c r="AV912" s="427"/>
    </row>
    <row r="913" spans="1:48" s="423" customFormat="1" ht="22.25" customHeight="1">
      <c r="A913" s="454"/>
      <c r="B913" s="660"/>
      <c r="C913" s="662"/>
      <c r="D913" s="662"/>
      <c r="E913" s="662">
        <v>1</v>
      </c>
      <c r="F913" s="501">
        <f>F218</f>
        <v>6</v>
      </c>
      <c r="G913" s="498">
        <f>G218</f>
        <v>5</v>
      </c>
      <c r="H913" s="642"/>
      <c r="I913" s="513"/>
      <c r="J913" s="421">
        <f>IF(I913=0,1,I913)*IF(H913=0,1,H913)*IF(G913=0,1,G913)*IF(F913=0,1,F913)*IF(E913=0,1,E913)*IF(D913=0,1,D913)*IF(C913=0,1,C913)</f>
        <v>30</v>
      </c>
      <c r="K913" s="390"/>
      <c r="L913" s="421"/>
      <c r="M913" s="726"/>
      <c r="N913" s="726"/>
      <c r="O913" s="726"/>
      <c r="P913" s="726"/>
      <c r="Q913" s="618"/>
      <c r="R913" s="618"/>
      <c r="S913" s="618"/>
      <c r="T913" s="618"/>
      <c r="U913" s="618"/>
      <c r="V913" s="641"/>
      <c r="W913" s="641"/>
      <c r="X913" s="641"/>
      <c r="Y913" s="618"/>
      <c r="Z913" s="618"/>
      <c r="AA913" s="618"/>
      <c r="AB913" s="618"/>
      <c r="AC913" s="618"/>
      <c r="AD913" s="618"/>
      <c r="AE913" s="618"/>
      <c r="AF913" s="472"/>
      <c r="AG913" s="472"/>
      <c r="AH913" s="472"/>
      <c r="AI913" s="472"/>
      <c r="AJ913" s="472"/>
      <c r="AK913" s="472"/>
      <c r="AL913" s="472"/>
      <c r="AM913" s="472"/>
      <c r="AN913" s="472"/>
      <c r="AO913" s="472"/>
      <c r="AR913" s="427"/>
      <c r="AU913" s="427"/>
      <c r="AV913" s="427"/>
    </row>
    <row r="914" spans="1:48" s="423" customFormat="1" ht="22.25" customHeight="1">
      <c r="A914" s="454"/>
      <c r="B914" s="872" t="s">
        <v>477</v>
      </c>
      <c r="C914" s="662"/>
      <c r="D914" s="662"/>
      <c r="E914" s="662"/>
      <c r="F914" s="501"/>
      <c r="G914" s="498"/>
      <c r="H914" s="642"/>
      <c r="I914" s="501"/>
      <c r="J914" s="421"/>
      <c r="K914" s="421"/>
      <c r="L914" s="421"/>
      <c r="M914" s="726"/>
      <c r="N914" s="726"/>
      <c r="O914" s="726"/>
      <c r="P914" s="726"/>
      <c r="Q914" s="618"/>
      <c r="R914" s="618"/>
      <c r="S914" s="618"/>
      <c r="T914" s="618"/>
      <c r="U914" s="618"/>
      <c r="V914" s="641"/>
      <c r="W914" s="641"/>
      <c r="X914" s="641"/>
      <c r="Y914" s="618"/>
      <c r="Z914" s="618"/>
      <c r="AA914" s="618"/>
      <c r="AB914" s="618"/>
      <c r="AC914" s="618"/>
      <c r="AD914" s="618"/>
      <c r="AE914" s="618"/>
      <c r="AF914" s="472"/>
      <c r="AG914" s="472"/>
      <c r="AH914" s="472"/>
      <c r="AI914" s="472"/>
      <c r="AJ914" s="472"/>
      <c r="AK914" s="472"/>
      <c r="AL914" s="472"/>
      <c r="AM914" s="472"/>
      <c r="AN914" s="472"/>
      <c r="AO914" s="472"/>
      <c r="AR914" s="427"/>
      <c r="AU914" s="427"/>
      <c r="AV914" s="427"/>
    </row>
    <row r="915" spans="1:48" s="423" customFormat="1" ht="22.25" customHeight="1">
      <c r="A915" s="454"/>
      <c r="B915" s="660"/>
      <c r="C915" s="662"/>
      <c r="D915" s="662"/>
      <c r="E915" s="662">
        <v>1</v>
      </c>
      <c r="F915" s="501">
        <f>F220</f>
        <v>5</v>
      </c>
      <c r="G915" s="498">
        <f>G220</f>
        <v>5</v>
      </c>
      <c r="H915" s="642"/>
      <c r="I915" s="513"/>
      <c r="J915" s="421">
        <f>IF(I915=0,1,I915)*IF(H915=0,1,H915)*IF(G915=0,1,G915)*IF(F915=0,1,F915)*IF(E915=0,1,E915)*IF(D915=0,1,D915)*IF(C915=0,1,C915)</f>
        <v>25</v>
      </c>
      <c r="K915" s="421">
        <f>SUM(J913:J915)</f>
        <v>55</v>
      </c>
      <c r="L915" s="421" t="s">
        <v>45</v>
      </c>
      <c r="M915" s="726"/>
      <c r="N915" s="726"/>
      <c r="O915" s="726"/>
      <c r="P915" s="726"/>
      <c r="Q915" s="618"/>
      <c r="R915" s="618"/>
      <c r="S915" s="618"/>
      <c r="T915" s="618"/>
      <c r="U915" s="618"/>
      <c r="V915" s="641"/>
      <c r="W915" s="641"/>
      <c r="X915" s="641"/>
      <c r="Y915" s="618"/>
      <c r="Z915" s="618"/>
      <c r="AA915" s="618"/>
      <c r="AB915" s="618"/>
      <c r="AC915" s="618"/>
      <c r="AD915" s="618"/>
      <c r="AE915" s="618"/>
      <c r="AF915" s="472"/>
      <c r="AG915" s="472"/>
      <c r="AH915" s="472"/>
      <c r="AI915" s="472"/>
      <c r="AJ915" s="472"/>
      <c r="AK915" s="472"/>
      <c r="AL915" s="472"/>
      <c r="AM915" s="472"/>
      <c r="AN915" s="472"/>
      <c r="AO915" s="472"/>
      <c r="AR915" s="427"/>
      <c r="AU915" s="427"/>
      <c r="AV915" s="427"/>
    </row>
    <row r="916" spans="1:48" s="423" customFormat="1" ht="22.25" customHeight="1" thickBot="1">
      <c r="A916" s="454"/>
      <c r="B916" s="660"/>
      <c r="C916" s="662"/>
      <c r="D916" s="662"/>
      <c r="E916" s="662"/>
      <c r="F916" s="498"/>
      <c r="G916" s="642"/>
      <c r="H916" s="642"/>
      <c r="I916" s="513"/>
      <c r="J916" s="507"/>
      <c r="K916" s="421"/>
      <c r="L916" s="421"/>
      <c r="M916" s="726"/>
      <c r="N916" s="726"/>
      <c r="O916" s="726"/>
      <c r="P916" s="726"/>
      <c r="Q916" s="618"/>
      <c r="R916" s="618"/>
      <c r="S916" s="618"/>
      <c r="T916" s="618"/>
      <c r="U916" s="618"/>
      <c r="V916" s="641" t="s">
        <v>526</v>
      </c>
      <c r="W916" s="641">
        <v>180</v>
      </c>
      <c r="X916" s="641" t="s">
        <v>52</v>
      </c>
      <c r="Y916" s="618"/>
      <c r="Z916" s="618"/>
      <c r="AA916" s="618"/>
      <c r="AB916" s="618"/>
      <c r="AC916" s="618"/>
      <c r="AD916" s="618"/>
      <c r="AE916" s="618"/>
      <c r="AF916" s="472"/>
      <c r="AG916" s="472"/>
      <c r="AH916" s="472"/>
      <c r="AI916" s="472"/>
      <c r="AJ916" s="472"/>
      <c r="AK916" s="472"/>
      <c r="AL916" s="472"/>
      <c r="AM916" s="472"/>
      <c r="AN916" s="472"/>
      <c r="AO916" s="472"/>
      <c r="AR916" s="427"/>
      <c r="AU916" s="427"/>
      <c r="AV916" s="427"/>
    </row>
    <row r="917" spans="1:48" s="423" customFormat="1" ht="20" customHeight="1" thickBot="1">
      <c r="A917" s="454"/>
      <c r="B917" s="655"/>
      <c r="C917" s="662"/>
      <c r="D917" s="663"/>
      <c r="E917" s="663"/>
      <c r="F917" s="512"/>
      <c r="G917" s="644"/>
      <c r="H917" s="649"/>
      <c r="I917" s="513"/>
      <c r="J917" s="507"/>
      <c r="K917" s="509">
        <f>SUM(K906:K916)</f>
        <v>1677.5</v>
      </c>
      <c r="L917" s="880" t="s">
        <v>45</v>
      </c>
      <c r="M917" s="723">
        <f>SUM(J907:J916)-SUM(I907:I916)</f>
        <v>1677.5</v>
      </c>
      <c r="N917" s="723"/>
      <c r="O917" s="723"/>
      <c r="P917" s="723"/>
      <c r="Q917" s="618"/>
      <c r="R917" s="618"/>
      <c r="S917" s="618"/>
      <c r="T917" s="618"/>
      <c r="U917" s="618"/>
      <c r="V917" s="641">
        <f>8/25</f>
        <v>0.32</v>
      </c>
      <c r="W917" s="641"/>
      <c r="X917" s="641"/>
      <c r="Y917" s="618"/>
      <c r="Z917" s="618"/>
      <c r="AA917" s="618"/>
      <c r="AB917" s="618"/>
      <c r="AC917" s="618"/>
      <c r="AD917" s="618"/>
      <c r="AE917" s="618"/>
      <c r="AF917" s="472"/>
      <c r="AG917" s="472"/>
      <c r="AH917" s="472"/>
      <c r="AI917" s="472"/>
      <c r="AJ917" s="472"/>
      <c r="AK917" s="472"/>
      <c r="AL917" s="472"/>
      <c r="AM917" s="472"/>
      <c r="AN917" s="472"/>
      <c r="AO917" s="472"/>
      <c r="AR917" s="427"/>
      <c r="AU917" s="427"/>
      <c r="AV917" s="427"/>
    </row>
    <row r="918" spans="1:48" s="390" customFormat="1" ht="19.5" customHeight="1" thickBot="1">
      <c r="A918" s="454"/>
      <c r="B918" s="655"/>
      <c r="C918" s="662"/>
      <c r="D918" s="663"/>
      <c r="E918" s="663"/>
      <c r="F918" s="512"/>
      <c r="G918" s="644"/>
      <c r="H918" s="649"/>
      <c r="I918" s="501"/>
      <c r="J918" s="455"/>
      <c r="K918" s="502">
        <f>K917/100</f>
        <v>16.774999999999999</v>
      </c>
      <c r="L918" s="503" t="s">
        <v>315</v>
      </c>
      <c r="M918" s="723"/>
      <c r="N918" s="723"/>
      <c r="O918" s="723"/>
      <c r="P918" s="723"/>
      <c r="Q918" s="618"/>
      <c r="R918" s="618"/>
      <c r="S918" s="618"/>
      <c r="T918" s="618"/>
      <c r="U918" s="618"/>
      <c r="V918" s="670">
        <f>6.5/25</f>
        <v>0.26</v>
      </c>
      <c r="W918" s="641"/>
      <c r="X918" s="641"/>
      <c r="Y918" s="618"/>
      <c r="Z918" s="618"/>
      <c r="AA918" s="618"/>
      <c r="AB918" s="618"/>
      <c r="AC918" s="618"/>
      <c r="AD918" s="618"/>
      <c r="AE918" s="618"/>
      <c r="AF918" s="472"/>
      <c r="AG918" s="472"/>
      <c r="AH918" s="472"/>
      <c r="AI918" s="472"/>
      <c r="AJ918" s="472"/>
      <c r="AK918" s="472"/>
      <c r="AL918" s="472"/>
      <c r="AM918" s="472"/>
      <c r="AN918" s="471"/>
      <c r="AO918" s="471"/>
      <c r="AR918" s="404"/>
      <c r="AU918" s="404"/>
      <c r="AV918" s="404"/>
    </row>
    <row r="919" spans="1:48" s="390" customFormat="1" ht="22.25" customHeight="1" thickTop="1">
      <c r="A919" s="454"/>
      <c r="B919" s="655"/>
      <c r="C919" s="662"/>
      <c r="D919" s="662"/>
      <c r="E919" s="662"/>
      <c r="F919" s="504"/>
      <c r="G919" s="643"/>
      <c r="H919" s="648"/>
      <c r="I919" s="501"/>
      <c r="J919" s="421"/>
      <c r="K919" s="455"/>
      <c r="L919" s="457"/>
      <c r="M919" s="725"/>
      <c r="N919" s="725"/>
      <c r="O919" s="725"/>
      <c r="P919" s="725"/>
      <c r="Q919" s="618"/>
      <c r="R919" s="618"/>
      <c r="S919" s="618"/>
      <c r="T919" s="618"/>
      <c r="U919" s="618">
        <f>5/16</f>
        <v>0.3125</v>
      </c>
      <c r="V919" s="670">
        <f>6/25</f>
        <v>0.24</v>
      </c>
      <c r="W919" s="641"/>
      <c r="X919" s="641"/>
      <c r="Y919" s="618"/>
      <c r="Z919" s="618"/>
      <c r="AA919" s="618"/>
      <c r="AB919" s="618"/>
      <c r="AC919" s="618"/>
      <c r="AD919" s="618"/>
      <c r="AE919" s="618"/>
      <c r="AF919" s="471" t="e">
        <f>1/AF190</f>
        <v>#DIV/0!</v>
      </c>
      <c r="AG919" s="471" t="e">
        <f>#REF!*2.8</f>
        <v>#REF!</v>
      </c>
      <c r="AH919" s="471"/>
      <c r="AI919" s="471"/>
      <c r="AJ919" s="471"/>
      <c r="AK919" s="471"/>
      <c r="AL919" s="471"/>
      <c r="AM919" s="471"/>
      <c r="AN919" s="471"/>
      <c r="AO919" s="471"/>
      <c r="AR919" s="404"/>
      <c r="AU919" s="404"/>
      <c r="AV919" s="404"/>
    </row>
    <row r="920" spans="1:48" s="390" customFormat="1" ht="22.25" customHeight="1">
      <c r="A920" s="454">
        <v>13</v>
      </c>
      <c r="B920" s="649" t="s">
        <v>357</v>
      </c>
      <c r="C920" s="662"/>
      <c r="D920" s="662"/>
      <c r="E920" s="662"/>
      <c r="F920" s="504"/>
      <c r="G920" s="643"/>
      <c r="H920" s="648"/>
      <c r="I920" s="501"/>
      <c r="J920" s="507"/>
      <c r="K920" s="421"/>
      <c r="L920" s="432"/>
      <c r="M920" s="725"/>
      <c r="N920" s="725"/>
      <c r="O920" s="725"/>
      <c r="P920" s="725"/>
      <c r="Q920" s="618"/>
      <c r="R920" s="618"/>
      <c r="S920" s="618"/>
      <c r="T920" s="618"/>
      <c r="U920" s="618">
        <f>1/4</f>
        <v>0.25</v>
      </c>
      <c r="V920" s="624"/>
      <c r="W920" s="624">
        <f t="shared" ref="W920:AE920" si="192">IF($R922=W$5,$V920,0)</f>
        <v>0</v>
      </c>
      <c r="X920" s="624">
        <f t="shared" si="192"/>
        <v>0</v>
      </c>
      <c r="Y920" s="624">
        <f t="shared" si="192"/>
        <v>0</v>
      </c>
      <c r="Z920" s="624">
        <f t="shared" si="192"/>
        <v>0</v>
      </c>
      <c r="AA920" s="624">
        <f t="shared" si="192"/>
        <v>0</v>
      </c>
      <c r="AB920" s="624">
        <f t="shared" si="192"/>
        <v>0</v>
      </c>
      <c r="AC920" s="624">
        <f t="shared" si="192"/>
        <v>0</v>
      </c>
      <c r="AD920" s="624">
        <f t="shared" si="192"/>
        <v>0</v>
      </c>
      <c r="AE920" s="624">
        <f t="shared" si="192"/>
        <v>0</v>
      </c>
      <c r="AF920" s="471"/>
      <c r="AG920" s="473" t="e">
        <f>#REF!*#REF!*#REF!</f>
        <v>#REF!</v>
      </c>
      <c r="AH920" s="471"/>
      <c r="AI920" s="471"/>
      <c r="AJ920" s="471">
        <f>11.75+16.25</f>
        <v>28</v>
      </c>
      <c r="AM920" s="404"/>
      <c r="AP920" s="404"/>
      <c r="AQ920" s="404"/>
    </row>
    <row r="921" spans="1:48" s="390" customFormat="1" ht="20.75" customHeight="1">
      <c r="A921" s="454"/>
      <c r="B921" s="659" t="s">
        <v>556</v>
      </c>
      <c r="C921" s="662"/>
      <c r="D921" s="662"/>
      <c r="E921" s="662"/>
      <c r="F921" s="498"/>
      <c r="G921" s="642"/>
      <c r="H921" s="642"/>
      <c r="I921" s="499"/>
      <c r="J921" s="507"/>
      <c r="K921" s="507"/>
      <c r="L921" s="432"/>
      <c r="M921" s="725"/>
      <c r="N921" s="725"/>
      <c r="O921" s="725"/>
      <c r="P921" s="725"/>
      <c r="Q921" s="618"/>
      <c r="R921" s="618"/>
      <c r="S921" s="618"/>
      <c r="T921" s="618"/>
      <c r="U921" s="618"/>
      <c r="V921" s="624"/>
      <c r="W921" s="624">
        <f t="shared" ref="W921:AE921" si="193">IF($R923=W$5,$V921,0)</f>
        <v>0</v>
      </c>
      <c r="X921" s="624">
        <f t="shared" si="193"/>
        <v>0</v>
      </c>
      <c r="Y921" s="624">
        <f t="shared" si="193"/>
        <v>0</v>
      </c>
      <c r="Z921" s="624">
        <f t="shared" si="193"/>
        <v>0</v>
      </c>
      <c r="AA921" s="624">
        <f t="shared" si="193"/>
        <v>0</v>
      </c>
      <c r="AB921" s="624">
        <f t="shared" si="193"/>
        <v>0</v>
      </c>
      <c r="AC921" s="624">
        <f t="shared" si="193"/>
        <v>0</v>
      </c>
      <c r="AD921" s="624">
        <f t="shared" si="193"/>
        <v>0</v>
      </c>
      <c r="AE921" s="624">
        <f t="shared" si="193"/>
        <v>0</v>
      </c>
      <c r="AF921" s="471"/>
      <c r="AG921" s="473"/>
      <c r="AH921" s="471"/>
      <c r="AI921" s="471"/>
      <c r="AJ921" s="471"/>
      <c r="AM921" s="404"/>
      <c r="AP921" s="404"/>
      <c r="AQ921" s="404"/>
    </row>
    <row r="922" spans="1:48" s="390" customFormat="1" ht="22.25" customHeight="1">
      <c r="A922" s="454"/>
      <c r="B922" s="657" t="str">
        <f t="shared" ref="B922:B936" si="194">B54</f>
        <v>Line A</v>
      </c>
      <c r="C922" s="662"/>
      <c r="D922" s="662"/>
      <c r="E922" s="662">
        <f t="shared" ref="E922:F936" si="195">E54</f>
        <v>1</v>
      </c>
      <c r="F922" s="498">
        <f t="shared" si="195"/>
        <v>32.51</v>
      </c>
      <c r="G922" s="642">
        <f>13.5/12</f>
        <v>1.125</v>
      </c>
      <c r="H922" s="642">
        <v>0.25</v>
      </c>
      <c r="I922" s="499"/>
      <c r="J922" s="507">
        <f>IF(I922=0,1,I922)*IF(H922=0,1,H922)*IF(G922=0,1,G922)*IF(F922=0,1,F922)*IF(E922=0,1,E922)*IF(D922=0,1,D922)*IF(C922=0,1,C922)</f>
        <v>9.1434374999999992</v>
      </c>
      <c r="K922" s="455"/>
      <c r="L922" s="312"/>
      <c r="M922" s="722"/>
      <c r="N922" s="722"/>
      <c r="O922" s="722"/>
      <c r="P922" s="722"/>
      <c r="Q922" s="611"/>
      <c r="R922" s="611"/>
      <c r="S922" s="611"/>
      <c r="T922" s="611"/>
      <c r="U922" s="611"/>
      <c r="V922" s="624"/>
      <c r="W922" s="624"/>
      <c r="X922" s="624"/>
      <c r="Y922" s="624"/>
      <c r="Z922" s="624"/>
      <c r="AA922" s="624"/>
      <c r="AB922" s="624"/>
      <c r="AC922" s="624"/>
      <c r="AD922" s="624"/>
      <c r="AE922" s="624"/>
      <c r="AF922" s="471">
        <f>14*0.75*1*2</f>
        <v>21</v>
      </c>
      <c r="AG922" s="473"/>
      <c r="AH922" s="471"/>
      <c r="AI922" s="471"/>
      <c r="AJ922" s="471"/>
      <c r="AM922" s="404"/>
      <c r="AP922" s="404"/>
      <c r="AQ922" s="404"/>
    </row>
    <row r="923" spans="1:48" s="390" customFormat="1" ht="22.25" customHeight="1">
      <c r="A923" s="454"/>
      <c r="B923" s="657" t="str">
        <f t="shared" si="194"/>
        <v>Line A'</v>
      </c>
      <c r="C923" s="662"/>
      <c r="D923" s="662"/>
      <c r="E923" s="662">
        <f t="shared" si="195"/>
        <v>1</v>
      </c>
      <c r="F923" s="498">
        <f t="shared" si="195"/>
        <v>4.17</v>
      </c>
      <c r="G923" s="642">
        <f>G922</f>
        <v>1.125</v>
      </c>
      <c r="H923" s="642">
        <f>H922</f>
        <v>0.25</v>
      </c>
      <c r="I923" s="499"/>
      <c r="J923" s="507">
        <f>IF(I923=0,1,I923)*IF(H923=0,1,H923)*IF(G923=0,1,G923)*IF(F923=0,1,F923)*IF(E923=0,1,E923)*IF(D923=0,1,D923)*IF(C923=0,1,C923)</f>
        <v>1.1728125</v>
      </c>
      <c r="K923" s="455"/>
      <c r="L923" s="312"/>
      <c r="M923" s="722"/>
      <c r="N923" s="722"/>
      <c r="O923" s="722"/>
      <c r="P923" s="722"/>
      <c r="Q923" s="611"/>
      <c r="R923" s="611"/>
      <c r="S923" s="624"/>
      <c r="T923" s="625"/>
      <c r="U923" s="626"/>
      <c r="V923" s="624"/>
      <c r="W923" s="624"/>
      <c r="X923" s="624"/>
      <c r="Y923" s="624"/>
      <c r="Z923" s="624"/>
      <c r="AA923" s="624"/>
      <c r="AB923" s="624"/>
      <c r="AC923" s="624"/>
      <c r="AD923" s="624"/>
      <c r="AE923" s="624"/>
      <c r="AF923" s="471"/>
      <c r="AG923" s="473"/>
      <c r="AH923" s="471"/>
      <c r="AI923" s="471"/>
      <c r="AJ923" s="471"/>
      <c r="AM923" s="404"/>
      <c r="AP923" s="404"/>
      <c r="AQ923" s="404"/>
    </row>
    <row r="924" spans="1:48" s="390" customFormat="1" ht="22.25" customHeight="1">
      <c r="A924" s="454"/>
      <c r="B924" s="657" t="str">
        <f t="shared" si="194"/>
        <v>Line B</v>
      </c>
      <c r="C924" s="662"/>
      <c r="D924" s="662"/>
      <c r="E924" s="662">
        <f t="shared" si="195"/>
        <v>1</v>
      </c>
      <c r="F924" s="498">
        <f t="shared" si="195"/>
        <v>36.68</v>
      </c>
      <c r="G924" s="642">
        <f t="shared" ref="G924:H932" si="196">G923</f>
        <v>1.125</v>
      </c>
      <c r="H924" s="642">
        <f>H923</f>
        <v>0.25</v>
      </c>
      <c r="I924" s="499"/>
      <c r="J924" s="507">
        <f t="shared" ref="J924:J932" si="197">IF(I924=0,1,I924)*IF(H924=0,1,H924)*IF(G924=0,1,G924)*IF(F924=0,1,F924)*IF(E924=0,1,E924)*IF(D924=0,1,D924)*IF(C924=0,1,C924)</f>
        <v>10.31625</v>
      </c>
      <c r="K924" s="455"/>
      <c r="L924" s="312"/>
      <c r="M924" s="722"/>
      <c r="N924" s="722"/>
      <c r="O924" s="722"/>
      <c r="P924" s="722"/>
      <c r="Q924" s="611"/>
      <c r="R924" s="611"/>
      <c r="S924" s="624"/>
      <c r="T924" s="625"/>
      <c r="U924" s="626"/>
      <c r="V924" s="624"/>
      <c r="W924" s="624">
        <f t="shared" ref="W924:AE924" si="198">IF($R926=W$5,$V924,0)</f>
        <v>0</v>
      </c>
      <c r="X924" s="624">
        <f t="shared" si="198"/>
        <v>0</v>
      </c>
      <c r="Y924" s="624">
        <f t="shared" si="198"/>
        <v>0</v>
      </c>
      <c r="Z924" s="624">
        <f t="shared" si="198"/>
        <v>0</v>
      </c>
      <c r="AA924" s="624">
        <f t="shared" si="198"/>
        <v>0</v>
      </c>
      <c r="AB924" s="624">
        <f t="shared" si="198"/>
        <v>0</v>
      </c>
      <c r="AC924" s="624">
        <f t="shared" si="198"/>
        <v>0</v>
      </c>
      <c r="AD924" s="624">
        <f t="shared" si="198"/>
        <v>0</v>
      </c>
      <c r="AE924" s="624">
        <f t="shared" si="198"/>
        <v>0</v>
      </c>
      <c r="AF924" s="471"/>
      <c r="AG924" s="473"/>
      <c r="AH924" s="471"/>
      <c r="AI924" s="471"/>
      <c r="AJ924" s="471"/>
      <c r="AM924" s="404"/>
      <c r="AP924" s="404"/>
      <c r="AQ924" s="404"/>
    </row>
    <row r="925" spans="1:48" s="390" customFormat="1" ht="22.25" customHeight="1">
      <c r="A925" s="454"/>
      <c r="B925" s="657" t="str">
        <f t="shared" si="194"/>
        <v>Line B',C'</v>
      </c>
      <c r="C925" s="662"/>
      <c r="D925" s="662"/>
      <c r="E925" s="662">
        <f t="shared" si="195"/>
        <v>2</v>
      </c>
      <c r="F925" s="498">
        <f t="shared" si="195"/>
        <v>12.83</v>
      </c>
      <c r="G925" s="642">
        <f t="shared" si="196"/>
        <v>1.125</v>
      </c>
      <c r="H925" s="642">
        <f t="shared" si="196"/>
        <v>0.25</v>
      </c>
      <c r="I925" s="499"/>
      <c r="J925" s="507">
        <f t="shared" si="197"/>
        <v>7.2168749999999999</v>
      </c>
      <c r="K925" s="455"/>
      <c r="L925" s="312"/>
      <c r="M925" s="722"/>
      <c r="N925" s="722"/>
      <c r="O925" s="722"/>
      <c r="P925" s="722"/>
      <c r="Q925" s="611"/>
      <c r="R925" s="611"/>
      <c r="S925" s="624"/>
      <c r="T925" s="625"/>
      <c r="U925" s="626"/>
      <c r="V925" s="624"/>
      <c r="W925" s="624"/>
      <c r="X925" s="624"/>
      <c r="Y925" s="624"/>
      <c r="Z925" s="624"/>
      <c r="AA925" s="624"/>
      <c r="AB925" s="624"/>
      <c r="AC925" s="624"/>
      <c r="AD925" s="624"/>
      <c r="AE925" s="624"/>
      <c r="AF925" s="471"/>
      <c r="AG925" s="473"/>
      <c r="AH925" s="471"/>
      <c r="AI925" s="471"/>
      <c r="AJ925" s="471"/>
      <c r="AM925" s="404"/>
      <c r="AP925" s="404"/>
      <c r="AQ925" s="404"/>
    </row>
    <row r="926" spans="1:48" s="390" customFormat="1" ht="22.25" customHeight="1">
      <c r="A926" s="454"/>
      <c r="B926" s="657" t="str">
        <f t="shared" si="194"/>
        <v>Line C</v>
      </c>
      <c r="C926" s="662"/>
      <c r="D926" s="662"/>
      <c r="E926" s="662">
        <f t="shared" si="195"/>
        <v>1</v>
      </c>
      <c r="F926" s="498">
        <f t="shared" si="195"/>
        <v>32.255000000000003</v>
      </c>
      <c r="G926" s="642">
        <f t="shared" si="196"/>
        <v>1.125</v>
      </c>
      <c r="H926" s="642">
        <f t="shared" si="196"/>
        <v>0.25</v>
      </c>
      <c r="I926" s="499"/>
      <c r="J926" s="507">
        <f t="shared" si="197"/>
        <v>9.0717187500000005</v>
      </c>
      <c r="K926" s="455"/>
      <c r="L926" s="312"/>
      <c r="M926" s="722"/>
      <c r="N926" s="722"/>
      <c r="O926" s="722"/>
      <c r="P926" s="722"/>
      <c r="Q926" s="611"/>
      <c r="R926" s="611"/>
      <c r="S926" s="624"/>
      <c r="T926" s="625"/>
      <c r="U926" s="626"/>
      <c r="V926" s="624"/>
      <c r="W926" s="624"/>
      <c r="X926" s="624"/>
      <c r="Y926" s="624"/>
      <c r="Z926" s="624"/>
      <c r="AA926" s="624"/>
      <c r="AB926" s="624"/>
      <c r="AC926" s="624"/>
      <c r="AD926" s="624"/>
      <c r="AE926" s="624"/>
      <c r="AF926" s="471"/>
      <c r="AG926" s="473"/>
      <c r="AH926" s="471"/>
      <c r="AI926" s="471"/>
      <c r="AJ926" s="471"/>
      <c r="AM926" s="404"/>
      <c r="AP926" s="404"/>
      <c r="AQ926" s="404"/>
    </row>
    <row r="927" spans="1:48" s="390" customFormat="1" ht="22.25" customHeight="1">
      <c r="A927" s="454"/>
      <c r="B927" s="657" t="str">
        <f t="shared" si="194"/>
        <v>Line D</v>
      </c>
      <c r="C927" s="662"/>
      <c r="D927" s="662"/>
      <c r="E927" s="662">
        <f t="shared" si="195"/>
        <v>1</v>
      </c>
      <c r="F927" s="498">
        <f t="shared" si="195"/>
        <v>32.085000000000001</v>
      </c>
      <c r="G927" s="642">
        <f t="shared" si="196"/>
        <v>1.125</v>
      </c>
      <c r="H927" s="642">
        <f t="shared" si="196"/>
        <v>0.25</v>
      </c>
      <c r="I927" s="499"/>
      <c r="J927" s="507">
        <f t="shared" si="197"/>
        <v>9.0239062499999996</v>
      </c>
      <c r="K927" s="455"/>
      <c r="L927" s="312"/>
      <c r="M927" s="722"/>
      <c r="N927" s="722"/>
      <c r="O927" s="722"/>
      <c r="P927" s="722"/>
      <c r="Q927" s="611"/>
      <c r="R927" s="611"/>
      <c r="S927" s="624"/>
      <c r="T927" s="625"/>
      <c r="U927" s="626"/>
      <c r="V927" s="624"/>
      <c r="W927" s="624"/>
      <c r="X927" s="624"/>
      <c r="Y927" s="624"/>
      <c r="Z927" s="624"/>
      <c r="AA927" s="624"/>
      <c r="AB927" s="624"/>
      <c r="AC927" s="624"/>
      <c r="AD927" s="624"/>
      <c r="AE927" s="624"/>
      <c r="AF927" s="471"/>
      <c r="AG927" s="473"/>
      <c r="AH927" s="471"/>
      <c r="AI927" s="471"/>
      <c r="AJ927" s="471"/>
      <c r="AM927" s="404"/>
      <c r="AP927" s="404"/>
      <c r="AQ927" s="404"/>
    </row>
    <row r="928" spans="1:48" s="390" customFormat="1" ht="22.25" customHeight="1">
      <c r="A928" s="454"/>
      <c r="B928" s="657" t="str">
        <f t="shared" si="194"/>
        <v>Line D'</v>
      </c>
      <c r="C928" s="662"/>
      <c r="D928" s="662"/>
      <c r="E928" s="662">
        <f t="shared" si="195"/>
        <v>1</v>
      </c>
      <c r="F928" s="498">
        <f t="shared" si="195"/>
        <v>8.67</v>
      </c>
      <c r="G928" s="642">
        <f t="shared" si="196"/>
        <v>1.125</v>
      </c>
      <c r="H928" s="642">
        <f t="shared" si="196"/>
        <v>0.25</v>
      </c>
      <c r="I928" s="499"/>
      <c r="J928" s="507">
        <f t="shared" si="197"/>
        <v>2.4384375</v>
      </c>
      <c r="K928" s="455"/>
      <c r="L928" s="312"/>
      <c r="M928" s="722"/>
      <c r="N928" s="722"/>
      <c r="O928" s="722"/>
      <c r="P928" s="722"/>
      <c r="Q928" s="611"/>
      <c r="R928" s="611"/>
      <c r="S928" s="624"/>
      <c r="T928" s="625"/>
      <c r="U928" s="626"/>
      <c r="V928" s="624"/>
      <c r="W928" s="624"/>
      <c r="X928" s="624"/>
      <c r="Y928" s="624"/>
      <c r="Z928" s="624"/>
      <c r="AA928" s="624"/>
      <c r="AB928" s="624"/>
      <c r="AC928" s="624"/>
      <c r="AD928" s="624"/>
      <c r="AE928" s="624"/>
      <c r="AF928" s="471"/>
      <c r="AG928" s="473"/>
      <c r="AH928" s="471"/>
      <c r="AI928" s="471"/>
      <c r="AJ928" s="471"/>
      <c r="AM928" s="404"/>
      <c r="AP928" s="404"/>
      <c r="AQ928" s="404"/>
    </row>
    <row r="929" spans="1:43" s="390" customFormat="1" ht="22.25" customHeight="1">
      <c r="A929" s="454"/>
      <c r="B929" s="657" t="str">
        <f t="shared" si="194"/>
        <v>Line 1</v>
      </c>
      <c r="C929" s="662"/>
      <c r="D929" s="662"/>
      <c r="E929" s="662">
        <f t="shared" si="195"/>
        <v>1</v>
      </c>
      <c r="F929" s="498">
        <f t="shared" si="195"/>
        <v>42.255000000000003</v>
      </c>
      <c r="G929" s="642">
        <f t="shared" si="196"/>
        <v>1.125</v>
      </c>
      <c r="H929" s="642">
        <f t="shared" si="196"/>
        <v>0.25</v>
      </c>
      <c r="I929" s="499"/>
      <c r="J929" s="507">
        <f t="shared" si="197"/>
        <v>11.88421875</v>
      </c>
      <c r="K929" s="455"/>
      <c r="L929" s="312"/>
      <c r="M929" s="722"/>
      <c r="N929" s="722"/>
      <c r="O929" s="722"/>
      <c r="P929" s="722"/>
      <c r="Q929" s="611"/>
      <c r="R929" s="611"/>
      <c r="S929" s="624"/>
      <c r="T929" s="625"/>
      <c r="U929" s="626"/>
      <c r="V929" s="624"/>
      <c r="W929" s="624"/>
      <c r="X929" s="624"/>
      <c r="Y929" s="624"/>
      <c r="Z929" s="624"/>
      <c r="AA929" s="624"/>
      <c r="AB929" s="624"/>
      <c r="AC929" s="624"/>
      <c r="AD929" s="624"/>
      <c r="AE929" s="624"/>
      <c r="AF929" s="471"/>
      <c r="AG929" s="473"/>
      <c r="AH929" s="471"/>
      <c r="AI929" s="471"/>
      <c r="AJ929" s="471"/>
      <c r="AM929" s="404"/>
      <c r="AP929" s="404"/>
      <c r="AQ929" s="404"/>
    </row>
    <row r="930" spans="1:43" s="390" customFormat="1" ht="22.25" customHeight="1">
      <c r="A930" s="454"/>
      <c r="B930" s="657" t="str">
        <f t="shared" si="194"/>
        <v>Line 1'</v>
      </c>
      <c r="C930" s="662"/>
      <c r="D930" s="662"/>
      <c r="E930" s="662">
        <f t="shared" si="195"/>
        <v>2</v>
      </c>
      <c r="F930" s="498">
        <f t="shared" si="195"/>
        <v>6.16</v>
      </c>
      <c r="G930" s="642">
        <f t="shared" si="196"/>
        <v>1.125</v>
      </c>
      <c r="H930" s="642">
        <f t="shared" si="196"/>
        <v>0.25</v>
      </c>
      <c r="I930" s="499"/>
      <c r="J930" s="507">
        <f>IF(I930=0,1,I930)*IF(H930=0,1,H930)*IF(G930=0,1,G930)*IF(F930=0,1,F930)*IF(E930=0,1,E930)*IF(D930=0,1,D930)*IF(C930=0,1,C930)</f>
        <v>3.4649999999999999</v>
      </c>
      <c r="K930" s="455"/>
      <c r="L930" s="312"/>
      <c r="M930" s="722"/>
      <c r="N930" s="722"/>
      <c r="O930" s="722"/>
      <c r="P930" s="722"/>
      <c r="Q930" s="611"/>
      <c r="R930" s="611"/>
      <c r="S930" s="624"/>
      <c r="T930" s="625"/>
      <c r="U930" s="626"/>
      <c r="V930" s="624"/>
      <c r="W930" s="624"/>
      <c r="X930" s="624"/>
      <c r="Y930" s="624"/>
      <c r="Z930" s="624"/>
      <c r="AA930" s="624"/>
      <c r="AB930" s="624"/>
      <c r="AC930" s="624"/>
      <c r="AD930" s="624"/>
      <c r="AE930" s="624"/>
      <c r="AF930" s="471"/>
      <c r="AG930" s="473"/>
      <c r="AH930" s="471"/>
      <c r="AI930" s="471"/>
      <c r="AJ930" s="471"/>
      <c r="AM930" s="404"/>
      <c r="AP930" s="404"/>
      <c r="AQ930" s="404"/>
    </row>
    <row r="931" spans="1:43" s="390" customFormat="1" ht="22.25" customHeight="1">
      <c r="A931" s="454"/>
      <c r="B931" s="657" t="str">
        <f t="shared" si="194"/>
        <v>Line 1"</v>
      </c>
      <c r="C931" s="662"/>
      <c r="D931" s="662"/>
      <c r="E931" s="662">
        <f t="shared" si="195"/>
        <v>1</v>
      </c>
      <c r="F931" s="498">
        <f t="shared" si="195"/>
        <v>3.75</v>
      </c>
      <c r="G931" s="642">
        <f>G930</f>
        <v>1.125</v>
      </c>
      <c r="H931" s="642">
        <f>H930</f>
        <v>0.25</v>
      </c>
      <c r="I931" s="499"/>
      <c r="J931" s="507">
        <f t="shared" si="197"/>
        <v>1.0546875</v>
      </c>
      <c r="K931" s="455"/>
      <c r="L931" s="312"/>
      <c r="M931" s="722"/>
      <c r="N931" s="722"/>
      <c r="O931" s="722"/>
      <c r="P931" s="722"/>
      <c r="Q931" s="611"/>
      <c r="R931" s="611"/>
      <c r="S931" s="624"/>
      <c r="T931" s="625"/>
      <c r="U931" s="626"/>
      <c r="V931" s="624"/>
      <c r="W931" s="624"/>
      <c r="X931" s="624"/>
      <c r="Y931" s="624"/>
      <c r="Z931" s="624"/>
      <c r="AA931" s="624"/>
      <c r="AB931" s="624"/>
      <c r="AC931" s="624"/>
      <c r="AD931" s="624"/>
      <c r="AE931" s="624"/>
      <c r="AF931" s="471"/>
      <c r="AG931" s="473"/>
      <c r="AH931" s="471"/>
      <c r="AI931" s="471"/>
      <c r="AJ931" s="471"/>
      <c r="AM931" s="404"/>
      <c r="AP931" s="404"/>
      <c r="AQ931" s="404"/>
    </row>
    <row r="932" spans="1:43" s="390" customFormat="1" ht="22.25" customHeight="1">
      <c r="A932" s="454"/>
      <c r="B932" s="657" t="str">
        <f t="shared" si="194"/>
        <v>Line 2</v>
      </c>
      <c r="C932" s="662"/>
      <c r="D932" s="662"/>
      <c r="E932" s="662">
        <f t="shared" si="195"/>
        <v>1</v>
      </c>
      <c r="F932" s="498">
        <f t="shared" si="195"/>
        <v>46.424999999999997</v>
      </c>
      <c r="G932" s="642">
        <f t="shared" si="196"/>
        <v>1.125</v>
      </c>
      <c r="H932" s="642">
        <f t="shared" si="196"/>
        <v>0.25</v>
      </c>
      <c r="I932" s="499"/>
      <c r="J932" s="507">
        <f t="shared" si="197"/>
        <v>13.05703125</v>
      </c>
      <c r="K932" s="455"/>
      <c r="L932" s="312"/>
      <c r="M932" s="722"/>
      <c r="N932" s="722"/>
      <c r="O932" s="722"/>
      <c r="P932" s="722"/>
      <c r="Q932" s="611"/>
      <c r="R932" s="611"/>
      <c r="S932" s="624"/>
      <c r="T932" s="625"/>
      <c r="U932" s="626"/>
      <c r="V932" s="624"/>
      <c r="W932" s="624">
        <f t="shared" ref="W932:AE932" si="199">IF($R938=W$5,$V932,0)</f>
        <v>0</v>
      </c>
      <c r="X932" s="624">
        <f t="shared" si="199"/>
        <v>0</v>
      </c>
      <c r="Y932" s="624">
        <f t="shared" si="199"/>
        <v>0</v>
      </c>
      <c r="Z932" s="624">
        <f t="shared" si="199"/>
        <v>0</v>
      </c>
      <c r="AA932" s="624">
        <f t="shared" si="199"/>
        <v>0</v>
      </c>
      <c r="AB932" s="624">
        <f t="shared" si="199"/>
        <v>0</v>
      </c>
      <c r="AC932" s="624">
        <f t="shared" si="199"/>
        <v>0</v>
      </c>
      <c r="AD932" s="624">
        <f t="shared" si="199"/>
        <v>0</v>
      </c>
      <c r="AE932" s="624">
        <f t="shared" si="199"/>
        <v>0</v>
      </c>
      <c r="AF932" s="471"/>
      <c r="AG932" s="473"/>
      <c r="AH932" s="471"/>
      <c r="AI932" s="471"/>
      <c r="AJ932" s="471"/>
      <c r="AM932" s="404"/>
      <c r="AP932" s="404"/>
      <c r="AQ932" s="404"/>
    </row>
    <row r="933" spans="1:43" s="390" customFormat="1" ht="22.25" customHeight="1">
      <c r="A933" s="454"/>
      <c r="B933" s="657" t="str">
        <f t="shared" si="194"/>
        <v>Line 2'</v>
      </c>
      <c r="C933" s="662"/>
      <c r="D933" s="662"/>
      <c r="E933" s="662">
        <f t="shared" si="195"/>
        <v>1</v>
      </c>
      <c r="F933" s="498">
        <f t="shared" si="195"/>
        <v>3.33</v>
      </c>
      <c r="G933" s="642">
        <f t="shared" ref="G933:H936" si="200">G932</f>
        <v>1.125</v>
      </c>
      <c r="H933" s="642">
        <f t="shared" si="200"/>
        <v>0.25</v>
      </c>
      <c r="I933" s="499"/>
      <c r="J933" s="507">
        <f>IF(I933=0,1,I933)*IF(H933=0,1,H933)*IF(G933=0,1,G933)*IF(F933=0,1,F933)*IF(E933=0,1,E933)*IF(D933=0,1,D933)*IF(C933=0,1,C933)</f>
        <v>0.93656249999999996</v>
      </c>
      <c r="K933" s="455"/>
      <c r="L933" s="312"/>
      <c r="M933" s="722"/>
      <c r="N933" s="722"/>
      <c r="O933" s="722"/>
      <c r="P933" s="722"/>
      <c r="Q933" s="611"/>
      <c r="R933" s="611"/>
      <c r="S933" s="624"/>
      <c r="T933" s="625"/>
      <c r="U933" s="626"/>
      <c r="V933" s="624"/>
      <c r="W933" s="624">
        <f t="shared" ref="W933:AE933" si="201">IF($R939=W$5,$V933,0)</f>
        <v>0</v>
      </c>
      <c r="X933" s="624">
        <f t="shared" si="201"/>
        <v>0</v>
      </c>
      <c r="Y933" s="624">
        <f t="shared" si="201"/>
        <v>0</v>
      </c>
      <c r="Z933" s="624">
        <f t="shared" si="201"/>
        <v>0</v>
      </c>
      <c r="AA933" s="624">
        <f t="shared" si="201"/>
        <v>0</v>
      </c>
      <c r="AB933" s="624">
        <f t="shared" si="201"/>
        <v>0</v>
      </c>
      <c r="AC933" s="624">
        <f t="shared" si="201"/>
        <v>0</v>
      </c>
      <c r="AD933" s="624">
        <f t="shared" si="201"/>
        <v>0</v>
      </c>
      <c r="AE933" s="624">
        <f t="shared" si="201"/>
        <v>0</v>
      </c>
      <c r="AF933" s="471"/>
      <c r="AG933" s="473"/>
      <c r="AH933" s="471"/>
      <c r="AI933" s="471"/>
      <c r="AJ933" s="471"/>
      <c r="AM933" s="404"/>
      <c r="AP933" s="404"/>
      <c r="AQ933" s="404"/>
    </row>
    <row r="934" spans="1:43" s="390" customFormat="1" ht="22.25" customHeight="1">
      <c r="A934" s="454"/>
      <c r="B934" s="657" t="str">
        <f t="shared" si="194"/>
        <v>Line 3</v>
      </c>
      <c r="C934" s="662"/>
      <c r="D934" s="662"/>
      <c r="E934" s="662">
        <f t="shared" si="195"/>
        <v>1</v>
      </c>
      <c r="F934" s="498">
        <f t="shared" si="195"/>
        <v>50.68</v>
      </c>
      <c r="G934" s="642">
        <f t="shared" si="200"/>
        <v>1.125</v>
      </c>
      <c r="H934" s="642">
        <f t="shared" si="200"/>
        <v>0.25</v>
      </c>
      <c r="I934" s="499"/>
      <c r="J934" s="507">
        <f>IF(I934=0,1,I934)*IF(H934=0,1,H934)*IF(G934=0,1,G934)*IF(F934=0,1,F934)*IF(E934=0,1,E934)*IF(D934=0,1,D934)*IF(C934=0,1,C934)</f>
        <v>14.25375</v>
      </c>
      <c r="K934" s="455"/>
      <c r="L934" s="312"/>
      <c r="M934" s="722"/>
      <c r="N934" s="722"/>
      <c r="O934" s="722"/>
      <c r="P934" s="722"/>
      <c r="Q934" s="611"/>
      <c r="R934" s="611"/>
      <c r="S934" s="624"/>
      <c r="T934" s="625"/>
      <c r="U934" s="626"/>
      <c r="V934" s="624"/>
      <c r="W934" s="624"/>
      <c r="X934" s="624"/>
      <c r="Y934" s="624"/>
      <c r="Z934" s="624"/>
      <c r="AA934" s="624"/>
      <c r="AB934" s="624"/>
      <c r="AC934" s="624"/>
      <c r="AD934" s="624"/>
      <c r="AE934" s="624"/>
      <c r="AF934" s="471"/>
      <c r="AG934" s="473"/>
      <c r="AH934" s="471"/>
      <c r="AI934" s="471"/>
      <c r="AJ934" s="471"/>
      <c r="AM934" s="404"/>
      <c r="AP934" s="404"/>
      <c r="AQ934" s="404"/>
    </row>
    <row r="935" spans="1:43" s="390" customFormat="1" ht="22.25" customHeight="1">
      <c r="A935" s="454"/>
      <c r="B935" s="657" t="str">
        <f t="shared" si="194"/>
        <v>Line 3'</v>
      </c>
      <c r="C935" s="662"/>
      <c r="D935" s="662"/>
      <c r="E935" s="662">
        <f t="shared" si="195"/>
        <v>1</v>
      </c>
      <c r="F935" s="498">
        <f t="shared" si="195"/>
        <v>13.33</v>
      </c>
      <c r="G935" s="642">
        <f t="shared" si="200"/>
        <v>1.125</v>
      </c>
      <c r="H935" s="642">
        <f t="shared" si="200"/>
        <v>0.25</v>
      </c>
      <c r="I935" s="499"/>
      <c r="J935" s="507">
        <f>IF(I935=0,1,I935)*IF(H935=0,1,H935)*IF(G935=0,1,G935)*IF(F935=0,1,F935)*IF(E935=0,1,E935)*IF(D935=0,1,D935)*IF(C935=0,1,C935)</f>
        <v>3.7490625</v>
      </c>
      <c r="K935" s="455"/>
      <c r="L935" s="312"/>
      <c r="M935" s="722"/>
      <c r="N935" s="722"/>
      <c r="O935" s="722"/>
      <c r="P935" s="722"/>
      <c r="Q935" s="611"/>
      <c r="R935" s="611"/>
      <c r="S935" s="624"/>
      <c r="T935" s="625"/>
      <c r="U935" s="626"/>
      <c r="V935" s="624"/>
      <c r="W935" s="624"/>
      <c r="X935" s="624"/>
      <c r="Y935" s="624"/>
      <c r="Z935" s="624"/>
      <c r="AA935" s="624"/>
      <c r="AB935" s="624"/>
      <c r="AC935" s="624"/>
      <c r="AD935" s="624"/>
      <c r="AE935" s="624"/>
      <c r="AF935" s="471"/>
      <c r="AG935" s="473"/>
      <c r="AH935" s="471"/>
      <c r="AI935" s="471"/>
      <c r="AJ935" s="471"/>
      <c r="AM935" s="404"/>
      <c r="AP935" s="404"/>
      <c r="AQ935" s="404"/>
    </row>
    <row r="936" spans="1:43" s="390" customFormat="1" ht="22.25" customHeight="1">
      <c r="A936" s="454"/>
      <c r="B936" s="657" t="str">
        <f t="shared" si="194"/>
        <v>Line 4</v>
      </c>
      <c r="C936" s="662"/>
      <c r="D936" s="662"/>
      <c r="E936" s="662">
        <f t="shared" si="195"/>
        <v>1</v>
      </c>
      <c r="F936" s="498">
        <f t="shared" si="195"/>
        <v>41.68</v>
      </c>
      <c r="G936" s="642">
        <f t="shared" si="200"/>
        <v>1.125</v>
      </c>
      <c r="H936" s="642">
        <f t="shared" si="200"/>
        <v>0.25</v>
      </c>
      <c r="I936" s="499"/>
      <c r="J936" s="507">
        <f>IF(I936=0,1,I936)*IF(H936=0,1,H936)*IF(G936=0,1,G936)*IF(F936=0,1,F936)*IF(E936=0,1,E936)*IF(D936=0,1,D936)*IF(C936=0,1,C936)</f>
        <v>11.7225</v>
      </c>
      <c r="K936" s="455">
        <f>SUM(J922:J936)</f>
        <v>108.50624999999998</v>
      </c>
      <c r="L936" s="312"/>
      <c r="M936" s="722"/>
      <c r="N936" s="722"/>
      <c r="O936" s="722"/>
      <c r="P936" s="722"/>
      <c r="Q936" s="611"/>
      <c r="R936" s="611"/>
      <c r="S936" s="624"/>
      <c r="T936" s="625"/>
      <c r="U936" s="626"/>
      <c r="V936" s="624"/>
      <c r="W936" s="624"/>
      <c r="X936" s="624"/>
      <c r="Y936" s="624"/>
      <c r="Z936" s="624"/>
      <c r="AA936" s="624"/>
      <c r="AB936" s="624"/>
      <c r="AC936" s="624"/>
      <c r="AD936" s="624"/>
      <c r="AE936" s="624"/>
      <c r="AF936" s="471"/>
      <c r="AG936" s="473"/>
      <c r="AH936" s="471"/>
      <c r="AI936" s="471"/>
      <c r="AJ936" s="471"/>
      <c r="AM936" s="404"/>
      <c r="AP936" s="404"/>
      <c r="AQ936" s="404"/>
    </row>
    <row r="937" spans="1:43" s="390" customFormat="1" ht="20.75" customHeight="1">
      <c r="A937" s="454"/>
      <c r="B937" s="659" t="s">
        <v>358</v>
      </c>
      <c r="C937" s="662"/>
      <c r="D937" s="662"/>
      <c r="E937" s="662"/>
      <c r="F937" s="498"/>
      <c r="G937" s="642"/>
      <c r="H937" s="642"/>
      <c r="I937" s="499"/>
      <c r="J937" s="507"/>
      <c r="K937" s="507"/>
      <c r="L937" s="432"/>
      <c r="M937" s="725"/>
      <c r="N937" s="725"/>
      <c r="O937" s="725"/>
      <c r="P937" s="725"/>
      <c r="Q937" s="618"/>
      <c r="R937" s="618"/>
      <c r="S937" s="618"/>
      <c r="T937" s="618"/>
      <c r="U937" s="618"/>
      <c r="V937" s="624"/>
      <c r="W937" s="624">
        <f t="shared" ref="W937:AE937" si="202">IF($R939=W$5,$V937,0)</f>
        <v>0</v>
      </c>
      <c r="X937" s="624">
        <f t="shared" si="202"/>
        <v>0</v>
      </c>
      <c r="Y937" s="624">
        <f t="shared" si="202"/>
        <v>0</v>
      </c>
      <c r="Z937" s="624">
        <f t="shared" si="202"/>
        <v>0</v>
      </c>
      <c r="AA937" s="624">
        <f t="shared" si="202"/>
        <v>0</v>
      </c>
      <c r="AB937" s="624">
        <f t="shared" si="202"/>
        <v>0</v>
      </c>
      <c r="AC937" s="624">
        <f t="shared" si="202"/>
        <v>0</v>
      </c>
      <c r="AD937" s="624">
        <f t="shared" si="202"/>
        <v>0</v>
      </c>
      <c r="AE937" s="624">
        <f t="shared" si="202"/>
        <v>0</v>
      </c>
      <c r="AF937" s="471"/>
      <c r="AG937" s="473"/>
      <c r="AH937" s="471"/>
      <c r="AI937" s="471"/>
      <c r="AJ937" s="471"/>
      <c r="AM937" s="404"/>
      <c r="AP937" s="404"/>
      <c r="AQ937" s="404"/>
    </row>
    <row r="938" spans="1:43" s="390" customFormat="1" ht="22.25" customHeight="1">
      <c r="A938" s="454"/>
      <c r="B938" s="657" t="str">
        <f t="shared" ref="B938:B952" si="203">B922</f>
        <v>Line A</v>
      </c>
      <c r="C938" s="662"/>
      <c r="D938" s="662"/>
      <c r="E938" s="662">
        <f>E922</f>
        <v>1</v>
      </c>
      <c r="F938" s="498">
        <f>F922</f>
        <v>32.51</v>
      </c>
      <c r="G938" s="642">
        <v>0.75</v>
      </c>
      <c r="H938" s="642">
        <f>3+3-0.83-0.5-0.25</f>
        <v>4.42</v>
      </c>
      <c r="I938" s="499"/>
      <c r="J938" s="507">
        <f t="shared" ref="J938:J948" si="204">IF(I938=0,1,I938)*IF(H938=0,1,H938)*IF(G938=0,1,G938)*IF(F938=0,1,F938)*IF(E938=0,1,E938)*IF(D938=0,1,D938)*IF(C938=0,1,C938)</f>
        <v>107.77064999999999</v>
      </c>
      <c r="K938" s="455"/>
      <c r="L938" s="312"/>
      <c r="M938" s="722"/>
      <c r="N938" s="722"/>
      <c r="O938" s="722"/>
      <c r="P938" s="722"/>
      <c r="Q938" s="611"/>
      <c r="R938" s="611"/>
      <c r="S938" s="611"/>
      <c r="T938" s="611"/>
      <c r="U938" s="611"/>
      <c r="V938" s="624"/>
      <c r="W938" s="624"/>
      <c r="X938" s="624"/>
      <c r="Y938" s="624"/>
      <c r="Z938" s="624"/>
      <c r="AA938" s="624"/>
      <c r="AB938" s="624"/>
      <c r="AC938" s="624"/>
      <c r="AD938" s="624"/>
      <c r="AE938" s="624"/>
      <c r="AF938" s="471">
        <f>14*0.75*1*2</f>
        <v>21</v>
      </c>
      <c r="AG938" s="473"/>
      <c r="AH938" s="471"/>
      <c r="AI938" s="471"/>
      <c r="AJ938" s="471"/>
      <c r="AM938" s="404"/>
      <c r="AP938" s="404"/>
      <c r="AQ938" s="404"/>
    </row>
    <row r="939" spans="1:43" s="390" customFormat="1" ht="22.25" customHeight="1">
      <c r="A939" s="454"/>
      <c r="B939" s="657" t="str">
        <f t="shared" si="203"/>
        <v>Line A'</v>
      </c>
      <c r="C939" s="662"/>
      <c r="D939" s="662"/>
      <c r="E939" s="662">
        <f t="shared" ref="E939:E952" si="205">E923</f>
        <v>1</v>
      </c>
      <c r="F939" s="498">
        <f t="shared" ref="F939:F952" si="206">F923</f>
        <v>4.17</v>
      </c>
      <c r="G939" s="642">
        <f>G938</f>
        <v>0.75</v>
      </c>
      <c r="H939" s="642">
        <f>H938</f>
        <v>4.42</v>
      </c>
      <c r="I939" s="499"/>
      <c r="J939" s="507">
        <f t="shared" si="204"/>
        <v>13.823549999999999</v>
      </c>
      <c r="K939" s="455"/>
      <c r="L939" s="312"/>
      <c r="M939" s="722"/>
      <c r="N939" s="722"/>
      <c r="O939" s="722"/>
      <c r="P939" s="722"/>
      <c r="Q939" s="611"/>
      <c r="R939" s="611"/>
      <c r="S939" s="624"/>
      <c r="T939" s="625"/>
      <c r="U939" s="626"/>
      <c r="V939" s="624"/>
      <c r="W939" s="624"/>
      <c r="X939" s="624"/>
      <c r="Y939" s="624"/>
      <c r="Z939" s="624"/>
      <c r="AA939" s="624"/>
      <c r="AB939" s="624"/>
      <c r="AC939" s="624"/>
      <c r="AD939" s="624"/>
      <c r="AE939" s="624"/>
      <c r="AF939" s="471"/>
      <c r="AG939" s="473"/>
      <c r="AH939" s="471"/>
      <c r="AI939" s="471"/>
      <c r="AJ939" s="471"/>
      <c r="AM939" s="404"/>
      <c r="AP939" s="404"/>
      <c r="AQ939" s="404"/>
    </row>
    <row r="940" spans="1:43" s="390" customFormat="1" ht="22.25" customHeight="1">
      <c r="A940" s="454"/>
      <c r="B940" s="657" t="str">
        <f t="shared" si="203"/>
        <v>Line B</v>
      </c>
      <c r="C940" s="662"/>
      <c r="D940" s="662"/>
      <c r="E940" s="662">
        <f t="shared" si="205"/>
        <v>1</v>
      </c>
      <c r="F940" s="498">
        <f t="shared" si="206"/>
        <v>36.68</v>
      </c>
      <c r="G940" s="642">
        <f t="shared" ref="G940:H952" si="207">G939</f>
        <v>0.75</v>
      </c>
      <c r="H940" s="642">
        <f t="shared" si="207"/>
        <v>4.42</v>
      </c>
      <c r="I940" s="499"/>
      <c r="J940" s="507">
        <f t="shared" si="204"/>
        <v>121.5942</v>
      </c>
      <c r="K940" s="455"/>
      <c r="L940" s="312"/>
      <c r="M940" s="722"/>
      <c r="N940" s="722"/>
      <c r="O940" s="722"/>
      <c r="P940" s="722"/>
      <c r="Q940" s="611"/>
      <c r="R940" s="611"/>
      <c r="S940" s="624"/>
      <c r="T940" s="625"/>
      <c r="U940" s="626"/>
      <c r="V940" s="624"/>
      <c r="W940" s="624">
        <f t="shared" ref="W940:AE940" si="208">IF($R942=W$5,$V940,0)</f>
        <v>0</v>
      </c>
      <c r="X940" s="624">
        <f t="shared" si="208"/>
        <v>0</v>
      </c>
      <c r="Y940" s="624">
        <f t="shared" si="208"/>
        <v>0</v>
      </c>
      <c r="Z940" s="624">
        <f t="shared" si="208"/>
        <v>0</v>
      </c>
      <c r="AA940" s="624">
        <f t="shared" si="208"/>
        <v>0</v>
      </c>
      <c r="AB940" s="624">
        <f t="shared" si="208"/>
        <v>0</v>
      </c>
      <c r="AC940" s="624">
        <f t="shared" si="208"/>
        <v>0</v>
      </c>
      <c r="AD940" s="624">
        <f t="shared" si="208"/>
        <v>0</v>
      </c>
      <c r="AE940" s="624">
        <f t="shared" si="208"/>
        <v>0</v>
      </c>
      <c r="AF940" s="471"/>
      <c r="AG940" s="473"/>
      <c r="AH940" s="471"/>
      <c r="AI940" s="471"/>
      <c r="AJ940" s="471"/>
      <c r="AM940" s="404"/>
      <c r="AP940" s="404"/>
      <c r="AQ940" s="404"/>
    </row>
    <row r="941" spans="1:43" s="390" customFormat="1" ht="22.25" customHeight="1">
      <c r="A941" s="454"/>
      <c r="B941" s="657" t="str">
        <f t="shared" si="203"/>
        <v>Line B',C'</v>
      </c>
      <c r="C941" s="662"/>
      <c r="D941" s="662"/>
      <c r="E941" s="662">
        <f t="shared" si="205"/>
        <v>2</v>
      </c>
      <c r="F941" s="498">
        <f t="shared" si="206"/>
        <v>12.83</v>
      </c>
      <c r="G941" s="642">
        <f t="shared" si="207"/>
        <v>0.75</v>
      </c>
      <c r="H941" s="642">
        <f t="shared" si="207"/>
        <v>4.42</v>
      </c>
      <c r="I941" s="499"/>
      <c r="J941" s="507">
        <f t="shared" si="204"/>
        <v>85.062899999999999</v>
      </c>
      <c r="K941" s="455"/>
      <c r="L941" s="312"/>
      <c r="M941" s="722"/>
      <c r="N941" s="722"/>
      <c r="O941" s="722"/>
      <c r="P941" s="722"/>
      <c r="Q941" s="611"/>
      <c r="R941" s="611"/>
      <c r="S941" s="624"/>
      <c r="T941" s="625"/>
      <c r="U941" s="626"/>
      <c r="V941" s="624"/>
      <c r="W941" s="624"/>
      <c r="X941" s="624"/>
      <c r="Y941" s="624"/>
      <c r="Z941" s="624"/>
      <c r="AA941" s="624"/>
      <c r="AB941" s="624"/>
      <c r="AC941" s="624"/>
      <c r="AD941" s="624"/>
      <c r="AE941" s="624"/>
      <c r="AF941" s="471"/>
      <c r="AG941" s="473"/>
      <c r="AH941" s="471"/>
      <c r="AI941" s="471"/>
      <c r="AJ941" s="471"/>
      <c r="AM941" s="404"/>
      <c r="AP941" s="404"/>
      <c r="AQ941" s="404"/>
    </row>
    <row r="942" spans="1:43" s="390" customFormat="1" ht="22.25" customHeight="1">
      <c r="A942" s="454"/>
      <c r="B942" s="657" t="str">
        <f t="shared" si="203"/>
        <v>Line C</v>
      </c>
      <c r="C942" s="662"/>
      <c r="D942" s="662"/>
      <c r="E942" s="662">
        <f t="shared" si="205"/>
        <v>1</v>
      </c>
      <c r="F942" s="498">
        <f t="shared" si="206"/>
        <v>32.255000000000003</v>
      </c>
      <c r="G942" s="642">
        <f t="shared" si="207"/>
        <v>0.75</v>
      </c>
      <c r="H942" s="642">
        <f t="shared" si="207"/>
        <v>4.42</v>
      </c>
      <c r="I942" s="499"/>
      <c r="J942" s="507">
        <f t="shared" si="204"/>
        <v>106.925325</v>
      </c>
      <c r="K942" s="455"/>
      <c r="L942" s="312"/>
      <c r="M942" s="722"/>
      <c r="N942" s="722"/>
      <c r="O942" s="722"/>
      <c r="P942" s="722"/>
      <c r="Q942" s="611"/>
      <c r="R942" s="611"/>
      <c r="S942" s="624"/>
      <c r="T942" s="625"/>
      <c r="U942" s="626"/>
      <c r="V942" s="624"/>
      <c r="W942" s="624"/>
      <c r="X942" s="624"/>
      <c r="Y942" s="624"/>
      <c r="Z942" s="624"/>
      <c r="AA942" s="624"/>
      <c r="AB942" s="624"/>
      <c r="AC942" s="624"/>
      <c r="AD942" s="624"/>
      <c r="AE942" s="624"/>
      <c r="AF942" s="471"/>
      <c r="AG942" s="473"/>
      <c r="AH942" s="471"/>
      <c r="AI942" s="471"/>
      <c r="AJ942" s="471"/>
      <c r="AM942" s="404"/>
      <c r="AP942" s="404"/>
      <c r="AQ942" s="404"/>
    </row>
    <row r="943" spans="1:43" s="390" customFormat="1" ht="22.25" customHeight="1">
      <c r="A943" s="454"/>
      <c r="B943" s="657" t="str">
        <f t="shared" si="203"/>
        <v>Line D</v>
      </c>
      <c r="C943" s="662"/>
      <c r="D943" s="662"/>
      <c r="E943" s="662">
        <f t="shared" si="205"/>
        <v>1</v>
      </c>
      <c r="F943" s="498">
        <f t="shared" si="206"/>
        <v>32.085000000000001</v>
      </c>
      <c r="G943" s="642">
        <f t="shared" si="207"/>
        <v>0.75</v>
      </c>
      <c r="H943" s="642">
        <f t="shared" si="207"/>
        <v>4.42</v>
      </c>
      <c r="I943" s="499"/>
      <c r="J943" s="507">
        <f t="shared" si="204"/>
        <v>106.36177499999999</v>
      </c>
      <c r="K943" s="455"/>
      <c r="L943" s="312"/>
      <c r="M943" s="722"/>
      <c r="N943" s="722"/>
      <c r="O943" s="722"/>
      <c r="P943" s="722"/>
      <c r="Q943" s="611"/>
      <c r="R943" s="611"/>
      <c r="S943" s="624"/>
      <c r="T943" s="625"/>
      <c r="U943" s="626"/>
      <c r="V943" s="624"/>
      <c r="W943" s="624"/>
      <c r="X943" s="624"/>
      <c r="Y943" s="624"/>
      <c r="Z943" s="624"/>
      <c r="AA943" s="624"/>
      <c r="AB943" s="624"/>
      <c r="AC943" s="624"/>
      <c r="AD943" s="624"/>
      <c r="AE943" s="624"/>
      <c r="AF943" s="471"/>
      <c r="AG943" s="473"/>
      <c r="AH943" s="471"/>
      <c r="AI943" s="471"/>
      <c r="AJ943" s="471"/>
      <c r="AM943" s="404"/>
      <c r="AP943" s="404"/>
      <c r="AQ943" s="404"/>
    </row>
    <row r="944" spans="1:43" s="390" customFormat="1" ht="22.25" customHeight="1">
      <c r="A944" s="454"/>
      <c r="B944" s="657" t="str">
        <f t="shared" si="203"/>
        <v>Line D'</v>
      </c>
      <c r="C944" s="662"/>
      <c r="D944" s="662"/>
      <c r="E944" s="662">
        <f t="shared" si="205"/>
        <v>1</v>
      </c>
      <c r="F944" s="498">
        <f t="shared" si="206"/>
        <v>8.67</v>
      </c>
      <c r="G944" s="642">
        <f t="shared" si="207"/>
        <v>0.75</v>
      </c>
      <c r="H944" s="642">
        <f t="shared" si="207"/>
        <v>4.42</v>
      </c>
      <c r="I944" s="499"/>
      <c r="J944" s="507">
        <f t="shared" si="204"/>
        <v>28.741049999999998</v>
      </c>
      <c r="K944" s="455"/>
      <c r="L944" s="312"/>
      <c r="M944" s="722"/>
      <c r="N944" s="722"/>
      <c r="O944" s="722"/>
      <c r="P944" s="722"/>
      <c r="Q944" s="611"/>
      <c r="R944" s="611"/>
      <c r="S944" s="624"/>
      <c r="T944" s="625"/>
      <c r="U944" s="626"/>
      <c r="V944" s="624"/>
      <c r="W944" s="624"/>
      <c r="X944" s="624"/>
      <c r="Y944" s="624"/>
      <c r="Z944" s="624"/>
      <c r="AA944" s="624"/>
      <c r="AB944" s="624"/>
      <c r="AC944" s="624"/>
      <c r="AD944" s="624"/>
      <c r="AE944" s="624"/>
      <c r="AF944" s="471"/>
      <c r="AG944" s="473"/>
      <c r="AH944" s="471"/>
      <c r="AI944" s="471"/>
      <c r="AJ944" s="471"/>
      <c r="AM944" s="404"/>
      <c r="AP944" s="404"/>
      <c r="AQ944" s="404"/>
    </row>
    <row r="945" spans="1:43" s="390" customFormat="1" ht="22.25" customHeight="1">
      <c r="A945" s="454"/>
      <c r="B945" s="657" t="str">
        <f t="shared" si="203"/>
        <v>Line 1</v>
      </c>
      <c r="C945" s="662"/>
      <c r="D945" s="662"/>
      <c r="E945" s="662">
        <f t="shared" si="205"/>
        <v>1</v>
      </c>
      <c r="F945" s="498">
        <f t="shared" si="206"/>
        <v>42.255000000000003</v>
      </c>
      <c r="G945" s="642">
        <f t="shared" si="207"/>
        <v>0.75</v>
      </c>
      <c r="H945" s="642">
        <f t="shared" si="207"/>
        <v>4.42</v>
      </c>
      <c r="I945" s="499"/>
      <c r="J945" s="507">
        <f t="shared" si="204"/>
        <v>140.07532499999999</v>
      </c>
      <c r="K945" s="455"/>
      <c r="L945" s="312"/>
      <c r="M945" s="722"/>
      <c r="N945" s="722"/>
      <c r="O945" s="722"/>
      <c r="P945" s="722"/>
      <c r="Q945" s="611"/>
      <c r="R945" s="611"/>
      <c r="S945" s="624"/>
      <c r="T945" s="625"/>
      <c r="U945" s="626"/>
      <c r="V945" s="624"/>
      <c r="W945" s="624"/>
      <c r="X945" s="624"/>
      <c r="Y945" s="624"/>
      <c r="Z945" s="624"/>
      <c r="AA945" s="624"/>
      <c r="AB945" s="624"/>
      <c r="AC945" s="624"/>
      <c r="AD945" s="624"/>
      <c r="AE945" s="624"/>
      <c r="AF945" s="471"/>
      <c r="AG945" s="473"/>
      <c r="AH945" s="471"/>
      <c r="AI945" s="471"/>
      <c r="AJ945" s="471"/>
      <c r="AM945" s="404"/>
      <c r="AP945" s="404"/>
      <c r="AQ945" s="404"/>
    </row>
    <row r="946" spans="1:43" s="390" customFormat="1" ht="22.25" customHeight="1">
      <c r="A946" s="454"/>
      <c r="B946" s="657" t="str">
        <f t="shared" si="203"/>
        <v>Line 1'</v>
      </c>
      <c r="C946" s="662"/>
      <c r="D946" s="662"/>
      <c r="E946" s="662">
        <f t="shared" si="205"/>
        <v>2</v>
      </c>
      <c r="F946" s="498">
        <f t="shared" si="206"/>
        <v>6.16</v>
      </c>
      <c r="G946" s="642">
        <f t="shared" si="207"/>
        <v>0.75</v>
      </c>
      <c r="H946" s="642">
        <f t="shared" si="207"/>
        <v>4.42</v>
      </c>
      <c r="I946" s="499"/>
      <c r="J946" s="507">
        <f>IF(I946=0,1,I946)*IF(H946=0,1,H946)*IF(G946=0,1,G946)*IF(F946=0,1,F946)*IF(E946=0,1,E946)*IF(D946=0,1,D946)*IF(C946=0,1,C946)</f>
        <v>40.840800000000002</v>
      </c>
      <c r="K946" s="455"/>
      <c r="L946" s="312"/>
      <c r="M946" s="722"/>
      <c r="N946" s="722"/>
      <c r="O946" s="722"/>
      <c r="P946" s="722"/>
      <c r="Q946" s="611"/>
      <c r="R946" s="611"/>
      <c r="S946" s="624"/>
      <c r="T946" s="625"/>
      <c r="U946" s="626"/>
      <c r="V946" s="624"/>
      <c r="W946" s="624"/>
      <c r="X946" s="624"/>
      <c r="Y946" s="624"/>
      <c r="Z946" s="624"/>
      <c r="AA946" s="624"/>
      <c r="AB946" s="624"/>
      <c r="AC946" s="624"/>
      <c r="AD946" s="624"/>
      <c r="AE946" s="624"/>
      <c r="AF946" s="471"/>
      <c r="AG946" s="473"/>
      <c r="AH946" s="471"/>
      <c r="AI946" s="471"/>
      <c r="AJ946" s="471"/>
      <c r="AM946" s="404"/>
      <c r="AP946" s="404"/>
      <c r="AQ946" s="404"/>
    </row>
    <row r="947" spans="1:43" s="390" customFormat="1" ht="22.25" customHeight="1">
      <c r="A947" s="454"/>
      <c r="B947" s="657" t="str">
        <f t="shared" si="203"/>
        <v>Line 1"</v>
      </c>
      <c r="C947" s="662"/>
      <c r="D947" s="662"/>
      <c r="E947" s="662">
        <f t="shared" si="205"/>
        <v>1</v>
      </c>
      <c r="F947" s="498">
        <f t="shared" si="206"/>
        <v>3.75</v>
      </c>
      <c r="G947" s="642">
        <f>G946</f>
        <v>0.75</v>
      </c>
      <c r="H947" s="642">
        <f t="shared" ref="H947:H952" si="209">H946</f>
        <v>4.42</v>
      </c>
      <c r="I947" s="499"/>
      <c r="J947" s="507">
        <f t="shared" si="204"/>
        <v>12.43125</v>
      </c>
      <c r="K947" s="455"/>
      <c r="L947" s="312"/>
      <c r="M947" s="722"/>
      <c r="N947" s="722"/>
      <c r="O947" s="722"/>
      <c r="P947" s="722"/>
      <c r="Q947" s="611"/>
      <c r="R947" s="611"/>
      <c r="S947" s="624"/>
      <c r="T947" s="625"/>
      <c r="U947" s="626"/>
      <c r="V947" s="624"/>
      <c r="W947" s="624"/>
      <c r="X947" s="624"/>
      <c r="Y947" s="624"/>
      <c r="Z947" s="624"/>
      <c r="AA947" s="624"/>
      <c r="AB947" s="624"/>
      <c r="AC947" s="624"/>
      <c r="AD947" s="624"/>
      <c r="AE947" s="624"/>
      <c r="AF947" s="471"/>
      <c r="AG947" s="473"/>
      <c r="AH947" s="471"/>
      <c r="AI947" s="471"/>
      <c r="AJ947" s="471"/>
      <c r="AM947" s="404"/>
      <c r="AP947" s="404"/>
      <c r="AQ947" s="404"/>
    </row>
    <row r="948" spans="1:43" s="390" customFormat="1" ht="22.25" customHeight="1">
      <c r="A948" s="454"/>
      <c r="B948" s="657" t="str">
        <f t="shared" si="203"/>
        <v>Line 2</v>
      </c>
      <c r="C948" s="662"/>
      <c r="D948" s="662"/>
      <c r="E948" s="662">
        <f t="shared" si="205"/>
        <v>1</v>
      </c>
      <c r="F948" s="498">
        <f t="shared" si="206"/>
        <v>46.424999999999997</v>
      </c>
      <c r="G948" s="642">
        <f t="shared" si="207"/>
        <v>0.75</v>
      </c>
      <c r="H948" s="642">
        <f t="shared" si="209"/>
        <v>4.42</v>
      </c>
      <c r="I948" s="499"/>
      <c r="J948" s="507">
        <f t="shared" si="204"/>
        <v>153.89887499999998</v>
      </c>
      <c r="K948" s="455"/>
      <c r="L948" s="312"/>
      <c r="M948" s="722"/>
      <c r="N948" s="722"/>
      <c r="O948" s="722"/>
      <c r="P948" s="722"/>
      <c r="Q948" s="611"/>
      <c r="R948" s="611"/>
      <c r="S948" s="624"/>
      <c r="T948" s="625"/>
      <c r="U948" s="626"/>
      <c r="V948" s="641"/>
      <c r="W948" s="641"/>
      <c r="X948" s="641"/>
      <c r="Y948" s="618"/>
      <c r="Z948" s="618"/>
      <c r="AA948" s="618"/>
      <c r="AB948" s="618"/>
      <c r="AC948" s="620"/>
      <c r="AD948" s="620"/>
      <c r="AE948" s="620"/>
      <c r="AF948" s="471"/>
      <c r="AG948" s="473"/>
      <c r="AH948" s="471"/>
      <c r="AI948" s="471"/>
      <c r="AJ948" s="471"/>
      <c r="AM948" s="404"/>
      <c r="AP948" s="404"/>
      <c r="AQ948" s="404"/>
    </row>
    <row r="949" spans="1:43" s="390" customFormat="1" ht="22.25" customHeight="1">
      <c r="A949" s="454"/>
      <c r="B949" s="657" t="str">
        <f t="shared" si="203"/>
        <v>Line 2'</v>
      </c>
      <c r="C949" s="662"/>
      <c r="D949" s="662"/>
      <c r="E949" s="662">
        <f t="shared" si="205"/>
        <v>1</v>
      </c>
      <c r="F949" s="498">
        <f t="shared" si="206"/>
        <v>3.33</v>
      </c>
      <c r="G949" s="642">
        <f t="shared" si="207"/>
        <v>0.75</v>
      </c>
      <c r="H949" s="642">
        <f t="shared" si="209"/>
        <v>4.42</v>
      </c>
      <c r="I949" s="499"/>
      <c r="J949" s="507">
        <f>IF(I949=0,1,I949)*IF(H949=0,1,H949)*IF(G949=0,1,G949)*IF(F949=0,1,F949)*IF(E949=0,1,E949)*IF(D949=0,1,D949)*IF(C949=0,1,C949)</f>
        <v>11.03895</v>
      </c>
      <c r="K949" s="455"/>
      <c r="L949" s="312"/>
      <c r="M949" s="722"/>
      <c r="N949" s="722"/>
      <c r="O949" s="722"/>
      <c r="P949" s="722"/>
      <c r="Q949" s="611"/>
      <c r="R949" s="611"/>
      <c r="S949" s="624"/>
      <c r="T949" s="625"/>
      <c r="U949" s="626"/>
      <c r="V949" s="641"/>
      <c r="W949" s="641"/>
      <c r="X949" s="641"/>
      <c r="Y949" s="618"/>
      <c r="Z949" s="618"/>
      <c r="AA949" s="618"/>
      <c r="AB949" s="618"/>
      <c r="AC949" s="620"/>
      <c r="AD949" s="620"/>
      <c r="AE949" s="620"/>
      <c r="AF949" s="471"/>
      <c r="AG949" s="473"/>
      <c r="AH949" s="471"/>
      <c r="AI949" s="471"/>
      <c r="AJ949" s="471"/>
      <c r="AM949" s="404"/>
      <c r="AP949" s="404"/>
      <c r="AQ949" s="404"/>
    </row>
    <row r="950" spans="1:43" s="390" customFormat="1" ht="22.25" customHeight="1">
      <c r="A950" s="454"/>
      <c r="B950" s="657" t="str">
        <f t="shared" si="203"/>
        <v>Line 3</v>
      </c>
      <c r="C950" s="662"/>
      <c r="D950" s="662"/>
      <c r="E950" s="662">
        <f t="shared" si="205"/>
        <v>1</v>
      </c>
      <c r="F950" s="498">
        <f t="shared" si="206"/>
        <v>50.68</v>
      </c>
      <c r="G950" s="642">
        <f t="shared" si="207"/>
        <v>0.75</v>
      </c>
      <c r="H950" s="642">
        <f t="shared" si="209"/>
        <v>4.42</v>
      </c>
      <c r="I950" s="499"/>
      <c r="J950" s="507">
        <f>IF(I950=0,1,I950)*IF(H950=0,1,H950)*IF(G950=0,1,G950)*IF(F950=0,1,F950)*IF(E950=0,1,E950)*IF(D950=0,1,D950)*IF(C950=0,1,C950)</f>
        <v>168.0042</v>
      </c>
      <c r="K950" s="455"/>
      <c r="L950" s="312"/>
      <c r="M950" s="722"/>
      <c r="N950" s="722"/>
      <c r="O950" s="722"/>
      <c r="P950" s="722"/>
      <c r="Q950" s="611"/>
      <c r="R950" s="611"/>
      <c r="S950" s="624"/>
      <c r="T950" s="625"/>
      <c r="U950" s="626"/>
      <c r="V950" s="641"/>
      <c r="W950" s="641"/>
      <c r="X950" s="641"/>
      <c r="Y950" s="618"/>
      <c r="Z950" s="618"/>
      <c r="AA950" s="618"/>
      <c r="AB950" s="618"/>
      <c r="AC950" s="620"/>
      <c r="AD950" s="620"/>
      <c r="AE950" s="620"/>
      <c r="AF950" s="471"/>
      <c r="AG950" s="473"/>
      <c r="AH950" s="471"/>
      <c r="AI950" s="471"/>
      <c r="AJ950" s="471"/>
      <c r="AM950" s="404"/>
      <c r="AP950" s="404"/>
      <c r="AQ950" s="404"/>
    </row>
    <row r="951" spans="1:43" s="390" customFormat="1" ht="22.25" customHeight="1">
      <c r="A951" s="454"/>
      <c r="B951" s="657" t="str">
        <f t="shared" si="203"/>
        <v>Line 3'</v>
      </c>
      <c r="C951" s="662"/>
      <c r="D951" s="662"/>
      <c r="E951" s="662">
        <f t="shared" si="205"/>
        <v>1</v>
      </c>
      <c r="F951" s="498">
        <f t="shared" si="206"/>
        <v>13.33</v>
      </c>
      <c r="G951" s="642">
        <f t="shared" si="207"/>
        <v>0.75</v>
      </c>
      <c r="H951" s="642">
        <f t="shared" si="209"/>
        <v>4.42</v>
      </c>
      <c r="I951" s="499"/>
      <c r="J951" s="507">
        <f>IF(I951=0,1,I951)*IF(H951=0,1,H951)*IF(G951=0,1,G951)*IF(F951=0,1,F951)*IF(E951=0,1,E951)*IF(D951=0,1,D951)*IF(C951=0,1,C951)</f>
        <v>44.188949999999998</v>
      </c>
      <c r="K951" s="455"/>
      <c r="L951" s="312"/>
      <c r="M951" s="722"/>
      <c r="N951" s="722"/>
      <c r="O951" s="722"/>
      <c r="P951" s="722"/>
      <c r="Q951" s="611"/>
      <c r="R951" s="611"/>
      <c r="S951" s="624"/>
      <c r="T951" s="625"/>
      <c r="U951" s="626"/>
      <c r="V951" s="641"/>
      <c r="W951" s="641"/>
      <c r="X951" s="641"/>
      <c r="Y951" s="618"/>
      <c r="Z951" s="618"/>
      <c r="AA951" s="618"/>
      <c r="AB951" s="618"/>
      <c r="AC951" s="620"/>
      <c r="AD951" s="620"/>
      <c r="AE951" s="620"/>
      <c r="AF951" s="471"/>
      <c r="AG951" s="473"/>
      <c r="AH951" s="471"/>
      <c r="AI951" s="471"/>
      <c r="AJ951" s="471"/>
      <c r="AM951" s="404"/>
      <c r="AP951" s="404"/>
      <c r="AQ951" s="404"/>
    </row>
    <row r="952" spans="1:43" s="390" customFormat="1" ht="22.25" customHeight="1">
      <c r="A952" s="454"/>
      <c r="B952" s="657" t="str">
        <f t="shared" si="203"/>
        <v>Line 4</v>
      </c>
      <c r="C952" s="662"/>
      <c r="D952" s="662"/>
      <c r="E952" s="662">
        <f t="shared" si="205"/>
        <v>1</v>
      </c>
      <c r="F952" s="498">
        <f t="shared" si="206"/>
        <v>41.68</v>
      </c>
      <c r="G952" s="642">
        <f t="shared" si="207"/>
        <v>0.75</v>
      </c>
      <c r="H952" s="642">
        <f t="shared" si="209"/>
        <v>4.42</v>
      </c>
      <c r="I952" s="499"/>
      <c r="J952" s="507">
        <f>IF(I952=0,1,I952)*IF(H952=0,1,H952)*IF(G952=0,1,G952)*IF(F952=0,1,F952)*IF(E952=0,1,E952)*IF(D952=0,1,D952)*IF(C952=0,1,C952)</f>
        <v>138.16919999999999</v>
      </c>
      <c r="K952" s="455">
        <f>SUM(J938:J952)</f>
        <v>1278.9269999999999</v>
      </c>
      <c r="L952" s="312"/>
      <c r="M952" s="722"/>
      <c r="N952" s="722"/>
      <c r="O952" s="722"/>
      <c r="P952" s="722"/>
      <c r="Q952" s="611"/>
      <c r="R952" s="611"/>
      <c r="S952" s="624"/>
      <c r="T952" s="625"/>
      <c r="U952" s="626"/>
      <c r="V952" s="641"/>
      <c r="W952" s="641"/>
      <c r="X952" s="641"/>
      <c r="Y952" s="618"/>
      <c r="Z952" s="618"/>
      <c r="AA952" s="618"/>
      <c r="AB952" s="618"/>
      <c r="AC952" s="620"/>
      <c r="AD952" s="620"/>
      <c r="AE952" s="620"/>
      <c r="AF952" s="471"/>
      <c r="AG952" s="473"/>
      <c r="AH952" s="471"/>
      <c r="AI952" s="471"/>
      <c r="AJ952" s="471"/>
      <c r="AM952" s="404"/>
      <c r="AP952" s="404"/>
      <c r="AQ952" s="404"/>
    </row>
    <row r="953" spans="1:43" s="390" customFormat="1" ht="22.25" customHeight="1">
      <c r="A953" s="454"/>
      <c r="B953" s="997" t="s">
        <v>622</v>
      </c>
      <c r="C953" s="662"/>
      <c r="D953" s="662"/>
      <c r="E953" s="662"/>
      <c r="F953" s="498"/>
      <c r="G953" s="642"/>
      <c r="H953" s="642"/>
      <c r="I953" s="513"/>
      <c r="J953" s="507"/>
      <c r="K953" s="455"/>
      <c r="L953" s="312"/>
      <c r="M953" s="722"/>
      <c r="N953" s="722"/>
      <c r="O953" s="722"/>
      <c r="P953" s="722"/>
      <c r="Q953" s="611"/>
      <c r="R953" s="611"/>
      <c r="S953" s="624"/>
      <c r="T953" s="625"/>
      <c r="U953" s="626"/>
      <c r="V953" s="641"/>
      <c r="W953" s="641"/>
      <c r="X953" s="641"/>
      <c r="Y953" s="618"/>
      <c r="Z953" s="618"/>
      <c r="AA953" s="618"/>
      <c r="AB953" s="618"/>
      <c r="AC953" s="620"/>
      <c r="AD953" s="620"/>
      <c r="AE953" s="620"/>
      <c r="AF953" s="471"/>
      <c r="AG953" s="473"/>
      <c r="AH953" s="471"/>
      <c r="AI953" s="471"/>
      <c r="AJ953" s="471"/>
      <c r="AM953" s="404"/>
      <c r="AP953" s="404"/>
      <c r="AQ953" s="404"/>
    </row>
    <row r="954" spans="1:43" s="390" customFormat="1" ht="22.25" customHeight="1" thickBot="1">
      <c r="A954" s="454"/>
      <c r="B954" s="657" t="s">
        <v>694</v>
      </c>
      <c r="C954" s="662"/>
      <c r="D954" s="662">
        <v>2</v>
      </c>
      <c r="E954" s="662">
        <v>2</v>
      </c>
      <c r="F954" s="498">
        <f>5-0.83</f>
        <v>4.17</v>
      </c>
      <c r="G954" s="642">
        <v>0.75</v>
      </c>
      <c r="H954" s="642">
        <v>3</v>
      </c>
      <c r="I954" s="513"/>
      <c r="J954" s="507">
        <f>IF(I954=0,1,I954)*IF(H954=0,1,H954)*IF(G954=0,1,G954)*IF(F954=0,1,F954)*IF(E954=0,1,E954)*IF(D954=0,1,D954)*IF(C954=0,1,C954)</f>
        <v>37.53</v>
      </c>
      <c r="K954" s="455"/>
      <c r="L954" s="312"/>
      <c r="M954" s="722"/>
      <c r="N954" s="722"/>
      <c r="O954" s="722"/>
      <c r="P954" s="722"/>
      <c r="Q954" s="611"/>
      <c r="R954" s="611"/>
      <c r="S954" s="624"/>
      <c r="T954" s="625"/>
      <c r="U954" s="626"/>
      <c r="V954" s="641"/>
      <c r="W954" s="641"/>
      <c r="X954" s="641"/>
      <c r="Y954" s="618"/>
      <c r="Z954" s="618"/>
      <c r="AA954" s="618"/>
      <c r="AB954" s="618"/>
      <c r="AC954" s="620"/>
      <c r="AD954" s="620"/>
      <c r="AE954" s="620"/>
      <c r="AF954" s="471"/>
      <c r="AG954" s="473"/>
      <c r="AH954" s="471"/>
      <c r="AI954" s="471"/>
      <c r="AJ954" s="471"/>
      <c r="AM954" s="404"/>
      <c r="AP954" s="404"/>
      <c r="AQ954" s="404"/>
    </row>
    <row r="955" spans="1:43" s="390" customFormat="1" ht="22.25" customHeight="1" thickBot="1">
      <c r="A955" s="454"/>
      <c r="B955" s="655"/>
      <c r="C955" s="662"/>
      <c r="D955" s="663"/>
      <c r="E955" s="663"/>
      <c r="F955" s="512"/>
      <c r="G955" s="644"/>
      <c r="H955" s="649"/>
      <c r="I955" s="513"/>
      <c r="J955" s="507"/>
      <c r="K955" s="509">
        <f>SUM(J921:J955)</f>
        <v>1424.9632499999998</v>
      </c>
      <c r="L955" s="880" t="s">
        <v>301</v>
      </c>
      <c r="M955" s="723"/>
      <c r="N955" s="723"/>
      <c r="O955" s="723"/>
      <c r="P955" s="723"/>
      <c r="Q955" s="618"/>
      <c r="R955" s="618"/>
      <c r="S955" s="618"/>
      <c r="T955" s="618"/>
      <c r="U955" s="618"/>
      <c r="V955" s="641"/>
      <c r="W955" s="641"/>
      <c r="X955" s="641"/>
      <c r="Y955" s="618"/>
      <c r="Z955" s="618"/>
      <c r="AA955" s="618"/>
      <c r="AB955" s="618"/>
      <c r="AC955" s="620"/>
      <c r="AD955" s="620"/>
      <c r="AE955" s="620"/>
      <c r="AF955" s="471"/>
      <c r="AG955" s="473"/>
      <c r="AH955" s="471"/>
      <c r="AI955" s="471"/>
      <c r="AJ955" s="471"/>
      <c r="AM955" s="404"/>
      <c r="AP955" s="404"/>
      <c r="AQ955" s="404"/>
    </row>
    <row r="956" spans="1:43" s="390" customFormat="1" ht="22.25" customHeight="1" thickBot="1">
      <c r="A956" s="454"/>
      <c r="B956" s="655"/>
      <c r="C956" s="662"/>
      <c r="D956" s="663"/>
      <c r="E956" s="663"/>
      <c r="F956" s="512"/>
      <c r="G956" s="644"/>
      <c r="H956" s="649"/>
      <c r="I956" s="513"/>
      <c r="J956" s="507"/>
      <c r="K956" s="502">
        <f>K955/100</f>
        <v>14.249632499999997</v>
      </c>
      <c r="L956" s="503" t="s">
        <v>316</v>
      </c>
      <c r="M956" s="723"/>
      <c r="N956" s="723"/>
      <c r="O956" s="723"/>
      <c r="P956" s="723"/>
      <c r="Q956" s="618"/>
      <c r="R956" s="618"/>
      <c r="S956" s="618"/>
      <c r="T956" s="618"/>
      <c r="U956" s="618"/>
      <c r="V956" s="641"/>
      <c r="W956" s="641"/>
      <c r="X956" s="641"/>
      <c r="Y956" s="618"/>
      <c r="Z956" s="618"/>
      <c r="AA956" s="618"/>
      <c r="AB956" s="618"/>
      <c r="AC956" s="620"/>
      <c r="AD956" s="620"/>
      <c r="AE956" s="620"/>
      <c r="AF956" s="471"/>
      <c r="AG956" s="473"/>
      <c r="AH956" s="471"/>
      <c r="AI956" s="471"/>
      <c r="AJ956" s="471"/>
      <c r="AM956" s="404"/>
      <c r="AP956" s="404"/>
      <c r="AQ956" s="404"/>
    </row>
    <row r="957" spans="1:43" s="390" customFormat="1" ht="22.25" customHeight="1" thickTop="1">
      <c r="A957" s="454"/>
      <c r="B957" s="655"/>
      <c r="C957" s="662"/>
      <c r="D957" s="663"/>
      <c r="E957" s="663"/>
      <c r="F957" s="512"/>
      <c r="G957" s="644"/>
      <c r="H957" s="649"/>
      <c r="I957" s="513"/>
      <c r="J957" s="507"/>
      <c r="K957" s="998"/>
      <c r="L957" s="999"/>
      <c r="M957" s="723"/>
      <c r="N957" s="723"/>
      <c r="O957" s="723"/>
      <c r="P957" s="723"/>
      <c r="Q957" s="618"/>
      <c r="R957" s="618"/>
      <c r="S957" s="618"/>
      <c r="T957" s="618"/>
      <c r="U957" s="618"/>
      <c r="V957" s="641"/>
      <c r="W957" s="641"/>
      <c r="X957" s="641"/>
      <c r="Y957" s="618"/>
      <c r="Z957" s="618"/>
      <c r="AA957" s="618"/>
      <c r="AB957" s="618"/>
      <c r="AC957" s="620"/>
      <c r="AD957" s="620"/>
      <c r="AE957" s="620"/>
      <c r="AF957" s="471"/>
      <c r="AG957" s="473"/>
      <c r="AH957" s="471"/>
      <c r="AI957" s="471"/>
      <c r="AJ957" s="471"/>
      <c r="AM957" s="404"/>
      <c r="AP957" s="404"/>
      <c r="AQ957" s="404"/>
    </row>
    <row r="958" spans="1:43" s="390" customFormat="1" ht="22.25" customHeight="1">
      <c r="A958" s="454">
        <v>14</v>
      </c>
      <c r="B958" s="1000" t="s">
        <v>407</v>
      </c>
      <c r="C958" s="662"/>
      <c r="D958" s="662"/>
      <c r="E958" s="662"/>
      <c r="F958" s="504"/>
      <c r="G958" s="643"/>
      <c r="H958" s="648"/>
      <c r="I958" s="501"/>
      <c r="J958" s="421"/>
      <c r="K958" s="421"/>
      <c r="L958" s="432"/>
      <c r="M958" s="725"/>
      <c r="N958" s="725"/>
      <c r="O958" s="725"/>
      <c r="P958" s="725"/>
      <c r="Q958" s="618"/>
      <c r="R958" s="618"/>
      <c r="S958" s="618"/>
      <c r="T958" s="618"/>
      <c r="U958" s="618"/>
      <c r="V958" s="641"/>
      <c r="W958" s="641"/>
      <c r="X958" s="641"/>
      <c r="Y958" s="618"/>
      <c r="Z958" s="618"/>
      <c r="AA958" s="618"/>
      <c r="AB958" s="618"/>
      <c r="AC958" s="620"/>
      <c r="AD958" s="620"/>
      <c r="AE958" s="620"/>
      <c r="AF958" s="471">
        <v>13</v>
      </c>
      <c r="AG958" s="473" t="e">
        <f>AF958*#REF!/#REF!</f>
        <v>#REF!</v>
      </c>
      <c r="AH958" s="471"/>
      <c r="AI958" s="471"/>
      <c r="AJ958" s="471"/>
      <c r="AM958" s="404"/>
      <c r="AP958" s="404"/>
      <c r="AQ958" s="404"/>
    </row>
    <row r="959" spans="1:43" s="390" customFormat="1" ht="22.25" customHeight="1">
      <c r="B959" s="659" t="s">
        <v>408</v>
      </c>
      <c r="C959" s="662"/>
      <c r="D959" s="662"/>
      <c r="E959" s="662"/>
      <c r="F959" s="498"/>
      <c r="G959" s="642"/>
      <c r="H959" s="642"/>
      <c r="I959" s="501"/>
      <c r="J959" s="507"/>
      <c r="K959" s="507"/>
      <c r="L959" s="432"/>
      <c r="M959" s="725"/>
      <c r="N959" s="725"/>
      <c r="O959" s="725"/>
      <c r="P959" s="725"/>
      <c r="Q959" s="618"/>
      <c r="R959" s="618"/>
      <c r="S959" s="618"/>
      <c r="T959" s="618"/>
      <c r="U959" s="618"/>
      <c r="V959" s="641"/>
      <c r="W959" s="641"/>
      <c r="X959" s="641"/>
      <c r="Y959" s="618"/>
      <c r="Z959" s="618"/>
      <c r="AA959" s="618"/>
      <c r="AB959" s="618"/>
      <c r="AC959" s="620"/>
      <c r="AD959" s="620"/>
      <c r="AE959" s="620"/>
      <c r="AF959" s="471"/>
      <c r="AG959" s="473"/>
      <c r="AH959" s="471"/>
      <c r="AI959" s="471"/>
      <c r="AJ959" s="471"/>
      <c r="AM959" s="404"/>
      <c r="AP959" s="404"/>
      <c r="AQ959" s="404"/>
    </row>
    <row r="960" spans="1:43" s="390" customFormat="1" ht="22.25" customHeight="1">
      <c r="B960" s="659" t="s">
        <v>151</v>
      </c>
      <c r="C960" s="662"/>
      <c r="D960" s="662"/>
      <c r="E960" s="662"/>
      <c r="F960" s="498"/>
      <c r="G960" s="642"/>
      <c r="H960" s="642"/>
      <c r="I960" s="501"/>
      <c r="J960" s="507"/>
      <c r="K960" s="507"/>
      <c r="L960" s="432"/>
      <c r="M960" s="725"/>
      <c r="N960" s="725"/>
      <c r="O960" s="725"/>
      <c r="P960" s="725"/>
      <c r="Q960" s="618"/>
      <c r="R960" s="618"/>
      <c r="S960" s="618"/>
      <c r="T960" s="618"/>
      <c r="U960" s="618"/>
      <c r="V960" s="641"/>
      <c r="W960" s="641"/>
      <c r="X960" s="641"/>
      <c r="Y960" s="618"/>
      <c r="Z960" s="618"/>
      <c r="AA960" s="618"/>
      <c r="AB960" s="618"/>
      <c r="AC960" s="620"/>
      <c r="AD960" s="620"/>
      <c r="AE960" s="620"/>
      <c r="AF960" s="471"/>
      <c r="AG960" s="473"/>
      <c r="AH960" s="471"/>
      <c r="AI960" s="471"/>
      <c r="AJ960" s="471"/>
      <c r="AM960" s="404"/>
      <c r="AP960" s="404"/>
      <c r="AQ960" s="404"/>
    </row>
    <row r="961" spans="1:48" s="390" customFormat="1" ht="22.25" customHeight="1">
      <c r="A961" s="454"/>
      <c r="B961" s="1001" t="str">
        <f t="shared" ref="B961:B970" si="210">B354</f>
        <v>Line 1,4</v>
      </c>
      <c r="C961" s="662"/>
      <c r="D961" s="662"/>
      <c r="E961" s="662">
        <f>E354</f>
        <v>2</v>
      </c>
      <c r="F961" s="504">
        <f>F354-3*0.83</f>
        <v>42.51</v>
      </c>
      <c r="G961" s="643"/>
      <c r="H961" s="643">
        <v>13</v>
      </c>
      <c r="I961" s="501"/>
      <c r="J961" s="507">
        <f t="shared" ref="J961:J970" si="211">IF(I961=0,1,I961)*IF(H961=0,1,H961)*IF(G961=0,1,G961)*IF(F961=0,1,F961)*IF(E961=0,1,E961)*IF(D961=0,1,D961)*IF(C961=0,1,C961)</f>
        <v>1105.26</v>
      </c>
      <c r="K961" s="421"/>
      <c r="L961" s="432"/>
      <c r="M961" s="725"/>
      <c r="N961" s="725"/>
      <c r="O961" s="725"/>
      <c r="P961" s="725"/>
      <c r="Q961" s="618"/>
      <c r="R961" s="618"/>
      <c r="S961" s="618"/>
      <c r="T961" s="618"/>
      <c r="U961" s="618"/>
      <c r="V961" s="641"/>
      <c r="W961" s="641"/>
      <c r="X961" s="641"/>
      <c r="Y961" s="618"/>
      <c r="Z961" s="618"/>
      <c r="AA961" s="618"/>
      <c r="AB961" s="618"/>
      <c r="AC961" s="620"/>
      <c r="AD961" s="620"/>
      <c r="AE961" s="620"/>
      <c r="AF961" s="471"/>
      <c r="AG961" s="473"/>
      <c r="AH961" s="471"/>
      <c r="AI961" s="471"/>
      <c r="AJ961" s="471"/>
      <c r="AM961" s="404"/>
      <c r="AP961" s="404"/>
      <c r="AQ961" s="404"/>
    </row>
    <row r="962" spans="1:48" s="390" customFormat="1" ht="22.25" customHeight="1">
      <c r="A962" s="454"/>
      <c r="B962" s="1001" t="str">
        <f t="shared" si="210"/>
        <v>Line 1'</v>
      </c>
      <c r="C962" s="662"/>
      <c r="D962" s="662"/>
      <c r="E962" s="662">
        <f t="shared" ref="E962:E970" si="212">E355</f>
        <v>2</v>
      </c>
      <c r="F962" s="504">
        <f>F355</f>
        <v>8</v>
      </c>
      <c r="G962" s="643"/>
      <c r="H962" s="643">
        <f>H961</f>
        <v>13</v>
      </c>
      <c r="I962" s="501"/>
      <c r="J962" s="507">
        <f t="shared" si="211"/>
        <v>208</v>
      </c>
      <c r="K962" s="421"/>
      <c r="L962" s="432"/>
      <c r="M962" s="725"/>
      <c r="N962" s="725"/>
      <c r="O962" s="725"/>
      <c r="P962" s="725"/>
      <c r="Q962" s="618"/>
      <c r="R962" s="618"/>
      <c r="S962" s="618"/>
      <c r="T962" s="618"/>
      <c r="U962" s="618"/>
      <c r="V962" s="641"/>
      <c r="W962" s="641"/>
      <c r="X962" s="641"/>
      <c r="Y962" s="618"/>
      <c r="Z962" s="618"/>
      <c r="AA962" s="618"/>
      <c r="AB962" s="618"/>
      <c r="AC962" s="620"/>
      <c r="AD962" s="620"/>
      <c r="AE962" s="620"/>
      <c r="AF962" s="471"/>
      <c r="AG962" s="473"/>
      <c r="AH962" s="471"/>
      <c r="AI962" s="471"/>
      <c r="AJ962" s="471"/>
      <c r="AM962" s="404"/>
      <c r="AP962" s="404"/>
      <c r="AQ962" s="404"/>
    </row>
    <row r="963" spans="1:48" s="390" customFormat="1" ht="22.25" customHeight="1">
      <c r="A963" s="454"/>
      <c r="B963" s="1001" t="str">
        <f t="shared" si="210"/>
        <v>Line 1",2',3'</v>
      </c>
      <c r="C963" s="662"/>
      <c r="D963" s="662"/>
      <c r="E963" s="662">
        <f t="shared" si="212"/>
        <v>3</v>
      </c>
      <c r="F963" s="504">
        <f>F356</f>
        <v>5</v>
      </c>
      <c r="G963" s="642"/>
      <c r="H963" s="643">
        <f t="shared" ref="H963:H969" si="213">H962</f>
        <v>13</v>
      </c>
      <c r="I963" s="501"/>
      <c r="J963" s="507">
        <f t="shared" si="211"/>
        <v>195</v>
      </c>
      <c r="K963" s="507"/>
      <c r="L963" s="432"/>
      <c r="M963" s="725"/>
      <c r="N963" s="725"/>
      <c r="O963" s="725"/>
      <c r="P963" s="725"/>
      <c r="Q963" s="618"/>
      <c r="R963" s="618"/>
      <c r="S963" s="618"/>
      <c r="T963" s="618"/>
      <c r="U963" s="618"/>
      <c r="V963" s="641"/>
      <c r="W963" s="641"/>
      <c r="X963" s="641"/>
      <c r="Y963" s="618"/>
      <c r="Z963" s="618"/>
      <c r="AA963" s="618"/>
      <c r="AB963" s="618"/>
      <c r="AC963" s="620"/>
      <c r="AD963" s="620"/>
      <c r="AE963" s="620"/>
      <c r="AF963" s="471"/>
      <c r="AG963" s="473"/>
      <c r="AH963" s="471"/>
      <c r="AI963" s="471"/>
      <c r="AJ963" s="471"/>
      <c r="AM963" s="404"/>
      <c r="AP963" s="404"/>
      <c r="AQ963" s="404"/>
    </row>
    <row r="964" spans="1:48" s="390" customFormat="1" ht="22.25" customHeight="1">
      <c r="A964" s="454"/>
      <c r="B964" s="1001" t="str">
        <f t="shared" si="210"/>
        <v>Line 2</v>
      </c>
      <c r="C964" s="662"/>
      <c r="D964" s="662"/>
      <c r="E964" s="662">
        <f t="shared" si="212"/>
        <v>1</v>
      </c>
      <c r="F964" s="504">
        <f>F357-2*0.83</f>
        <v>28.34</v>
      </c>
      <c r="G964" s="642"/>
      <c r="H964" s="643">
        <f t="shared" si="213"/>
        <v>13</v>
      </c>
      <c r="I964" s="501"/>
      <c r="J964" s="507">
        <f t="shared" si="211"/>
        <v>368.42</v>
      </c>
      <c r="K964" s="507"/>
      <c r="L964" s="432"/>
      <c r="M964" s="725"/>
      <c r="N964" s="725"/>
      <c r="O964" s="725"/>
      <c r="P964" s="725"/>
      <c r="Q964" s="618"/>
      <c r="R964" s="618"/>
      <c r="S964" s="618"/>
      <c r="T964" s="618"/>
      <c r="U964" s="618"/>
      <c r="V964" s="641"/>
      <c r="W964" s="641"/>
      <c r="X964" s="641"/>
      <c r="Y964" s="618"/>
      <c r="Z964" s="618"/>
      <c r="AA964" s="618"/>
      <c r="AB964" s="618"/>
      <c r="AC964" s="620"/>
      <c r="AD964" s="620"/>
      <c r="AE964" s="620"/>
      <c r="AF964" s="471"/>
      <c r="AG964" s="473"/>
      <c r="AH964" s="471"/>
      <c r="AI964" s="471"/>
      <c r="AJ964" s="471"/>
      <c r="AM964" s="404"/>
      <c r="AP964" s="404"/>
      <c r="AQ964" s="404"/>
    </row>
    <row r="965" spans="1:48" s="390" customFormat="1" ht="22.25" customHeight="1">
      <c r="A965" s="454"/>
      <c r="B965" s="1001" t="str">
        <f t="shared" si="210"/>
        <v>Line 3</v>
      </c>
      <c r="C965" s="662"/>
      <c r="D965" s="662"/>
      <c r="E965" s="662">
        <f t="shared" si="212"/>
        <v>1</v>
      </c>
      <c r="F965" s="504">
        <f>F358-1*0.83</f>
        <v>14.17</v>
      </c>
      <c r="G965" s="642"/>
      <c r="H965" s="643">
        <f t="shared" si="213"/>
        <v>13</v>
      </c>
      <c r="I965" s="501"/>
      <c r="J965" s="507">
        <f t="shared" si="211"/>
        <v>184.21</v>
      </c>
      <c r="K965" s="507"/>
      <c r="L965" s="432"/>
      <c r="M965" s="725"/>
      <c r="N965" s="725"/>
      <c r="O965" s="725"/>
      <c r="P965" s="725"/>
      <c r="Q965" s="618"/>
      <c r="R965" s="618"/>
      <c r="S965" s="618"/>
      <c r="T965" s="618"/>
      <c r="U965" s="618"/>
      <c r="V965" s="641"/>
      <c r="W965" s="641"/>
      <c r="X965" s="641"/>
      <c r="Y965" s="618"/>
      <c r="Z965" s="618"/>
      <c r="AA965" s="618"/>
      <c r="AB965" s="618"/>
      <c r="AC965" s="620"/>
      <c r="AD965" s="620"/>
      <c r="AE965" s="620"/>
      <c r="AF965" s="471"/>
      <c r="AG965" s="473"/>
      <c r="AH965" s="471"/>
      <c r="AI965" s="471"/>
      <c r="AJ965" s="471"/>
      <c r="AM965" s="404"/>
      <c r="AP965" s="404"/>
      <c r="AQ965" s="404"/>
    </row>
    <row r="966" spans="1:48" s="390" customFormat="1" ht="22.25" customHeight="1">
      <c r="A966" s="454"/>
      <c r="B966" s="1001" t="str">
        <f t="shared" si="210"/>
        <v>Line 3'</v>
      </c>
      <c r="C966" s="662"/>
      <c r="D966" s="662"/>
      <c r="E966" s="662">
        <f t="shared" si="212"/>
        <v>1</v>
      </c>
      <c r="F966" s="504">
        <f>F359</f>
        <v>15</v>
      </c>
      <c r="G966" s="642"/>
      <c r="H966" s="643">
        <f t="shared" si="213"/>
        <v>13</v>
      </c>
      <c r="I966" s="501"/>
      <c r="J966" s="507">
        <f t="shared" si="211"/>
        <v>195</v>
      </c>
      <c r="K966" s="507"/>
      <c r="L966" s="432"/>
      <c r="M966" s="725"/>
      <c r="N966" s="725"/>
      <c r="O966" s="725"/>
      <c r="P966" s="725"/>
      <c r="Q966" s="618"/>
      <c r="R966" s="618"/>
      <c r="S966" s="618"/>
      <c r="T966" s="618"/>
      <c r="U966" s="618"/>
      <c r="V966" s="641"/>
      <c r="W966" s="641"/>
      <c r="X966" s="641"/>
      <c r="Y966" s="618"/>
      <c r="Z966" s="618"/>
      <c r="AA966" s="618"/>
      <c r="AB966" s="618"/>
      <c r="AC966" s="620"/>
      <c r="AD966" s="620"/>
      <c r="AE966" s="620"/>
      <c r="AF966" s="471"/>
      <c r="AG966" s="473"/>
      <c r="AH966" s="471"/>
      <c r="AI966" s="471"/>
      <c r="AJ966" s="471"/>
      <c r="AM966" s="404"/>
      <c r="AP966" s="404"/>
      <c r="AQ966" s="404"/>
    </row>
    <row r="967" spans="1:48" s="390" customFormat="1" ht="22.25" customHeight="1">
      <c r="A967" s="454"/>
      <c r="B967" s="1001" t="str">
        <f t="shared" si="210"/>
        <v>Line A</v>
      </c>
      <c r="C967" s="662"/>
      <c r="D967" s="662"/>
      <c r="E967" s="662">
        <f t="shared" si="212"/>
        <v>1</v>
      </c>
      <c r="F967" s="504">
        <f>F360-3*0.83</f>
        <v>32.51</v>
      </c>
      <c r="G967" s="642"/>
      <c r="H967" s="643">
        <f t="shared" si="213"/>
        <v>13</v>
      </c>
      <c r="I967" s="501"/>
      <c r="J967" s="507">
        <f t="shared" si="211"/>
        <v>422.63</v>
      </c>
      <c r="K967" s="507"/>
      <c r="L967" s="432"/>
      <c r="M967" s="725"/>
      <c r="N967" s="725"/>
      <c r="O967" s="725"/>
      <c r="P967" s="725"/>
      <c r="Q967" s="618"/>
      <c r="R967" s="618"/>
      <c r="S967" s="618"/>
      <c r="T967" s="618"/>
      <c r="U967" s="618"/>
      <c r="V967" s="641"/>
      <c r="W967" s="641"/>
      <c r="X967" s="641"/>
      <c r="Y967" s="618"/>
      <c r="Z967" s="618"/>
      <c r="AA967" s="618"/>
      <c r="AB967" s="618"/>
      <c r="AC967" s="620"/>
      <c r="AD967" s="620"/>
      <c r="AE967" s="620"/>
      <c r="AF967" s="471"/>
      <c r="AG967" s="473"/>
      <c r="AH967" s="471"/>
      <c r="AI967" s="471"/>
      <c r="AJ967" s="471"/>
      <c r="AM967" s="404"/>
      <c r="AP967" s="404"/>
      <c r="AQ967" s="404"/>
    </row>
    <row r="968" spans="1:48" s="390" customFormat="1" ht="22.25" customHeight="1">
      <c r="A968" s="454"/>
      <c r="B968" s="1001" t="str">
        <f t="shared" si="210"/>
        <v>Line B,C,D</v>
      </c>
      <c r="C968" s="662"/>
      <c r="D968" s="662"/>
      <c r="E968" s="662">
        <f t="shared" si="212"/>
        <v>3</v>
      </c>
      <c r="F968" s="504">
        <f>F361-1*0.83</f>
        <v>28.17</v>
      </c>
      <c r="G968" s="642"/>
      <c r="H968" s="643">
        <f t="shared" si="213"/>
        <v>13</v>
      </c>
      <c r="I968" s="501"/>
      <c r="J968" s="507">
        <f t="shared" si="211"/>
        <v>1098.6300000000001</v>
      </c>
      <c r="K968" s="507"/>
      <c r="L968" s="432"/>
      <c r="M968" s="725"/>
      <c r="N968" s="725"/>
      <c r="O968" s="725"/>
      <c r="P968" s="725"/>
      <c r="Q968" s="618"/>
      <c r="R968" s="618"/>
      <c r="S968" s="618"/>
      <c r="T968" s="618"/>
      <c r="U968" s="618"/>
      <c r="V968" s="641"/>
      <c r="W968" s="641"/>
      <c r="X968" s="641"/>
      <c r="Y968" s="618"/>
      <c r="Z968" s="618"/>
      <c r="AA968" s="618"/>
      <c r="AB968" s="618"/>
      <c r="AC968" s="620"/>
      <c r="AD968" s="620"/>
      <c r="AE968" s="620"/>
      <c r="AF968" s="471"/>
      <c r="AG968" s="473"/>
      <c r="AH968" s="471"/>
      <c r="AI968" s="471"/>
      <c r="AJ968" s="471"/>
      <c r="AM968" s="404"/>
      <c r="AP968" s="404"/>
      <c r="AQ968" s="404"/>
    </row>
    <row r="969" spans="1:48" s="390" customFormat="1" ht="22.25" customHeight="1">
      <c r="A969" s="454"/>
      <c r="B969" s="1001" t="str">
        <f t="shared" si="210"/>
        <v>Line B',C'</v>
      </c>
      <c r="C969" s="662"/>
      <c r="D969" s="662"/>
      <c r="E969" s="662">
        <f t="shared" si="212"/>
        <v>2</v>
      </c>
      <c r="F969" s="504">
        <f>F362</f>
        <v>4.5</v>
      </c>
      <c r="G969" s="642"/>
      <c r="H969" s="643">
        <f t="shared" si="213"/>
        <v>13</v>
      </c>
      <c r="I969" s="501"/>
      <c r="J969" s="507">
        <f>IF(I969=0,1,I969)*IF(H969=0,1,H969)*IF(G969=0,1,G969)*IF(F969=0,1,F969)*IF(E969=0,1,E969)*IF(D969=0,1,D969)*IF(C969=0,1,C969)</f>
        <v>117</v>
      </c>
      <c r="K969" s="507"/>
      <c r="L969" s="432"/>
      <c r="M969" s="725"/>
      <c r="N969" s="725"/>
      <c r="O969" s="725"/>
      <c r="P969" s="725"/>
      <c r="Q969" s="618"/>
      <c r="R969" s="618"/>
      <c r="S969" s="618"/>
      <c r="T969" s="618"/>
      <c r="U969" s="618"/>
      <c r="V969" s="641"/>
      <c r="W969" s="641"/>
      <c r="X969" s="641"/>
      <c r="Y969" s="618"/>
      <c r="Z969" s="618"/>
      <c r="AA969" s="618"/>
      <c r="AB969" s="618"/>
      <c r="AC969" s="620"/>
      <c r="AD969" s="620"/>
      <c r="AE969" s="620"/>
      <c r="AF969" s="471"/>
      <c r="AG969" s="473"/>
      <c r="AH969" s="471"/>
      <c r="AI969" s="471"/>
      <c r="AJ969" s="471"/>
      <c r="AM969" s="404"/>
      <c r="AP969" s="404"/>
      <c r="AQ969" s="404"/>
    </row>
    <row r="970" spans="1:48" s="390" customFormat="1" ht="22.25" customHeight="1">
      <c r="A970" s="454"/>
      <c r="B970" s="1001" t="str">
        <f t="shared" si="210"/>
        <v>Line D'</v>
      </c>
      <c r="C970" s="662"/>
      <c r="D970" s="662"/>
      <c r="E970" s="662">
        <f t="shared" si="212"/>
        <v>1</v>
      </c>
      <c r="F970" s="504">
        <f>F363</f>
        <v>9.5</v>
      </c>
      <c r="G970" s="642"/>
      <c r="H970" s="643">
        <f>H968</f>
        <v>13</v>
      </c>
      <c r="I970" s="501"/>
      <c r="J970" s="507">
        <f t="shared" si="211"/>
        <v>123.5</v>
      </c>
      <c r="K970" s="507"/>
      <c r="L970" s="432"/>
      <c r="M970" s="725"/>
      <c r="N970" s="725"/>
      <c r="O970" s="725"/>
      <c r="P970" s="725"/>
      <c r="Q970" s="618"/>
      <c r="R970" s="618"/>
      <c r="S970" s="618"/>
      <c r="T970" s="618"/>
      <c r="U970" s="618"/>
      <c r="V970" s="641"/>
      <c r="W970" s="641"/>
      <c r="X970" s="641"/>
      <c r="Y970" s="618"/>
      <c r="Z970" s="618"/>
      <c r="AA970" s="618"/>
      <c r="AB970" s="618"/>
      <c r="AC970" s="620"/>
      <c r="AD970" s="620"/>
      <c r="AE970" s="620"/>
      <c r="AF970" s="471"/>
      <c r="AG970" s="473"/>
      <c r="AH970" s="471"/>
      <c r="AI970" s="471"/>
      <c r="AJ970" s="471"/>
      <c r="AM970" s="404"/>
      <c r="AP970" s="404"/>
      <c r="AQ970" s="404"/>
    </row>
    <row r="971" spans="1:48" s="390" customFormat="1" ht="22.25" hidden="1" customHeight="1">
      <c r="A971" s="454"/>
      <c r="B971" s="659" t="s">
        <v>650</v>
      </c>
      <c r="C971" s="662"/>
      <c r="D971" s="662"/>
      <c r="E971" s="662"/>
      <c r="F971" s="498"/>
      <c r="G971" s="642"/>
      <c r="H971" s="642"/>
      <c r="I971" s="507"/>
      <c r="J971" s="421"/>
      <c r="K971" s="421"/>
      <c r="L971" s="432"/>
      <c r="M971" s="725"/>
      <c r="N971" s="725"/>
      <c r="O971" s="725"/>
      <c r="P971" s="725"/>
      <c r="Q971" s="618"/>
      <c r="R971" s="618"/>
      <c r="S971" s="618"/>
      <c r="T971" s="618"/>
      <c r="U971" s="618"/>
      <c r="V971" s="641"/>
      <c r="W971" s="641"/>
      <c r="X971" s="641"/>
      <c r="Y971" s="618"/>
      <c r="Z971" s="618"/>
      <c r="AA971" s="618"/>
      <c r="AB971" s="618"/>
      <c r="AC971" s="620"/>
      <c r="AD971" s="620"/>
      <c r="AE971" s="620"/>
      <c r="AF971" s="471">
        <f>1/AF180</f>
        <v>6235.299</v>
      </c>
      <c r="AG971" s="471">
        <f>AF65*2.8</f>
        <v>0</v>
      </c>
      <c r="AH971" s="471"/>
      <c r="AI971" s="471"/>
      <c r="AJ971" s="471"/>
      <c r="AK971" s="471"/>
      <c r="AL971" s="471"/>
      <c r="AM971" s="471"/>
      <c r="AN971" s="471"/>
      <c r="AO971" s="471"/>
      <c r="AR971" s="404"/>
      <c r="AU971" s="404"/>
      <c r="AV971" s="404"/>
    </row>
    <row r="972" spans="1:48" s="390" customFormat="1" ht="22.25" hidden="1" customHeight="1">
      <c r="A972" s="454"/>
      <c r="B972" s="659" t="s">
        <v>151</v>
      </c>
      <c r="C972" s="662"/>
      <c r="D972" s="662"/>
      <c r="E972" s="662"/>
      <c r="F972" s="498"/>
      <c r="G972" s="642"/>
      <c r="H972" s="642"/>
      <c r="I972" s="499"/>
      <c r="J972" s="507"/>
      <c r="K972" s="455"/>
      <c r="L972" s="312"/>
      <c r="M972" s="722">
        <f>F972*2+G972*2</f>
        <v>0</v>
      </c>
      <c r="N972" s="722">
        <f>M972*H972</f>
        <v>0</v>
      </c>
      <c r="O972" s="455">
        <f>F972*G972</f>
        <v>0</v>
      </c>
      <c r="P972" s="722"/>
      <c r="Q972" s="611"/>
      <c r="R972" s="611"/>
      <c r="S972" s="624"/>
      <c r="T972" s="625"/>
      <c r="U972" s="626"/>
      <c r="V972" s="624"/>
      <c r="W972" s="624">
        <f t="shared" ref="W972:AE972" si="214">IF($R972=W$5,$V972,0)</f>
        <v>0</v>
      </c>
      <c r="X972" s="624">
        <f t="shared" si="214"/>
        <v>0</v>
      </c>
      <c r="Y972" s="624">
        <f t="shared" si="214"/>
        <v>0</v>
      </c>
      <c r="Z972" s="624">
        <f t="shared" si="214"/>
        <v>0</v>
      </c>
      <c r="AA972" s="624">
        <f t="shared" si="214"/>
        <v>0</v>
      </c>
      <c r="AB972" s="624">
        <f t="shared" si="214"/>
        <v>0</v>
      </c>
      <c r="AC972" s="624">
        <f t="shared" si="214"/>
        <v>0</v>
      </c>
      <c r="AD972" s="624">
        <f t="shared" si="214"/>
        <v>0</v>
      </c>
      <c r="AE972" s="624">
        <f t="shared" si="214"/>
        <v>0</v>
      </c>
      <c r="AF972" s="471"/>
      <c r="AG972" s="473"/>
      <c r="AH972" s="471"/>
      <c r="AI972" s="471"/>
      <c r="AJ972" s="471"/>
      <c r="AM972" s="404"/>
      <c r="AP972" s="404"/>
      <c r="AQ972" s="404"/>
    </row>
    <row r="973" spans="1:48" s="885" customFormat="1" ht="20" hidden="1" customHeight="1">
      <c r="A973" s="788"/>
      <c r="B973" s="939" t="s">
        <v>774</v>
      </c>
      <c r="C973" s="940"/>
      <c r="D973" s="940"/>
      <c r="E973" s="940">
        <v>2</v>
      </c>
      <c r="F973" s="941">
        <f>(9.67+6.83)*2</f>
        <v>33</v>
      </c>
      <c r="G973" s="942"/>
      <c r="H973" s="942">
        <v>0.33</v>
      </c>
      <c r="I973" s="943"/>
      <c r="J973" s="507"/>
      <c r="K973" s="943"/>
      <c r="L973" s="802"/>
      <c r="M973" s="944"/>
      <c r="N973" s="944"/>
      <c r="O973" s="944"/>
      <c r="P973" s="944"/>
      <c r="Q973" s="944"/>
      <c r="R973" s="944"/>
      <c r="S973" s="944"/>
      <c r="T973" s="944"/>
      <c r="U973" s="944"/>
      <c r="V973" s="944"/>
      <c r="Y973" s="886"/>
      <c r="AB973" s="886"/>
      <c r="AC973" s="886"/>
    </row>
    <row r="974" spans="1:48" s="885" customFormat="1" ht="20" hidden="1" customHeight="1">
      <c r="A974" s="788"/>
      <c r="B974" s="939" t="s">
        <v>775</v>
      </c>
      <c r="C974" s="940"/>
      <c r="D974" s="940"/>
      <c r="E974" s="940">
        <v>1</v>
      </c>
      <c r="F974" s="941">
        <f>(6.17+6.83)*2</f>
        <v>26</v>
      </c>
      <c r="G974" s="942"/>
      <c r="H974" s="942">
        <v>0.33</v>
      </c>
      <c r="I974" s="943"/>
      <c r="J974" s="507"/>
      <c r="K974" s="943"/>
      <c r="L974" s="802"/>
      <c r="M974" s="944"/>
      <c r="N974" s="944"/>
      <c r="O974" s="944"/>
      <c r="P974" s="944"/>
      <c r="Q974" s="944"/>
      <c r="R974" s="944"/>
      <c r="S974" s="944"/>
      <c r="T974" s="944"/>
      <c r="U974" s="944"/>
      <c r="V974" s="944"/>
      <c r="Y974" s="886"/>
      <c r="AB974" s="886"/>
      <c r="AC974" s="886"/>
    </row>
    <row r="975" spans="1:48" s="885" customFormat="1" ht="20" hidden="1" customHeight="1">
      <c r="A975" s="788"/>
      <c r="B975" s="939"/>
      <c r="C975" s="940"/>
      <c r="D975" s="940"/>
      <c r="E975" s="940">
        <v>1</v>
      </c>
      <c r="F975" s="941">
        <f>(11+6.83)*2</f>
        <v>35.659999999999997</v>
      </c>
      <c r="G975" s="942"/>
      <c r="H975" s="942">
        <v>0.33</v>
      </c>
      <c r="I975" s="943"/>
      <c r="J975" s="507"/>
      <c r="K975" s="943"/>
      <c r="L975" s="802"/>
      <c r="M975" s="944"/>
      <c r="N975" s="944"/>
      <c r="O975" s="944"/>
      <c r="P975" s="944"/>
      <c r="Q975" s="944"/>
      <c r="R975" s="944"/>
      <c r="S975" s="944"/>
      <c r="T975" s="944"/>
      <c r="U975" s="944"/>
      <c r="V975" s="944"/>
      <c r="Y975" s="886"/>
      <c r="AB975" s="886"/>
      <c r="AC975" s="886"/>
    </row>
    <row r="976" spans="1:48" s="885" customFormat="1" ht="20" hidden="1" customHeight="1">
      <c r="A976" s="788"/>
      <c r="B976" s="939"/>
      <c r="C976" s="940"/>
      <c r="D976" s="940"/>
      <c r="E976" s="940">
        <v>1</v>
      </c>
      <c r="F976" s="941">
        <f>(4.67+6.83)*2</f>
        <v>23</v>
      </c>
      <c r="G976" s="942"/>
      <c r="H976" s="942">
        <v>0.33</v>
      </c>
      <c r="I976" s="943"/>
      <c r="J976" s="507"/>
      <c r="K976" s="943"/>
      <c r="L976" s="802"/>
      <c r="M976" s="944"/>
      <c r="N976" s="944"/>
      <c r="O976" s="944"/>
      <c r="P976" s="944"/>
      <c r="Q976" s="944"/>
      <c r="R976" s="944"/>
      <c r="S976" s="944"/>
      <c r="T976" s="944"/>
      <c r="U976" s="944"/>
      <c r="V976" s="944"/>
      <c r="Y976" s="886"/>
      <c r="AB976" s="886"/>
      <c r="AC976" s="886"/>
    </row>
    <row r="977" spans="1:48" s="885" customFormat="1" ht="20" hidden="1" customHeight="1">
      <c r="A977" s="788"/>
      <c r="B977" s="939" t="s">
        <v>776</v>
      </c>
      <c r="C977" s="940"/>
      <c r="D977" s="940"/>
      <c r="E977" s="940">
        <v>2</v>
      </c>
      <c r="F977" s="941">
        <f>(4.67+6.83)*2</f>
        <v>23</v>
      </c>
      <c r="G977" s="942"/>
      <c r="H977" s="942">
        <v>0.33</v>
      </c>
      <c r="I977" s="943"/>
      <c r="J977" s="507"/>
      <c r="K977" s="943"/>
      <c r="L977" s="802"/>
      <c r="M977" s="944"/>
      <c r="N977" s="944"/>
      <c r="O977" s="944"/>
      <c r="P977" s="944"/>
      <c r="Q977" s="944"/>
      <c r="R977" s="944"/>
      <c r="S977" s="944"/>
      <c r="T977" s="944"/>
      <c r="U977" s="944"/>
      <c r="V977" s="944"/>
      <c r="Y977" s="886"/>
      <c r="AB977" s="886"/>
      <c r="AC977" s="886"/>
    </row>
    <row r="978" spans="1:48" s="885" customFormat="1" ht="20" hidden="1" customHeight="1">
      <c r="A978" s="788"/>
      <c r="B978" s="939" t="s">
        <v>777</v>
      </c>
      <c r="C978" s="940"/>
      <c r="D978" s="940"/>
      <c r="E978" s="940">
        <v>1</v>
      </c>
      <c r="F978" s="941">
        <f>(11.67+6.83)*2</f>
        <v>37</v>
      </c>
      <c r="G978" s="942"/>
      <c r="H978" s="942">
        <v>0.33</v>
      </c>
      <c r="I978" s="943"/>
      <c r="J978" s="507"/>
      <c r="K978" s="943"/>
      <c r="L978" s="802"/>
      <c r="M978" s="944"/>
      <c r="N978" s="944"/>
      <c r="O978" s="944"/>
      <c r="P978" s="944"/>
      <c r="Q978" s="944"/>
      <c r="R978" s="944"/>
      <c r="S978" s="944"/>
      <c r="T978" s="944"/>
      <c r="U978" s="944"/>
      <c r="V978" s="944"/>
      <c r="Y978" s="886"/>
      <c r="AB978" s="886"/>
      <c r="AC978" s="886"/>
    </row>
    <row r="979" spans="1:48" s="885" customFormat="1" ht="20" hidden="1" customHeight="1">
      <c r="A979" s="788"/>
      <c r="B979" s="939"/>
      <c r="C979" s="940"/>
      <c r="D979" s="940"/>
      <c r="E979" s="940">
        <v>2</v>
      </c>
      <c r="F979" s="941">
        <f>(4.67+6.83)*2</f>
        <v>23</v>
      </c>
      <c r="G979" s="942"/>
      <c r="H979" s="942">
        <v>0.33</v>
      </c>
      <c r="I979" s="943"/>
      <c r="J979" s="507"/>
      <c r="K979" s="943"/>
      <c r="L979" s="802"/>
      <c r="M979" s="944"/>
      <c r="N979" s="944"/>
      <c r="O979" s="944"/>
      <c r="P979" s="944"/>
      <c r="Q979" s="944"/>
      <c r="R979" s="944"/>
      <c r="S979" s="944"/>
      <c r="T979" s="944"/>
      <c r="U979" s="944"/>
      <c r="V979" s="944"/>
      <c r="Y979" s="886"/>
      <c r="AB979" s="886"/>
      <c r="AC979" s="886"/>
    </row>
    <row r="980" spans="1:48" s="390" customFormat="1" ht="22.25" customHeight="1">
      <c r="A980" s="454"/>
      <c r="B980" s="659" t="s">
        <v>43</v>
      </c>
      <c r="C980" s="662"/>
      <c r="D980" s="662"/>
      <c r="E980" s="662"/>
      <c r="F980" s="498"/>
      <c r="G980" s="642"/>
      <c r="H980" s="642"/>
      <c r="I980" s="507"/>
      <c r="J980" s="421"/>
      <c r="K980" s="421"/>
      <c r="L980" s="432"/>
      <c r="M980" s="725"/>
      <c r="N980" s="725"/>
      <c r="O980" s="725"/>
      <c r="P980" s="725"/>
      <c r="Q980" s="618"/>
      <c r="R980" s="618"/>
      <c r="S980" s="618"/>
      <c r="T980" s="618"/>
      <c r="U980" s="618"/>
      <c r="V980" s="641"/>
      <c r="W980" s="641"/>
      <c r="X980" s="641"/>
      <c r="Y980" s="618"/>
      <c r="Z980" s="618"/>
      <c r="AA980" s="618"/>
      <c r="AB980" s="618"/>
      <c r="AC980" s="620"/>
      <c r="AD980" s="620"/>
      <c r="AE980" s="620"/>
      <c r="AF980" s="471" t="e">
        <f>1/AF190</f>
        <v>#DIV/0!</v>
      </c>
      <c r="AG980" s="471">
        <f>AF78*2.8</f>
        <v>2772</v>
      </c>
      <c r="AH980" s="471"/>
      <c r="AI980" s="471"/>
      <c r="AJ980" s="471"/>
      <c r="AK980" s="471"/>
      <c r="AL980" s="471"/>
      <c r="AM980" s="471"/>
      <c r="AN980" s="471"/>
      <c r="AO980" s="471"/>
      <c r="AR980" s="404"/>
      <c r="AU980" s="404"/>
      <c r="AV980" s="404"/>
    </row>
    <row r="981" spans="1:48" s="885" customFormat="1" ht="20" customHeight="1">
      <c r="A981" s="788"/>
      <c r="B981" s="939" t="s">
        <v>793</v>
      </c>
      <c r="C981" s="940"/>
      <c r="D981" s="940"/>
      <c r="E981" s="940">
        <v>10</v>
      </c>
      <c r="F981" s="941">
        <v>2</v>
      </c>
      <c r="G981" s="942"/>
      <c r="H981" s="942">
        <v>6.17</v>
      </c>
      <c r="I981" s="943">
        <f t="shared" ref="I981:I986" si="215">IF(H981=0,1,H981)*IF(G981=0,1,G981)*IF(F981=0,1,F981)*IF(E981=0,1,E981)*IF(D981=0,1,D981)*IF(C981=0,1,C981)</f>
        <v>123.4</v>
      </c>
      <c r="J981" s="943"/>
      <c r="K981" s="943"/>
      <c r="L981" s="802"/>
      <c r="M981" s="944"/>
      <c r="N981" s="944"/>
      <c r="O981" s="944"/>
      <c r="P981" s="944"/>
      <c r="Q981" s="944"/>
      <c r="R981" s="944"/>
      <c r="S981" s="944"/>
      <c r="T981" s="944"/>
      <c r="U981" s="944"/>
      <c r="V981" s="944"/>
      <c r="Y981" s="886"/>
      <c r="AB981" s="886"/>
      <c r="AC981" s="886"/>
    </row>
    <row r="982" spans="1:48" s="885" customFormat="1" ht="20" customHeight="1">
      <c r="A982" s="788"/>
      <c r="B982" s="939" t="s">
        <v>794</v>
      </c>
      <c r="C982" s="940"/>
      <c r="D982" s="940"/>
      <c r="E982" s="940">
        <v>7</v>
      </c>
      <c r="F982" s="941">
        <v>4</v>
      </c>
      <c r="G982" s="942"/>
      <c r="H982" s="942">
        <v>6.17</v>
      </c>
      <c r="I982" s="943">
        <f t="shared" si="215"/>
        <v>172.76</v>
      </c>
      <c r="J982" s="943"/>
      <c r="K982" s="943"/>
      <c r="L982" s="802"/>
      <c r="M982" s="944"/>
      <c r="N982" s="944"/>
      <c r="O982" s="944"/>
      <c r="P982" s="944"/>
      <c r="Q982" s="944"/>
      <c r="R982" s="944"/>
      <c r="S982" s="944"/>
      <c r="T982" s="944"/>
      <c r="U982" s="944"/>
      <c r="V982" s="944"/>
      <c r="Y982" s="886"/>
      <c r="AB982" s="886"/>
      <c r="AC982" s="886"/>
    </row>
    <row r="983" spans="1:48" s="885" customFormat="1" ht="20" customHeight="1">
      <c r="A983" s="788"/>
      <c r="B983" s="939" t="s">
        <v>795</v>
      </c>
      <c r="C983" s="940"/>
      <c r="D983" s="940"/>
      <c r="E983" s="940">
        <v>3</v>
      </c>
      <c r="F983" s="941">
        <v>2.25</v>
      </c>
      <c r="G983" s="942"/>
      <c r="H983" s="942">
        <v>2</v>
      </c>
      <c r="I983" s="943">
        <f>IF(H983=0,1,H983)*IF(G983=0,1,G983)*IF(F983=0,1,F983)*IF(E983=0,1,E983)*IF(D983=0,1,D983)*IF(C983=0,1,C983)</f>
        <v>13.5</v>
      </c>
      <c r="J983" s="943"/>
      <c r="K983" s="943"/>
      <c r="L983" s="802"/>
      <c r="M983" s="944"/>
      <c r="N983" s="944"/>
      <c r="O983" s="944"/>
      <c r="P983" s="944"/>
      <c r="Q983" s="944"/>
      <c r="R983" s="944"/>
      <c r="S983" s="944"/>
      <c r="T983" s="944"/>
      <c r="U983" s="944"/>
      <c r="V983" s="944"/>
      <c r="Y983" s="886"/>
      <c r="AB983" s="886"/>
      <c r="AC983" s="886"/>
    </row>
    <row r="984" spans="1:48" s="885" customFormat="1" ht="20" customHeight="1">
      <c r="A984" s="788"/>
      <c r="B984" s="939" t="s">
        <v>779</v>
      </c>
      <c r="C984" s="940"/>
      <c r="D984" s="940"/>
      <c r="E984" s="940">
        <v>2</v>
      </c>
      <c r="F984" s="941">
        <v>5</v>
      </c>
      <c r="G984" s="942"/>
      <c r="H984" s="942">
        <v>8.92</v>
      </c>
      <c r="I984" s="943">
        <f t="shared" si="215"/>
        <v>89.2</v>
      </c>
      <c r="J984" s="943"/>
      <c r="K984" s="943"/>
      <c r="L984" s="802"/>
      <c r="M984" s="944"/>
      <c r="N984" s="944"/>
      <c r="O984" s="944"/>
      <c r="P984" s="944"/>
      <c r="Q984" s="944"/>
      <c r="R984" s="944"/>
      <c r="S984" s="944"/>
      <c r="T984" s="944"/>
      <c r="U984" s="944"/>
      <c r="V984" s="944"/>
      <c r="Y984" s="886"/>
      <c r="AB984" s="886"/>
      <c r="AC984" s="886"/>
    </row>
    <row r="985" spans="1:48" s="885" customFormat="1" ht="20" customHeight="1">
      <c r="A985" s="788"/>
      <c r="B985" s="939" t="s">
        <v>780</v>
      </c>
      <c r="C985" s="940"/>
      <c r="D985" s="940"/>
      <c r="E985" s="940">
        <v>4</v>
      </c>
      <c r="F985" s="941">
        <v>3.33</v>
      </c>
      <c r="G985" s="942"/>
      <c r="H985" s="942">
        <v>7.17</v>
      </c>
      <c r="I985" s="943">
        <f>IF(H985=0,1,H985)*IF(G985=0,1,G985)*IF(F985=0,1,F985)*IF(E985=0,1,E985)*IF(D985=0,1,D985)*IF(C985=0,1,C985)</f>
        <v>95.504400000000004</v>
      </c>
      <c r="J985" s="943"/>
      <c r="K985" s="943"/>
      <c r="L985" s="802"/>
      <c r="M985" s="944"/>
      <c r="N985" s="944"/>
      <c r="O985" s="944"/>
      <c r="P985" s="944"/>
      <c r="Q985" s="944"/>
      <c r="R985" s="944"/>
      <c r="S985" s="944"/>
      <c r="T985" s="944"/>
      <c r="U985" s="944"/>
      <c r="V985" s="944"/>
      <c r="Y985" s="886"/>
      <c r="AB985" s="886"/>
      <c r="AC985" s="886"/>
    </row>
    <row r="986" spans="1:48" s="885" customFormat="1" ht="20" customHeight="1">
      <c r="A986" s="788"/>
      <c r="B986" s="939" t="s">
        <v>781</v>
      </c>
      <c r="C986" s="940"/>
      <c r="D986" s="940"/>
      <c r="E986" s="940">
        <v>4</v>
      </c>
      <c r="F986" s="941">
        <v>2.5</v>
      </c>
      <c r="G986" s="942"/>
      <c r="H986" s="942">
        <v>6.5</v>
      </c>
      <c r="I986" s="943">
        <f t="shared" si="215"/>
        <v>65</v>
      </c>
      <c r="J986" s="943"/>
      <c r="K986" s="943"/>
      <c r="L986" s="802"/>
      <c r="M986" s="944"/>
      <c r="N986" s="944"/>
      <c r="O986" s="944"/>
      <c r="P986" s="944"/>
      <c r="Q986" s="944"/>
      <c r="R986" s="944"/>
      <c r="S986" s="944"/>
      <c r="T986" s="944"/>
      <c r="U986" s="944"/>
      <c r="V986" s="944"/>
      <c r="Y986" s="886"/>
      <c r="AB986" s="886"/>
      <c r="AC986" s="886"/>
    </row>
    <row r="987" spans="1:48" s="390" customFormat="1" ht="22.25" customHeight="1">
      <c r="A987" s="454"/>
      <c r="B987" s="660"/>
      <c r="C987" s="662"/>
      <c r="D987" s="662"/>
      <c r="E987" s="662"/>
      <c r="F987" s="498"/>
      <c r="G987" s="642"/>
      <c r="H987" s="642"/>
      <c r="I987" s="507" t="str">
        <f>B960</f>
        <v>Ground Floor</v>
      </c>
      <c r="J987" s="421"/>
      <c r="K987" s="421">
        <f>SUM(J960:J987)-SUM(I960:I987)</f>
        <v>3458.2856000000002</v>
      </c>
      <c r="L987" s="432"/>
      <c r="M987" s="725"/>
      <c r="N987" s="725"/>
      <c r="O987" s="725"/>
      <c r="P987" s="725"/>
      <c r="Q987" s="618"/>
      <c r="R987" s="618"/>
      <c r="S987" s="618"/>
      <c r="T987" s="618"/>
      <c r="U987" s="618"/>
      <c r="V987" s="641"/>
      <c r="W987" s="641"/>
      <c r="X987" s="641"/>
      <c r="Y987" s="618"/>
      <c r="Z987" s="618"/>
      <c r="AA987" s="618"/>
      <c r="AB987" s="618"/>
      <c r="AC987" s="620"/>
      <c r="AD987" s="620"/>
      <c r="AE987" s="620"/>
      <c r="AF987" s="471"/>
      <c r="AG987" s="473"/>
      <c r="AH987" s="471"/>
      <c r="AI987" s="471"/>
      <c r="AJ987" s="471"/>
      <c r="AM987" s="404"/>
      <c r="AP987" s="404"/>
      <c r="AQ987" s="404"/>
    </row>
    <row r="988" spans="1:48" s="390" customFormat="1" ht="22.25" customHeight="1" thickBot="1">
      <c r="A988" s="454"/>
      <c r="B988" s="655"/>
      <c r="C988" s="662"/>
      <c r="D988" s="663"/>
      <c r="E988" s="663"/>
      <c r="F988" s="512"/>
      <c r="G988" s="644"/>
      <c r="H988" s="649"/>
      <c r="I988" s="513"/>
      <c r="J988" s="1002"/>
      <c r="K988" s="587">
        <f>SUM(K958:K987)</f>
        <v>3458.2856000000002</v>
      </c>
      <c r="L988" s="1003" t="s">
        <v>45</v>
      </c>
      <c r="M988" s="723"/>
      <c r="N988" s="723"/>
      <c r="O988" s="723"/>
      <c r="P988" s="723"/>
      <c r="Q988" s="618"/>
      <c r="R988" s="618"/>
      <c r="S988" s="618"/>
      <c r="T988" s="618"/>
      <c r="U988" s="618"/>
      <c r="V988" s="641"/>
      <c r="W988" s="641"/>
      <c r="X988" s="641"/>
      <c r="Y988" s="618"/>
      <c r="Z988" s="618"/>
      <c r="AA988" s="618"/>
      <c r="AB988" s="618"/>
      <c r="AC988" s="620"/>
      <c r="AD988" s="620"/>
      <c r="AE988" s="620"/>
      <c r="AF988" s="471"/>
      <c r="AG988" s="473"/>
      <c r="AH988" s="471"/>
      <c r="AI988" s="471"/>
      <c r="AJ988" s="471"/>
      <c r="AM988" s="404"/>
      <c r="AP988" s="404"/>
      <c r="AQ988" s="404"/>
    </row>
    <row r="989" spans="1:48" s="390" customFormat="1" ht="22.25" customHeight="1" thickBot="1">
      <c r="A989" s="454"/>
      <c r="B989" s="655"/>
      <c r="C989" s="662"/>
      <c r="D989" s="663"/>
      <c r="E989" s="663"/>
      <c r="F989" s="512"/>
      <c r="G989" s="644"/>
      <c r="H989" s="649"/>
      <c r="I989" s="501"/>
      <c r="J989" s="507"/>
      <c r="K989" s="502">
        <f>K988/100</f>
        <v>34.582856</v>
      </c>
      <c r="L989" s="503" t="s">
        <v>315</v>
      </c>
      <c r="M989" s="723"/>
      <c r="N989" s="723"/>
      <c r="O989" s="723"/>
      <c r="P989" s="723"/>
      <c r="Q989" s="618"/>
      <c r="R989" s="618"/>
      <c r="S989" s="618"/>
      <c r="T989" s="618"/>
      <c r="U989" s="618"/>
      <c r="V989" s="641"/>
      <c r="W989" s="641"/>
      <c r="X989" s="641"/>
      <c r="Y989" s="618"/>
      <c r="Z989" s="618"/>
      <c r="AA989" s="618"/>
      <c r="AB989" s="618"/>
      <c r="AC989" s="620"/>
      <c r="AD989" s="620"/>
      <c r="AE989" s="620"/>
      <c r="AF989" s="471"/>
      <c r="AG989" s="473"/>
      <c r="AH989" s="471"/>
      <c r="AI989" s="471"/>
      <c r="AJ989" s="471"/>
      <c r="AM989" s="404"/>
      <c r="AP989" s="404"/>
      <c r="AQ989" s="404"/>
    </row>
    <row r="990" spans="1:48" s="390" customFormat="1" ht="22.25" customHeight="1" thickTop="1">
      <c r="B990" s="655"/>
      <c r="C990" s="662"/>
      <c r="D990" s="662"/>
      <c r="E990" s="662"/>
      <c r="F990" s="504"/>
      <c r="G990" s="643"/>
      <c r="H990" s="648"/>
      <c r="I990" s="501"/>
      <c r="J990" s="455"/>
      <c r="K990" s="455"/>
      <c r="L990" s="457"/>
      <c r="M990" s="725"/>
      <c r="N990" s="725"/>
      <c r="O990" s="725"/>
      <c r="P990" s="725"/>
      <c r="Q990" s="618"/>
      <c r="R990" s="618"/>
      <c r="S990" s="618"/>
      <c r="T990" s="618"/>
      <c r="U990" s="618"/>
      <c r="V990" s="641"/>
      <c r="W990" s="641"/>
      <c r="X990" s="641"/>
      <c r="Y990" s="618"/>
      <c r="Z990" s="618"/>
      <c r="AA990" s="618"/>
      <c r="AB990" s="618"/>
      <c r="AC990" s="620"/>
      <c r="AD990" s="620"/>
      <c r="AE990" s="620"/>
      <c r="AF990" s="471"/>
      <c r="AG990" s="473"/>
      <c r="AH990" s="471"/>
      <c r="AI990" s="471"/>
      <c r="AJ990" s="471"/>
      <c r="AM990" s="404"/>
      <c r="AP990" s="404"/>
      <c r="AQ990" s="404"/>
    </row>
    <row r="991" spans="1:48" s="423" customFormat="1" ht="22.25" customHeight="1">
      <c r="A991" s="454">
        <v>15</v>
      </c>
      <c r="B991" s="649" t="s">
        <v>566</v>
      </c>
      <c r="C991" s="662"/>
      <c r="D991" s="662"/>
      <c r="E991" s="662"/>
      <c r="F991" s="504"/>
      <c r="G991" s="643"/>
      <c r="H991" s="648"/>
      <c r="I991" s="501"/>
      <c r="J991" s="421"/>
      <c r="K991" s="421"/>
      <c r="L991" s="432"/>
      <c r="M991" s="725"/>
      <c r="N991" s="725"/>
      <c r="O991" s="725"/>
      <c r="P991" s="725"/>
      <c r="Q991" s="618"/>
      <c r="R991" s="618"/>
      <c r="S991" s="618"/>
      <c r="T991" s="618"/>
      <c r="U991" s="618"/>
      <c r="V991" s="641"/>
      <c r="W991" s="641"/>
      <c r="X991" s="641"/>
      <c r="Y991" s="618"/>
      <c r="Z991" s="618"/>
      <c r="AA991" s="618"/>
      <c r="AB991" s="618"/>
      <c r="AC991" s="620"/>
      <c r="AD991" s="620"/>
      <c r="AE991" s="620"/>
      <c r="AF991" s="472"/>
      <c r="AG991" s="472"/>
      <c r="AH991" s="472"/>
      <c r="AI991" s="472"/>
      <c r="AJ991" s="472"/>
      <c r="AK991" s="472"/>
      <c r="AL991" s="472"/>
      <c r="AM991" s="472"/>
      <c r="AN991" s="472"/>
      <c r="AO991" s="472"/>
      <c r="AR991" s="427"/>
      <c r="AU991" s="427"/>
      <c r="AV991" s="427"/>
    </row>
    <row r="992" spans="1:48" s="1006" customFormat="1" ht="22.25" customHeight="1">
      <c r="A992" s="788"/>
      <c r="B992" s="1004" t="s">
        <v>151</v>
      </c>
      <c r="C992" s="940"/>
      <c r="D992" s="940"/>
      <c r="E992" s="940">
        <v>2</v>
      </c>
      <c r="F992" s="941">
        <f>K987</f>
        <v>3458.2856000000002</v>
      </c>
      <c r="G992" s="942"/>
      <c r="H992" s="939"/>
      <c r="I992" s="1005"/>
      <c r="J992" s="943">
        <f>IF(I992=0,1,I992)*IF(H992=0,1,H992)*IF(G992=0,1,G992)*IF(F992=0,1,F992)*IF(E992=0,1,E992)*IF(D992=0,1,D992)*IF(C992=0,1,C992)</f>
        <v>6916.5712000000003</v>
      </c>
      <c r="K992" s="943"/>
      <c r="L992" s="802"/>
      <c r="M992" s="971"/>
      <c r="N992" s="971"/>
      <c r="O992" s="971"/>
      <c r="P992" s="971"/>
      <c r="Q992" s="618"/>
      <c r="R992" s="618"/>
      <c r="S992" s="618"/>
      <c r="T992" s="618"/>
      <c r="U992" s="618"/>
      <c r="V992" s="641"/>
      <c r="W992" s="641"/>
      <c r="X992" s="641"/>
      <c r="Y992" s="618"/>
      <c r="Z992" s="618"/>
      <c r="AA992" s="618"/>
      <c r="AB992" s="618"/>
      <c r="AC992" s="620"/>
      <c r="AD992" s="620"/>
      <c r="AE992" s="620"/>
      <c r="AF992" s="966"/>
      <c r="AG992" s="966"/>
      <c r="AH992" s="966"/>
      <c r="AI992" s="966"/>
      <c r="AJ992" s="966"/>
      <c r="AK992" s="966"/>
      <c r="AL992" s="966"/>
      <c r="AM992" s="966"/>
      <c r="AN992" s="966"/>
      <c r="AO992" s="966"/>
      <c r="AR992" s="1007"/>
      <c r="AU992" s="1007"/>
      <c r="AV992" s="1007"/>
    </row>
    <row r="993" spans="1:48" s="423" customFormat="1" ht="22.25" customHeight="1">
      <c r="A993" s="454"/>
      <c r="B993" s="660"/>
      <c r="C993" s="662"/>
      <c r="D993" s="662"/>
      <c r="E993" s="662">
        <v>1</v>
      </c>
      <c r="F993" s="498">
        <f>(35+45+5)*2</f>
        <v>170</v>
      </c>
      <c r="G993" s="642"/>
      <c r="H993" s="642">
        <v>3.5</v>
      </c>
      <c r="I993" s="501"/>
      <c r="J993" s="507">
        <f>IF(I993=0,1,I993)*IF(H993=0,1,H993)*IF(G993=0,1,G993)*IF(F993=0,1,F993)*IF(E993=0,1,E993)*IF(D993=0,1,D993)*IF(C993=0,1,C993)</f>
        <v>595</v>
      </c>
      <c r="K993" s="507"/>
      <c r="L993" s="432"/>
      <c r="M993" s="725"/>
      <c r="N993" s="725"/>
      <c r="O993" s="725"/>
      <c r="P993" s="725"/>
      <c r="Q993" s="618"/>
      <c r="R993" s="618"/>
      <c r="S993" s="618"/>
      <c r="T993" s="618"/>
      <c r="U993" s="618"/>
      <c r="V993" s="641"/>
      <c r="W993" s="641"/>
      <c r="X993" s="641"/>
      <c r="Y993" s="618"/>
      <c r="Z993" s="618"/>
      <c r="AA993" s="618"/>
      <c r="AB993" s="618"/>
      <c r="AC993" s="620"/>
      <c r="AD993" s="620"/>
      <c r="AE993" s="620"/>
      <c r="AF993" s="472"/>
      <c r="AG993" s="472"/>
      <c r="AH993" s="472"/>
      <c r="AI993" s="472"/>
      <c r="AJ993" s="472"/>
      <c r="AK993" s="472"/>
      <c r="AL993" s="472"/>
      <c r="AM993" s="472"/>
      <c r="AN993" s="472"/>
      <c r="AO993" s="472"/>
      <c r="AR993" s="427"/>
      <c r="AU993" s="427"/>
      <c r="AV993" s="427"/>
    </row>
    <row r="994" spans="1:48" s="423" customFormat="1" ht="22.25" customHeight="1">
      <c r="A994" s="454"/>
      <c r="B994" s="660" t="s">
        <v>694</v>
      </c>
      <c r="C994" s="662">
        <v>2</v>
      </c>
      <c r="D994" s="662">
        <v>2</v>
      </c>
      <c r="E994" s="662">
        <v>2</v>
      </c>
      <c r="F994" s="498">
        <f>5-0.83</f>
        <v>4.17</v>
      </c>
      <c r="G994" s="642"/>
      <c r="H994" s="642">
        <v>3</v>
      </c>
      <c r="I994" s="501"/>
      <c r="J994" s="507">
        <f>IF(I994=0,1,I994)*IF(H994=0,1,H994)*IF(G994=0,1,G994)*IF(F994=0,1,F994)*IF(E994=0,1,E994)*IF(D994=0,1,D994)*IF(C994=0,1,C994)</f>
        <v>100.08</v>
      </c>
      <c r="K994" s="507"/>
      <c r="L994" s="432"/>
      <c r="M994" s="725"/>
      <c r="N994" s="725"/>
      <c r="O994" s="725"/>
      <c r="P994" s="725"/>
      <c r="Q994" s="618"/>
      <c r="R994" s="618"/>
      <c r="S994" s="618"/>
      <c r="T994" s="618"/>
      <c r="U994" s="618"/>
      <c r="V994" s="641"/>
      <c r="W994" s="641"/>
      <c r="X994" s="641"/>
      <c r="Y994" s="618"/>
      <c r="Z994" s="618"/>
      <c r="AA994" s="618"/>
      <c r="AB994" s="618"/>
      <c r="AC994" s="620"/>
      <c r="AD994" s="620"/>
      <c r="AE994" s="620"/>
      <c r="AF994" s="472"/>
      <c r="AG994" s="472"/>
      <c r="AH994" s="472"/>
      <c r="AI994" s="472"/>
      <c r="AJ994" s="472"/>
      <c r="AK994" s="472"/>
      <c r="AL994" s="472"/>
      <c r="AM994" s="472"/>
      <c r="AN994" s="472"/>
      <c r="AO994" s="472"/>
      <c r="AR994" s="427"/>
      <c r="AU994" s="427"/>
      <c r="AV994" s="427"/>
    </row>
    <row r="995" spans="1:48" s="390" customFormat="1" ht="22.25" customHeight="1">
      <c r="A995" s="454"/>
      <c r="B995" s="659" t="s">
        <v>350</v>
      </c>
      <c r="C995" s="662"/>
      <c r="D995" s="662"/>
      <c r="E995" s="662"/>
      <c r="F995" s="498"/>
      <c r="G995" s="642"/>
      <c r="H995" s="642"/>
      <c r="I995" s="501"/>
      <c r="J995" s="507"/>
      <c r="K995" s="507"/>
      <c r="L995" s="432"/>
      <c r="M995" s="725"/>
      <c r="N995" s="725"/>
      <c r="O995" s="725"/>
      <c r="P995" s="725"/>
      <c r="Q995" s="618"/>
      <c r="R995" s="618"/>
      <c r="S995" s="618"/>
      <c r="T995" s="618"/>
      <c r="U995" s="618"/>
      <c r="V995" s="641"/>
      <c r="W995" s="641"/>
      <c r="X995" s="641"/>
      <c r="Y995" s="618"/>
      <c r="Z995" s="618"/>
      <c r="AA995" s="618"/>
      <c r="AB995" s="618"/>
      <c r="AC995" s="620"/>
      <c r="AD995" s="620"/>
      <c r="AE995" s="620"/>
      <c r="AF995" s="471"/>
      <c r="AG995" s="473"/>
      <c r="AH995" s="471"/>
      <c r="AI995" s="471"/>
      <c r="AJ995" s="471"/>
      <c r="AM995" s="404"/>
      <c r="AP995" s="404"/>
      <c r="AQ995" s="404"/>
    </row>
    <row r="996" spans="1:48" s="423" customFormat="1" ht="22.25" customHeight="1">
      <c r="A996" s="454"/>
      <c r="B996" s="657" t="s">
        <v>360</v>
      </c>
      <c r="C996" s="662"/>
      <c r="D996" s="662"/>
      <c r="E996" s="662">
        <v>3</v>
      </c>
      <c r="F996" s="642">
        <v>6</v>
      </c>
      <c r="G996" s="501">
        <v>1</v>
      </c>
      <c r="H996" s="501"/>
      <c r="I996" s="501"/>
      <c r="J996" s="507">
        <f>IF(I996=0,1,I996)*IF(H996=0,1,H996)*IF(G996=0,1,G996)*IF(F996=0,1,F996)*IF(E996=0,1,E996)*IF(D996=0,1,D996)*IF(C996=0,1,C996)</f>
        <v>18</v>
      </c>
      <c r="K996" s="421"/>
      <c r="L996" s="432"/>
      <c r="M996" s="725">
        <f>9.5/12</f>
        <v>0.79166666666666663</v>
      </c>
      <c r="N996" s="725"/>
      <c r="O996" s="725"/>
      <c r="P996" s="725"/>
      <c r="Q996" s="618"/>
      <c r="R996" s="618"/>
      <c r="S996" s="618"/>
      <c r="T996" s="618"/>
      <c r="U996" s="618"/>
      <c r="V996" s="641"/>
      <c r="W996" s="641"/>
      <c r="X996" s="641"/>
      <c r="Y996" s="618"/>
      <c r="Z996" s="618"/>
      <c r="AA996" s="618"/>
      <c r="AB996" s="618"/>
      <c r="AC996" s="620"/>
      <c r="AD996" s="620"/>
      <c r="AE996" s="620"/>
      <c r="AF996" s="472"/>
      <c r="AG996" s="472"/>
      <c r="AH996" s="472"/>
      <c r="AI996" s="472"/>
      <c r="AJ996" s="472"/>
      <c r="AK996" s="472"/>
      <c r="AL996" s="472"/>
      <c r="AM996" s="472"/>
      <c r="AN996" s="472"/>
      <c r="AO996" s="472"/>
      <c r="AR996" s="427"/>
      <c r="AU996" s="427"/>
      <c r="AV996" s="427"/>
    </row>
    <row r="997" spans="1:48" s="390" customFormat="1" ht="22.25" customHeight="1">
      <c r="A997" s="454"/>
      <c r="B997" s="657" t="s">
        <v>361</v>
      </c>
      <c r="C997" s="662"/>
      <c r="D997" s="662"/>
      <c r="E997" s="662">
        <v>3</v>
      </c>
      <c r="F997" s="642">
        <f>F996</f>
        <v>6</v>
      </c>
      <c r="G997" s="501"/>
      <c r="H997" s="501">
        <v>0.5</v>
      </c>
      <c r="I997" s="501"/>
      <c r="J997" s="507">
        <f>IF(I997=0,1,I997)*IF(H997=0,1,H997)*IF(G997=0,1,G997)*IF(F997=0,1,F997)*IF(E997=0,1,E997)*IF(D997=0,1,D997)*IF(C997=0,1,C997)</f>
        <v>9</v>
      </c>
      <c r="K997" s="421"/>
      <c r="L997" s="432"/>
      <c r="M997" s="725"/>
      <c r="N997" s="725"/>
      <c r="O997" s="725"/>
      <c r="P997" s="725"/>
      <c r="Q997" s="618"/>
      <c r="R997" s="618"/>
      <c r="S997" s="618"/>
      <c r="T997" s="618"/>
      <c r="U997" s="618"/>
      <c r="V997" s="641"/>
      <c r="W997" s="641"/>
      <c r="X997" s="641"/>
      <c r="Y997" s="618"/>
      <c r="Z997" s="618"/>
      <c r="AA997" s="618"/>
      <c r="AB997" s="618"/>
      <c r="AC997" s="620"/>
      <c r="AD997" s="620"/>
      <c r="AE997" s="620"/>
      <c r="AF997" s="472"/>
      <c r="AG997" s="472"/>
      <c r="AH997" s="472"/>
      <c r="AI997" s="472"/>
      <c r="AJ997" s="472"/>
      <c r="AK997" s="472"/>
      <c r="AL997" s="472"/>
      <c r="AM997" s="472"/>
      <c r="AN997" s="471"/>
      <c r="AO997" s="471"/>
      <c r="AR997" s="404"/>
      <c r="AU997" s="404"/>
      <c r="AV997" s="404"/>
    </row>
    <row r="998" spans="1:48" s="390" customFormat="1" ht="22.25" customHeight="1">
      <c r="A998" s="454"/>
      <c r="B998" s="659" t="s">
        <v>778</v>
      </c>
      <c r="C998" s="662"/>
      <c r="D998" s="662"/>
      <c r="E998" s="662"/>
      <c r="F998" s="498"/>
      <c r="G998" s="642"/>
      <c r="H998" s="642"/>
      <c r="I998" s="501"/>
      <c r="J998" s="507"/>
      <c r="K998" s="507"/>
      <c r="L998" s="432"/>
      <c r="M998" s="725"/>
      <c r="N998" s="725"/>
      <c r="O998" s="725"/>
      <c r="P998" s="725"/>
      <c r="Q998" s="618"/>
      <c r="R998" s="618"/>
      <c r="S998" s="618"/>
      <c r="T998" s="618"/>
      <c r="U998" s="618"/>
      <c r="V998" s="641"/>
      <c r="W998" s="641"/>
      <c r="X998" s="641"/>
      <c r="Y998" s="618"/>
      <c r="Z998" s="618"/>
      <c r="AA998" s="618"/>
      <c r="AB998" s="618"/>
      <c r="AC998" s="620"/>
      <c r="AD998" s="620"/>
      <c r="AE998" s="620"/>
      <c r="AF998" s="471"/>
      <c r="AG998" s="473"/>
      <c r="AH998" s="471"/>
      <c r="AI998" s="471"/>
      <c r="AJ998" s="471"/>
      <c r="AM998" s="404"/>
      <c r="AP998" s="404"/>
      <c r="AQ998" s="404"/>
    </row>
    <row r="999" spans="1:48" s="423" customFormat="1" ht="22.25" customHeight="1">
      <c r="A999" s="454"/>
      <c r="B999" s="657" t="s">
        <v>360</v>
      </c>
      <c r="C999" s="662"/>
      <c r="D999" s="662"/>
      <c r="E999" s="662">
        <v>3</v>
      </c>
      <c r="F999" s="642">
        <v>5</v>
      </c>
      <c r="G999" s="501">
        <v>1</v>
      </c>
      <c r="H999" s="501"/>
      <c r="I999" s="501"/>
      <c r="J999" s="507">
        <f>IF(I999=0,1,I999)*IF(H999=0,1,H999)*IF(G999=0,1,G999)*IF(F999=0,1,F999)*IF(E999=0,1,E999)*IF(D999=0,1,D999)*IF(C999=0,1,C999)</f>
        <v>15</v>
      </c>
      <c r="K999" s="421"/>
      <c r="L999" s="432"/>
      <c r="M999" s="725">
        <f>9.5/12</f>
        <v>0.79166666666666663</v>
      </c>
      <c r="N999" s="725"/>
      <c r="O999" s="725"/>
      <c r="P999" s="725"/>
      <c r="Q999" s="618"/>
      <c r="R999" s="618"/>
      <c r="S999" s="618"/>
      <c r="T999" s="618"/>
      <c r="U999" s="618"/>
      <c r="V999" s="641"/>
      <c r="W999" s="641"/>
      <c r="X999" s="641"/>
      <c r="Y999" s="618"/>
      <c r="Z999" s="618"/>
      <c r="AA999" s="618"/>
      <c r="AB999" s="618"/>
      <c r="AC999" s="620"/>
      <c r="AD999" s="620"/>
      <c r="AE999" s="620"/>
      <c r="AF999" s="472"/>
      <c r="AG999" s="472"/>
      <c r="AH999" s="472"/>
      <c r="AI999" s="472"/>
      <c r="AJ999" s="472"/>
      <c r="AK999" s="472"/>
      <c r="AL999" s="472"/>
      <c r="AM999" s="472"/>
      <c r="AN999" s="472"/>
      <c r="AO999" s="472"/>
      <c r="AR999" s="427"/>
      <c r="AU999" s="427"/>
      <c r="AV999" s="427"/>
    </row>
    <row r="1000" spans="1:48" s="390" customFormat="1" ht="22.25" customHeight="1">
      <c r="A1000" s="454"/>
      <c r="B1000" s="657" t="s">
        <v>361</v>
      </c>
      <c r="C1000" s="662"/>
      <c r="D1000" s="662"/>
      <c r="E1000" s="662">
        <v>3</v>
      </c>
      <c r="F1000" s="642">
        <f>F999</f>
        <v>5</v>
      </c>
      <c r="G1000" s="501"/>
      <c r="H1000" s="501">
        <v>0.5</v>
      </c>
      <c r="I1000" s="501"/>
      <c r="J1000" s="507">
        <f>IF(I1000=0,1,I1000)*IF(H1000=0,1,H1000)*IF(G1000=0,1,G1000)*IF(F1000=0,1,F1000)*IF(E1000=0,1,E1000)*IF(D1000=0,1,D1000)*IF(C1000=0,1,C1000)</f>
        <v>7.5</v>
      </c>
      <c r="K1000" s="455">
        <f>SUM(J991:J1000)</f>
        <v>7661.1512000000002</v>
      </c>
      <c r="L1000" s="432"/>
      <c r="M1000" s="725"/>
      <c r="N1000" s="725"/>
      <c r="O1000" s="725"/>
      <c r="P1000" s="725"/>
      <c r="Q1000" s="618"/>
      <c r="R1000" s="618"/>
      <c r="S1000" s="618"/>
      <c r="T1000" s="618"/>
      <c r="U1000" s="618"/>
      <c r="V1000" s="641"/>
      <c r="W1000" s="641"/>
      <c r="X1000" s="641"/>
      <c r="Y1000" s="618"/>
      <c r="Z1000" s="618"/>
      <c r="AA1000" s="618"/>
      <c r="AB1000" s="618"/>
      <c r="AC1000" s="620"/>
      <c r="AD1000" s="620"/>
      <c r="AE1000" s="620"/>
      <c r="AF1000" s="472"/>
      <c r="AG1000" s="472"/>
      <c r="AH1000" s="472"/>
      <c r="AI1000" s="472"/>
      <c r="AJ1000" s="472"/>
      <c r="AK1000" s="472"/>
      <c r="AL1000" s="472"/>
      <c r="AM1000" s="472"/>
      <c r="AN1000" s="471"/>
      <c r="AO1000" s="471"/>
      <c r="AR1000" s="404"/>
      <c r="AU1000" s="404"/>
      <c r="AV1000" s="404"/>
    </row>
    <row r="1001" spans="1:48" s="1006" customFormat="1" ht="22.25" customHeight="1">
      <c r="A1001" s="788"/>
      <c r="B1001" s="1004" t="s">
        <v>623</v>
      </c>
      <c r="C1001" s="940"/>
      <c r="D1001" s="940"/>
      <c r="E1001" s="940"/>
      <c r="F1001" s="941"/>
      <c r="G1001" s="942"/>
      <c r="H1001" s="939"/>
      <c r="I1001" s="1005"/>
      <c r="J1001" s="970"/>
      <c r="K1001" s="970"/>
      <c r="L1001" s="802"/>
      <c r="M1001" s="971"/>
      <c r="N1001" s="971"/>
      <c r="O1001" s="971"/>
      <c r="P1001" s="971"/>
      <c r="Q1001" s="618"/>
      <c r="R1001" s="618"/>
      <c r="S1001" s="618"/>
      <c r="T1001" s="618"/>
      <c r="U1001" s="618"/>
      <c r="V1001" s="641"/>
      <c r="W1001" s="641"/>
      <c r="X1001" s="641"/>
      <c r="Y1001" s="618"/>
      <c r="Z1001" s="618"/>
      <c r="AA1001" s="618"/>
      <c r="AB1001" s="618"/>
      <c r="AC1001" s="620"/>
      <c r="AD1001" s="620"/>
      <c r="AE1001" s="620"/>
      <c r="AF1001" s="966"/>
      <c r="AG1001" s="966"/>
      <c r="AH1001" s="966"/>
      <c r="AI1001" s="966"/>
      <c r="AJ1001" s="966"/>
      <c r="AK1001" s="966"/>
      <c r="AL1001" s="966"/>
      <c r="AM1001" s="966"/>
      <c r="AN1001" s="966"/>
      <c r="AO1001" s="966"/>
      <c r="AR1001" s="1007"/>
      <c r="AU1001" s="1007"/>
      <c r="AV1001" s="1007"/>
    </row>
    <row r="1002" spans="1:48" s="1006" customFormat="1" ht="22.25" customHeight="1">
      <c r="A1002" s="788"/>
      <c r="B1002" s="939" t="s">
        <v>355</v>
      </c>
      <c r="C1002" s="940"/>
      <c r="D1002" s="940"/>
      <c r="E1002" s="940">
        <f>E289</f>
        <v>23</v>
      </c>
      <c r="F1002" s="941">
        <f>1*2</f>
        <v>2</v>
      </c>
      <c r="G1002" s="942"/>
      <c r="H1002" s="939">
        <f>13</f>
        <v>13</v>
      </c>
      <c r="I1002" s="1005"/>
      <c r="J1002" s="943">
        <f>IF(I1002=0,1,I1002)*IF(H1002=0,1,H1002)*IF(G1002=0,1,G1002)*IF(F1002=0,1,F1002)*IF(E1002=0,1,E1002)*IF(D1002=0,1,D1002)*IF(C1002=0,1,C1002)</f>
        <v>598</v>
      </c>
      <c r="K1002" s="970"/>
      <c r="L1002" s="802"/>
      <c r="M1002" s="971"/>
      <c r="N1002" s="971"/>
      <c r="O1002" s="971"/>
      <c r="P1002" s="971"/>
      <c r="Q1002" s="618"/>
      <c r="R1002" s="618"/>
      <c r="S1002" s="618"/>
      <c r="T1002" s="618"/>
      <c r="U1002" s="618"/>
      <c r="V1002" s="641"/>
      <c r="W1002" s="641"/>
      <c r="X1002" s="641"/>
      <c r="Y1002" s="618"/>
      <c r="Z1002" s="618"/>
      <c r="AA1002" s="618"/>
      <c r="AB1002" s="618"/>
      <c r="AC1002" s="620"/>
      <c r="AD1002" s="620"/>
      <c r="AE1002" s="620"/>
      <c r="AF1002" s="966"/>
      <c r="AG1002" s="966"/>
      <c r="AH1002" s="966"/>
      <c r="AI1002" s="966"/>
      <c r="AJ1002" s="966"/>
      <c r="AK1002" s="966"/>
      <c r="AL1002" s="966"/>
      <c r="AM1002" s="966"/>
      <c r="AN1002" s="966"/>
      <c r="AO1002" s="966"/>
      <c r="AR1002" s="1007"/>
      <c r="AU1002" s="1007"/>
      <c r="AV1002" s="1007"/>
    </row>
    <row r="1003" spans="1:48" s="1006" customFormat="1" ht="22.25" customHeight="1">
      <c r="A1003" s="788"/>
      <c r="B1003" s="939" t="s">
        <v>108</v>
      </c>
      <c r="C1003" s="940"/>
      <c r="D1003" s="1008">
        <v>0.5</v>
      </c>
      <c r="E1003" s="940">
        <v>1</v>
      </c>
      <c r="F1003" s="941">
        <f>F909</f>
        <v>35</v>
      </c>
      <c r="G1003" s="942">
        <f>G909</f>
        <v>45</v>
      </c>
      <c r="H1003" s="939"/>
      <c r="I1003" s="1005"/>
      <c r="J1003" s="970">
        <f>IF(I1003=0,1,I1003)*IF(H1003=0,1,H1003)*IF(G1003=0,1,G1003)*IF(F1003=0,1,F1003)*IF(E1003=0,1,E1003)*IF(D1003=0,1,D1003)*IF(C1003=0,1,C1003)</f>
        <v>787.5</v>
      </c>
      <c r="K1003" s="970"/>
      <c r="L1003" s="802"/>
      <c r="M1003" s="971"/>
      <c r="N1003" s="971"/>
      <c r="O1003" s="971"/>
      <c r="P1003" s="971"/>
      <c r="Q1003" s="618"/>
      <c r="R1003" s="618"/>
      <c r="S1003" s="618"/>
      <c r="T1003" s="618"/>
      <c r="U1003" s="618"/>
      <c r="V1003" s="641"/>
      <c r="W1003" s="641"/>
      <c r="X1003" s="641"/>
      <c r="Y1003" s="618"/>
      <c r="Z1003" s="618"/>
      <c r="AA1003" s="618"/>
      <c r="AB1003" s="618"/>
      <c r="AC1003" s="620"/>
      <c r="AD1003" s="620"/>
      <c r="AE1003" s="620"/>
      <c r="AF1003" s="966"/>
      <c r="AG1003" s="966"/>
      <c r="AH1003" s="966"/>
      <c r="AI1003" s="966"/>
      <c r="AJ1003" s="966"/>
      <c r="AK1003" s="966"/>
      <c r="AL1003" s="966"/>
      <c r="AM1003" s="966"/>
      <c r="AN1003" s="966"/>
      <c r="AO1003" s="966"/>
      <c r="AR1003" s="1007"/>
      <c r="AU1003" s="1007"/>
      <c r="AV1003" s="1007"/>
    </row>
    <row r="1004" spans="1:48" s="1006" customFormat="1" ht="22.25" customHeight="1">
      <c r="A1004" s="788"/>
      <c r="B1004" s="939" t="s">
        <v>650</v>
      </c>
      <c r="C1004" s="940"/>
      <c r="D1004" s="1008"/>
      <c r="E1004" s="940">
        <v>1</v>
      </c>
      <c r="F1004" s="941">
        <f>K176</f>
        <v>184.57560000000001</v>
      </c>
      <c r="G1004" s="942"/>
      <c r="H1004" s="939"/>
      <c r="I1004" s="1005"/>
      <c r="J1004" s="970">
        <f>IF(I1004=0,1,I1004)*IF(H1004=0,1,H1004)*IF(G1004=0,1,G1004)*IF(F1004=0,1,F1004)*IF(E1004=0,1,E1004)*IF(D1004=0,1,D1004)*IF(C1004=0,1,C1004)</f>
        <v>184.57560000000001</v>
      </c>
      <c r="K1004" s="970">
        <f>SUM(J1002:J1004)</f>
        <v>1570.0756000000001</v>
      </c>
      <c r="L1004" s="1009"/>
      <c r="M1004" s="971"/>
      <c r="N1004" s="971"/>
      <c r="O1004" s="971"/>
      <c r="P1004" s="971"/>
      <c r="Q1004" s="618"/>
      <c r="R1004" s="618"/>
      <c r="S1004" s="618"/>
      <c r="T1004" s="618"/>
      <c r="U1004" s="618"/>
      <c r="V1004" s="641"/>
      <c r="W1004" s="641"/>
      <c r="X1004" s="641"/>
      <c r="Y1004" s="618"/>
      <c r="Z1004" s="618"/>
      <c r="AA1004" s="618"/>
      <c r="AB1004" s="618"/>
      <c r="AC1004" s="620"/>
      <c r="AD1004" s="620"/>
      <c r="AE1004" s="620"/>
      <c r="AF1004" s="966"/>
      <c r="AG1004" s="966"/>
      <c r="AH1004" s="966"/>
      <c r="AI1004" s="966"/>
      <c r="AJ1004" s="966"/>
      <c r="AK1004" s="966"/>
      <c r="AL1004" s="966"/>
      <c r="AM1004" s="966"/>
      <c r="AN1004" s="966"/>
      <c r="AO1004" s="966"/>
      <c r="AR1004" s="1007"/>
      <c r="AU1004" s="1007"/>
      <c r="AV1004" s="1007"/>
    </row>
    <row r="1005" spans="1:48" s="423" customFormat="1" ht="22.25" customHeight="1" thickBot="1">
      <c r="A1005" s="454"/>
      <c r="B1005" s="655"/>
      <c r="C1005" s="662"/>
      <c r="D1005" s="663"/>
      <c r="E1005" s="663"/>
      <c r="F1005" s="512"/>
      <c r="G1005" s="644"/>
      <c r="H1005" s="649"/>
      <c r="I1005" s="513"/>
      <c r="J1005" s="421"/>
      <c r="K1005" s="508">
        <f>SUM(K991:K1004)</f>
        <v>9231.2268000000004</v>
      </c>
      <c r="L1005" s="1010" t="s">
        <v>45</v>
      </c>
      <c r="M1005" s="723" t="e">
        <f>SUM(#REF!)</f>
        <v>#REF!</v>
      </c>
      <c r="N1005" s="723"/>
      <c r="O1005" s="723"/>
      <c r="P1005" s="723"/>
      <c r="Q1005" s="618"/>
      <c r="R1005" s="618"/>
      <c r="S1005" s="618"/>
      <c r="T1005" s="618"/>
      <c r="U1005" s="618"/>
      <c r="V1005" s="641"/>
      <c r="W1005" s="641"/>
      <c r="X1005" s="641"/>
      <c r="Y1005" s="618"/>
      <c r="Z1005" s="618"/>
      <c r="AA1005" s="618"/>
      <c r="AB1005" s="618"/>
      <c r="AC1005" s="620"/>
      <c r="AD1005" s="620"/>
      <c r="AE1005" s="620"/>
      <c r="AF1005" s="472"/>
      <c r="AG1005" s="472"/>
      <c r="AH1005" s="472"/>
      <c r="AI1005" s="472"/>
      <c r="AJ1005" s="472"/>
      <c r="AK1005" s="472"/>
      <c r="AL1005" s="472"/>
      <c r="AM1005" s="472"/>
      <c r="AN1005" s="472"/>
      <c r="AO1005" s="472"/>
      <c r="AR1005" s="427"/>
      <c r="AU1005" s="427"/>
      <c r="AV1005" s="427"/>
    </row>
    <row r="1006" spans="1:48" s="390" customFormat="1" ht="22.25" customHeight="1" thickBot="1">
      <c r="A1006" s="454"/>
      <c r="B1006" s="655"/>
      <c r="C1006" s="662"/>
      <c r="D1006" s="663"/>
      <c r="E1006" s="663"/>
      <c r="F1006" s="512"/>
      <c r="G1006" s="644"/>
      <c r="H1006" s="649"/>
      <c r="I1006" s="501"/>
      <c r="J1006" s="1002"/>
      <c r="K1006" s="1011">
        <f>K1005/100</f>
        <v>92.312268000000003</v>
      </c>
      <c r="L1006" s="1012" t="s">
        <v>315</v>
      </c>
      <c r="M1006" s="723"/>
      <c r="N1006" s="723"/>
      <c r="O1006" s="723"/>
      <c r="P1006" s="723"/>
      <c r="Q1006" s="618"/>
      <c r="R1006" s="618"/>
      <c r="S1006" s="618"/>
      <c r="T1006" s="618"/>
      <c r="U1006" s="618"/>
      <c r="V1006" s="641"/>
      <c r="W1006" s="641"/>
      <c r="X1006" s="641"/>
      <c r="Y1006" s="618"/>
      <c r="Z1006" s="618"/>
      <c r="AA1006" s="618"/>
      <c r="AB1006" s="618"/>
      <c r="AC1006" s="620"/>
      <c r="AD1006" s="620"/>
      <c r="AE1006" s="620"/>
      <c r="AF1006" s="472"/>
      <c r="AG1006" s="472"/>
      <c r="AH1006" s="472"/>
      <c r="AI1006" s="472"/>
      <c r="AJ1006" s="472"/>
      <c r="AK1006" s="472"/>
      <c r="AL1006" s="472"/>
      <c r="AM1006" s="472"/>
      <c r="AN1006" s="471"/>
      <c r="AO1006" s="471"/>
      <c r="AR1006" s="404"/>
      <c r="AU1006" s="404"/>
      <c r="AV1006" s="404"/>
    </row>
    <row r="1007" spans="1:48" s="390" customFormat="1" ht="22.25" customHeight="1" thickTop="1">
      <c r="A1007" s="454"/>
      <c r="B1007" s="655"/>
      <c r="C1007" s="662"/>
      <c r="D1007" s="663"/>
      <c r="E1007" s="663"/>
      <c r="F1007" s="512"/>
      <c r="G1007" s="644"/>
      <c r="H1007" s="649"/>
      <c r="I1007" s="501"/>
      <c r="J1007" s="507"/>
      <c r="K1007" s="500"/>
      <c r="L1007" s="884"/>
      <c r="M1007" s="723"/>
      <c r="N1007" s="723"/>
      <c r="O1007" s="723"/>
      <c r="P1007" s="723"/>
      <c r="Q1007" s="618"/>
      <c r="R1007" s="618"/>
      <c r="S1007" s="618"/>
      <c r="T1007" s="618"/>
      <c r="U1007" s="618"/>
      <c r="V1007" s="641"/>
      <c r="W1007" s="641"/>
      <c r="X1007" s="641"/>
      <c r="Y1007" s="618"/>
      <c r="Z1007" s="618"/>
      <c r="AA1007" s="618"/>
      <c r="AB1007" s="618"/>
      <c r="AC1007" s="620"/>
      <c r="AD1007" s="620"/>
      <c r="AE1007" s="620"/>
      <c r="AF1007" s="472"/>
      <c r="AG1007" s="472"/>
      <c r="AH1007" s="472"/>
      <c r="AI1007" s="472"/>
      <c r="AJ1007" s="472"/>
      <c r="AK1007" s="472"/>
      <c r="AL1007" s="472"/>
      <c r="AM1007" s="472"/>
      <c r="AN1007" s="471"/>
      <c r="AO1007" s="471"/>
      <c r="AR1007" s="404"/>
      <c r="AU1007" s="404"/>
      <c r="AV1007" s="404"/>
    </row>
    <row r="1008" spans="1:48" s="390" customFormat="1" ht="20.399999999999999" customHeight="1">
      <c r="A1008" s="454"/>
      <c r="B1008" s="655" t="s">
        <v>606</v>
      </c>
      <c r="C1008" s="662"/>
      <c r="D1008" s="663"/>
      <c r="E1008" s="663"/>
      <c r="F1008" s="512"/>
      <c r="G1008" s="644"/>
      <c r="H1008" s="649"/>
      <c r="I1008" s="501"/>
      <c r="J1008" s="507"/>
      <c r="K1008" s="507"/>
      <c r="L1008" s="507"/>
      <c r="M1008" s="723"/>
      <c r="N1008" s="723"/>
      <c r="O1008" s="723"/>
      <c r="P1008" s="723"/>
      <c r="Q1008" s="618"/>
      <c r="R1008" s="618"/>
      <c r="S1008" s="618"/>
      <c r="T1008" s="618"/>
      <c r="U1008" s="618"/>
      <c r="V1008" s="641"/>
      <c r="W1008" s="641"/>
      <c r="X1008" s="641"/>
      <c r="Y1008" s="618"/>
      <c r="Z1008" s="618"/>
      <c r="AA1008" s="618"/>
      <c r="AB1008" s="618"/>
      <c r="AC1008" s="620"/>
      <c r="AD1008" s="620"/>
      <c r="AE1008" s="620"/>
      <c r="AF1008" s="472"/>
      <c r="AG1008" s="472"/>
      <c r="AH1008" s="472"/>
      <c r="AI1008" s="472"/>
      <c r="AJ1008" s="472"/>
      <c r="AK1008" s="472"/>
      <c r="AL1008" s="472"/>
      <c r="AM1008" s="472"/>
      <c r="AN1008" s="471"/>
      <c r="AO1008" s="471"/>
      <c r="AR1008" s="404"/>
      <c r="AU1008" s="404"/>
      <c r="AV1008" s="404"/>
    </row>
    <row r="1009" spans="1:48" s="390" customFormat="1" ht="20.399999999999999" customHeight="1">
      <c r="A1009" s="454"/>
      <c r="B1009" s="1013" t="s">
        <v>151</v>
      </c>
      <c r="C1009" s="662"/>
      <c r="D1009" s="663"/>
      <c r="E1009" s="663"/>
      <c r="F1009" s="512"/>
      <c r="G1009" s="644"/>
      <c r="H1009" s="649"/>
      <c r="I1009" s="501"/>
      <c r="J1009" s="507"/>
      <c r="K1009" s="507"/>
      <c r="L1009" s="507"/>
      <c r="M1009" s="723"/>
      <c r="N1009" s="723"/>
      <c r="O1009" s="723"/>
      <c r="P1009" s="723"/>
      <c r="Q1009" s="618"/>
      <c r="R1009" s="618"/>
      <c r="S1009" s="618"/>
      <c r="T1009" s="618"/>
      <c r="U1009" s="618"/>
      <c r="V1009" s="641"/>
      <c r="W1009" s="641"/>
      <c r="X1009" s="641"/>
      <c r="Y1009" s="618"/>
      <c r="Z1009" s="618"/>
      <c r="AA1009" s="618"/>
      <c r="AB1009" s="618"/>
      <c r="AC1009" s="620"/>
      <c r="AD1009" s="620"/>
      <c r="AE1009" s="620"/>
      <c r="AF1009" s="472"/>
      <c r="AG1009" s="472"/>
      <c r="AH1009" s="472"/>
      <c r="AI1009" s="472"/>
      <c r="AJ1009" s="472"/>
      <c r="AK1009" s="472"/>
      <c r="AL1009" s="472"/>
      <c r="AM1009" s="472"/>
      <c r="AN1009" s="471"/>
      <c r="AO1009" s="471"/>
      <c r="AR1009" s="404"/>
      <c r="AU1009" s="404"/>
      <c r="AV1009" s="404"/>
    </row>
    <row r="1010" spans="1:48" s="390" customFormat="1" ht="20.399999999999999" customHeight="1">
      <c r="A1010" s="986"/>
      <c r="B1010" s="878" t="s">
        <v>355</v>
      </c>
      <c r="C1010" s="662"/>
      <c r="D1010" s="662">
        <v>2</v>
      </c>
      <c r="E1010" s="662">
        <f>E1002</f>
        <v>23</v>
      </c>
      <c r="F1010" s="504">
        <v>13</v>
      </c>
      <c r="G1010" s="643"/>
      <c r="H1010" s="648"/>
      <c r="I1010" s="501"/>
      <c r="J1010" s="943"/>
      <c r="K1010" s="507"/>
      <c r="L1010" s="507"/>
      <c r="M1010" s="725"/>
      <c r="N1010" s="725"/>
      <c r="O1010" s="725"/>
      <c r="P1010" s="725"/>
      <c r="Q1010" s="618"/>
      <c r="R1010" s="618"/>
      <c r="S1010" s="618"/>
      <c r="T1010" s="618"/>
      <c r="U1010" s="618"/>
      <c r="V1010" s="641"/>
      <c r="W1010" s="641"/>
      <c r="X1010" s="641"/>
      <c r="Y1010" s="618"/>
      <c r="Z1010" s="618"/>
      <c r="AA1010" s="618"/>
      <c r="AB1010" s="618"/>
      <c r="AC1010" s="620"/>
      <c r="AD1010" s="620"/>
      <c r="AE1010" s="620"/>
      <c r="AF1010" s="471"/>
      <c r="AG1010" s="471"/>
      <c r="AH1010" s="471"/>
      <c r="AI1010" s="471"/>
      <c r="AJ1010" s="471"/>
      <c r="AK1010" s="471"/>
      <c r="AL1010" s="471"/>
      <c r="AM1010" s="471"/>
      <c r="AN1010" s="471"/>
      <c r="AO1010" s="471"/>
      <c r="AR1010" s="404"/>
      <c r="AU1010" s="404"/>
      <c r="AV1010" s="404"/>
    </row>
    <row r="1011" spans="1:48" s="390" customFormat="1" ht="20.399999999999999" customHeight="1">
      <c r="A1011" s="986"/>
      <c r="B1011" s="878" t="s">
        <v>603</v>
      </c>
      <c r="C1011" s="662"/>
      <c r="D1011" s="662"/>
      <c r="E1011" s="662">
        <v>2</v>
      </c>
      <c r="F1011" s="504">
        <f>SUM(F354:F363)</f>
        <v>196</v>
      </c>
      <c r="G1011" s="643"/>
      <c r="H1011" s="648"/>
      <c r="I1011" s="501"/>
      <c r="J1011" s="943">
        <f>IF(I1011=0,1,I1011)*IF(H1011=0,1,H1011)*IF(G1011=0,1,G1011)*IF(F1011=0,1,F1011)*IF(E1011=0,1,E1011)*IF(D1011=0,1,D1011)*IF(C1011=0,1,C1011)</f>
        <v>392</v>
      </c>
      <c r="K1011" s="507"/>
      <c r="L1011" s="507"/>
      <c r="M1011" s="725"/>
      <c r="N1011" s="725"/>
      <c r="O1011" s="725"/>
      <c r="P1011" s="725"/>
      <c r="Q1011" s="618"/>
      <c r="R1011" s="618"/>
      <c r="S1011" s="618"/>
      <c r="T1011" s="618"/>
      <c r="U1011" s="618"/>
      <c r="V1011" s="641"/>
      <c r="W1011" s="641"/>
      <c r="X1011" s="641"/>
      <c r="Y1011" s="618"/>
      <c r="Z1011" s="618"/>
      <c r="AA1011" s="618"/>
      <c r="AB1011" s="618"/>
      <c r="AC1011" s="620"/>
      <c r="AD1011" s="620"/>
      <c r="AE1011" s="620"/>
      <c r="AF1011" s="471"/>
      <c r="AG1011" s="471"/>
      <c r="AH1011" s="471"/>
      <c r="AI1011" s="471"/>
      <c r="AJ1011" s="471"/>
      <c r="AK1011" s="471"/>
      <c r="AL1011" s="471"/>
      <c r="AM1011" s="471"/>
      <c r="AN1011" s="471"/>
      <c r="AO1011" s="471"/>
      <c r="AR1011" s="404"/>
      <c r="AU1011" s="404"/>
      <c r="AV1011" s="404"/>
    </row>
    <row r="1012" spans="1:48" s="390" customFormat="1" ht="20.399999999999999" customHeight="1">
      <c r="A1012" s="986"/>
      <c r="B1012" s="878" t="s">
        <v>612</v>
      </c>
      <c r="C1012" s="662"/>
      <c r="D1012" s="662">
        <v>2</v>
      </c>
      <c r="E1012" s="662">
        <f>E371</f>
        <v>19</v>
      </c>
      <c r="F1012" s="504">
        <f>SUM(H371)</f>
        <v>13</v>
      </c>
      <c r="G1012" s="643"/>
      <c r="H1012" s="648"/>
      <c r="I1012" s="501"/>
      <c r="J1012" s="943">
        <f>IF(I1012=0,1,I1012)*IF(H1012=0,1,H1012)*IF(G1012=0,1,G1012)*IF(F1012=0,1,F1012)*IF(E1012=0,1,E1012)*IF(D1012=0,1,D1012)*IF(C1012=0,1,C1012)</f>
        <v>494</v>
      </c>
      <c r="K1012" s="507"/>
      <c r="L1012" s="507"/>
      <c r="M1012" s="725"/>
      <c r="N1012" s="725"/>
      <c r="O1012" s="725"/>
      <c r="P1012" s="725"/>
      <c r="Q1012" s="618"/>
      <c r="R1012" s="618"/>
      <c r="S1012" s="618"/>
      <c r="T1012" s="618"/>
      <c r="U1012" s="618"/>
      <c r="V1012" s="641"/>
      <c r="W1012" s="641"/>
      <c r="X1012" s="641"/>
      <c r="Y1012" s="618"/>
      <c r="Z1012" s="618"/>
      <c r="AA1012" s="618"/>
      <c r="AB1012" s="618"/>
      <c r="AC1012" s="620"/>
      <c r="AD1012" s="620"/>
      <c r="AE1012" s="620"/>
      <c r="AF1012" s="471"/>
      <c r="AG1012" s="471"/>
      <c r="AH1012" s="471"/>
      <c r="AI1012" s="471"/>
      <c r="AJ1012" s="471"/>
      <c r="AK1012" s="471"/>
      <c r="AL1012" s="471"/>
      <c r="AM1012" s="471"/>
      <c r="AN1012" s="471"/>
      <c r="AO1012" s="471"/>
      <c r="AR1012" s="404"/>
      <c r="AU1012" s="404"/>
      <c r="AV1012" s="404"/>
    </row>
    <row r="1013" spans="1:48" s="390" customFormat="1" ht="20.399999999999999" customHeight="1" thickBot="1">
      <c r="A1013" s="454"/>
      <c r="B1013" s="655"/>
      <c r="C1013" s="662"/>
      <c r="D1013" s="663"/>
      <c r="E1013" s="663"/>
      <c r="F1013" s="512"/>
      <c r="G1013" s="644"/>
      <c r="H1013" s="649"/>
      <c r="I1013" s="501"/>
      <c r="J1013" s="507"/>
      <c r="K1013" s="508">
        <f>SUM(J1008:J1013)</f>
        <v>886</v>
      </c>
      <c r="L1013" s="508" t="s">
        <v>13</v>
      </c>
      <c r="M1013" s="723"/>
      <c r="N1013" s="723"/>
      <c r="O1013" s="723"/>
      <c r="P1013" s="723"/>
      <c r="Q1013" s="618"/>
      <c r="R1013" s="618"/>
      <c r="S1013" s="618"/>
      <c r="T1013" s="618"/>
      <c r="U1013" s="618"/>
      <c r="V1013" s="641"/>
      <c r="W1013" s="641"/>
      <c r="X1013" s="641"/>
      <c r="Y1013" s="618"/>
      <c r="Z1013" s="618"/>
      <c r="AA1013" s="618"/>
      <c r="AB1013" s="618"/>
      <c r="AC1013" s="620"/>
      <c r="AD1013" s="620"/>
      <c r="AE1013" s="620"/>
      <c r="AF1013" s="472"/>
      <c r="AG1013" s="472"/>
      <c r="AH1013" s="472"/>
      <c r="AI1013" s="472"/>
      <c r="AJ1013" s="472"/>
      <c r="AK1013" s="472"/>
      <c r="AL1013" s="472"/>
      <c r="AM1013" s="472"/>
      <c r="AN1013" s="471"/>
      <c r="AO1013" s="471"/>
      <c r="AR1013" s="404"/>
      <c r="AU1013" s="404"/>
      <c r="AV1013" s="404"/>
    </row>
    <row r="1014" spans="1:48" s="390" customFormat="1" ht="20.399999999999999" customHeight="1" thickBot="1">
      <c r="A1014" s="454"/>
      <c r="B1014" s="655"/>
      <c r="C1014" s="662"/>
      <c r="D1014" s="663"/>
      <c r="E1014" s="663"/>
      <c r="F1014" s="512"/>
      <c r="G1014" s="644"/>
      <c r="H1014" s="649"/>
      <c r="I1014" s="501"/>
      <c r="J1014" s="507"/>
      <c r="K1014" s="509">
        <f>K1013/3.281</f>
        <v>270.03962206644314</v>
      </c>
      <c r="L1014" s="509" t="s">
        <v>46</v>
      </c>
      <c r="M1014" s="723"/>
      <c r="N1014" s="723"/>
      <c r="O1014" s="723"/>
      <c r="P1014" s="723"/>
      <c r="Q1014" s="618"/>
      <c r="R1014" s="618"/>
      <c r="S1014" s="618"/>
      <c r="T1014" s="618"/>
      <c r="U1014" s="618"/>
      <c r="V1014" s="641"/>
      <c r="W1014" s="641"/>
      <c r="X1014" s="641"/>
      <c r="Y1014" s="618"/>
      <c r="Z1014" s="618"/>
      <c r="AA1014" s="618"/>
      <c r="AB1014" s="618"/>
      <c r="AC1014" s="620"/>
      <c r="AD1014" s="620"/>
      <c r="AE1014" s="620"/>
      <c r="AF1014" s="472"/>
      <c r="AG1014" s="472"/>
      <c r="AH1014" s="472"/>
      <c r="AI1014" s="472"/>
      <c r="AJ1014" s="472"/>
      <c r="AK1014" s="472"/>
      <c r="AL1014" s="472"/>
      <c r="AM1014" s="472"/>
      <c r="AN1014" s="471"/>
      <c r="AO1014" s="471"/>
      <c r="AR1014" s="404"/>
      <c r="AU1014" s="404"/>
      <c r="AV1014" s="404"/>
    </row>
    <row r="1015" spans="1:48" s="390" customFormat="1" ht="20.399999999999999" customHeight="1" thickBot="1">
      <c r="A1015" s="454"/>
      <c r="B1015" s="655"/>
      <c r="C1015" s="662"/>
      <c r="D1015" s="663"/>
      <c r="E1015" s="663"/>
      <c r="F1015" s="512"/>
      <c r="G1015" s="644"/>
      <c r="H1015" s="649"/>
      <c r="I1015" s="501"/>
      <c r="J1015" s="507"/>
      <c r="K1015" s="502">
        <f>K1014/50</f>
        <v>5.4007924413288633</v>
      </c>
      <c r="L1015" s="502" t="s">
        <v>605</v>
      </c>
      <c r="M1015" s="723"/>
      <c r="N1015" s="723"/>
      <c r="O1015" s="723"/>
      <c r="P1015" s="723"/>
      <c r="Q1015" s="618"/>
      <c r="R1015" s="618"/>
      <c r="S1015" s="618"/>
      <c r="T1015" s="618"/>
      <c r="U1015" s="618"/>
      <c r="V1015" s="641"/>
      <c r="W1015" s="641"/>
      <c r="X1015" s="641"/>
      <c r="Y1015" s="618"/>
      <c r="Z1015" s="618"/>
      <c r="AA1015" s="618"/>
      <c r="AB1015" s="618"/>
      <c r="AC1015" s="620"/>
      <c r="AD1015" s="620"/>
      <c r="AE1015" s="620"/>
      <c r="AF1015" s="472"/>
      <c r="AG1015" s="472"/>
      <c r="AH1015" s="472"/>
      <c r="AI1015" s="472"/>
      <c r="AJ1015" s="472"/>
      <c r="AK1015" s="472"/>
      <c r="AL1015" s="472"/>
      <c r="AM1015" s="472"/>
      <c r="AN1015" s="471"/>
      <c r="AO1015" s="471"/>
      <c r="AR1015" s="404"/>
      <c r="AU1015" s="404"/>
      <c r="AV1015" s="404"/>
    </row>
    <row r="1016" spans="1:48" s="390" customFormat="1" ht="20.399999999999999" customHeight="1" thickTop="1">
      <c r="A1016" s="454"/>
      <c r="B1016" s="655"/>
      <c r="C1016" s="662"/>
      <c r="D1016" s="662"/>
      <c r="E1016" s="662"/>
      <c r="F1016" s="504"/>
      <c r="G1016" s="643"/>
      <c r="H1016" s="648"/>
      <c r="I1016" s="501"/>
      <c r="J1016" s="455"/>
      <c r="K1016" s="510"/>
      <c r="L1016" s="510"/>
      <c r="M1016" s="725"/>
      <c r="N1016" s="725"/>
      <c r="O1016" s="725"/>
      <c r="P1016" s="725"/>
      <c r="Q1016" s="618"/>
      <c r="R1016" s="618"/>
      <c r="S1016" s="618"/>
      <c r="T1016" s="618"/>
      <c r="U1016" s="618"/>
      <c r="V1016" s="641"/>
      <c r="W1016" s="641"/>
      <c r="X1016" s="641"/>
      <c r="Y1016" s="618"/>
      <c r="Z1016" s="618"/>
      <c r="AA1016" s="618"/>
      <c r="AB1016" s="618"/>
      <c r="AC1016" s="620"/>
      <c r="AD1016" s="620"/>
      <c r="AE1016" s="620"/>
      <c r="AF1016" s="471" t="e">
        <f>1/#REF!</f>
        <v>#REF!</v>
      </c>
      <c r="AG1016" s="471">
        <f>AF222*2.8</f>
        <v>0</v>
      </c>
      <c r="AH1016" s="471"/>
      <c r="AI1016" s="471"/>
      <c r="AJ1016" s="471"/>
      <c r="AK1016" s="471"/>
      <c r="AL1016" s="471"/>
      <c r="AM1016" s="471"/>
      <c r="AN1016" s="471"/>
      <c r="AO1016" s="471"/>
      <c r="AR1016" s="404"/>
      <c r="AU1016" s="404"/>
      <c r="AV1016" s="404"/>
    </row>
    <row r="1017" spans="1:48" s="390" customFormat="1" ht="20.399999999999999" customHeight="1">
      <c r="A1017" s="454">
        <v>16</v>
      </c>
      <c r="B1017" s="655" t="s">
        <v>835</v>
      </c>
      <c r="C1017" s="662"/>
      <c r="D1017" s="662"/>
      <c r="E1017" s="662"/>
      <c r="F1017" s="504"/>
      <c r="G1017" s="643"/>
      <c r="H1017" s="648"/>
      <c r="I1017" s="501"/>
      <c r="J1017" s="455"/>
      <c r="K1017" s="510"/>
      <c r="L1017" s="510"/>
      <c r="M1017" s="725"/>
      <c r="N1017" s="725"/>
      <c r="O1017" s="725"/>
      <c r="P1017" s="725"/>
      <c r="Q1017" s="618"/>
      <c r="R1017" s="618"/>
      <c r="S1017" s="618"/>
      <c r="T1017" s="618"/>
      <c r="U1017" s="618"/>
      <c r="V1017" s="641"/>
      <c r="W1017" s="641"/>
      <c r="X1017" s="641"/>
      <c r="Y1017" s="618"/>
      <c r="Z1017" s="618"/>
      <c r="AA1017" s="618"/>
      <c r="AB1017" s="618"/>
      <c r="AC1017" s="620"/>
      <c r="AD1017" s="620"/>
      <c r="AE1017" s="620"/>
      <c r="AF1017" s="471"/>
      <c r="AG1017" s="471"/>
      <c r="AH1017" s="471"/>
      <c r="AI1017" s="471"/>
      <c r="AJ1017" s="471"/>
      <c r="AK1017" s="471"/>
      <c r="AL1017" s="471"/>
      <c r="AM1017" s="471"/>
      <c r="AN1017" s="471"/>
      <c r="AO1017" s="471"/>
      <c r="AR1017" s="404"/>
      <c r="AU1017" s="404"/>
      <c r="AV1017" s="404"/>
    </row>
    <row r="1018" spans="1:48" s="390" customFormat="1" ht="20.399999999999999" customHeight="1">
      <c r="A1018" s="454"/>
      <c r="B1018" s="878" t="s">
        <v>819</v>
      </c>
      <c r="C1018" s="662"/>
      <c r="D1018" s="662"/>
      <c r="E1018" s="662">
        <v>1</v>
      </c>
      <c r="F1018" s="504">
        <f>K1005</f>
        <v>9231.2268000000004</v>
      </c>
      <c r="G1018" s="643"/>
      <c r="H1018" s="648"/>
      <c r="I1018" s="501"/>
      <c r="J1018" s="943">
        <f>IF(I1018=0,1,I1018)*IF(H1018=0,1,H1018)*IF(G1018=0,1,G1018)*IF(F1018=0,1,F1018)*IF(E1018=0,1,E1018)*IF(D1018=0,1,D1018)*IF(C1018=0,1,C1018)</f>
        <v>9231.2268000000004</v>
      </c>
      <c r="K1018" s="510"/>
      <c r="L1018" s="510"/>
      <c r="M1018" s="725"/>
      <c r="N1018" s="725"/>
      <c r="O1018" s="725"/>
      <c r="P1018" s="725"/>
      <c r="Q1018" s="618"/>
      <c r="R1018" s="618"/>
      <c r="S1018" s="618"/>
      <c r="T1018" s="618"/>
      <c r="U1018" s="618"/>
      <c r="V1018" s="641"/>
      <c r="W1018" s="641"/>
      <c r="X1018" s="641"/>
      <c r="Y1018" s="618"/>
      <c r="Z1018" s="618"/>
      <c r="AA1018" s="618"/>
      <c r="AB1018" s="618"/>
      <c r="AC1018" s="620"/>
      <c r="AD1018" s="620"/>
      <c r="AE1018" s="620"/>
      <c r="AF1018" s="471"/>
      <c r="AG1018" s="471"/>
      <c r="AH1018" s="471"/>
      <c r="AI1018" s="471"/>
      <c r="AJ1018" s="471"/>
      <c r="AK1018" s="471"/>
      <c r="AL1018" s="471"/>
      <c r="AM1018" s="471"/>
      <c r="AN1018" s="471"/>
      <c r="AO1018" s="471"/>
      <c r="AR1018" s="404"/>
      <c r="AU1018" s="404"/>
      <c r="AV1018" s="404"/>
    </row>
    <row r="1019" spans="1:48" s="390" customFormat="1" ht="20.399999999999999" customHeight="1" thickBot="1">
      <c r="A1019" s="454"/>
      <c r="B1019" s="655"/>
      <c r="C1019" s="662"/>
      <c r="D1019" s="662"/>
      <c r="E1019" s="662"/>
      <c r="F1019" s="504"/>
      <c r="G1019" s="643"/>
      <c r="H1019" s="648"/>
      <c r="I1019" s="501"/>
      <c r="J1019" s="455"/>
      <c r="K1019" s="508">
        <f>SUM(J1017:J1019)</f>
        <v>9231.2268000000004</v>
      </c>
      <c r="L1019" s="508" t="s">
        <v>45</v>
      </c>
      <c r="M1019" s="725"/>
      <c r="N1019" s="725"/>
      <c r="O1019" s="725"/>
      <c r="P1019" s="725"/>
      <c r="Q1019" s="618"/>
      <c r="R1019" s="618"/>
      <c r="S1019" s="618"/>
      <c r="T1019" s="618"/>
      <c r="U1019" s="618"/>
      <c r="V1019" s="641"/>
      <c r="W1019" s="641"/>
      <c r="X1019" s="641"/>
      <c r="Y1019" s="618"/>
      <c r="Z1019" s="618"/>
      <c r="AA1019" s="618"/>
      <c r="AB1019" s="618"/>
      <c r="AC1019" s="620"/>
      <c r="AD1019" s="620"/>
      <c r="AE1019" s="620"/>
      <c r="AF1019" s="471"/>
      <c r="AG1019" s="471"/>
      <c r="AH1019" s="471"/>
      <c r="AI1019" s="471"/>
      <c r="AJ1019" s="471"/>
      <c r="AK1019" s="471"/>
      <c r="AL1019" s="471"/>
      <c r="AM1019" s="471"/>
      <c r="AN1019" s="471"/>
      <c r="AO1019" s="471"/>
      <c r="AR1019" s="404"/>
      <c r="AU1019" s="404"/>
      <c r="AV1019" s="404"/>
    </row>
    <row r="1020" spans="1:48" s="390" customFormat="1" ht="20.399999999999999" customHeight="1" thickBot="1">
      <c r="A1020" s="454"/>
      <c r="B1020" s="655"/>
      <c r="C1020" s="662"/>
      <c r="D1020" s="662"/>
      <c r="E1020" s="662"/>
      <c r="F1020" s="504"/>
      <c r="G1020" s="643"/>
      <c r="H1020" s="648"/>
      <c r="I1020" s="501"/>
      <c r="J1020" s="455"/>
      <c r="K1020" s="502">
        <f>K1019/100</f>
        <v>92.312268000000003</v>
      </c>
      <c r="L1020" s="502" t="s">
        <v>315</v>
      </c>
      <c r="M1020" s="725"/>
      <c r="N1020" s="725"/>
      <c r="O1020" s="725"/>
      <c r="P1020" s="725"/>
      <c r="Q1020" s="618"/>
      <c r="R1020" s="618"/>
      <c r="S1020" s="618"/>
      <c r="T1020" s="618"/>
      <c r="U1020" s="618"/>
      <c r="V1020" s="641"/>
      <c r="W1020" s="641"/>
      <c r="X1020" s="641"/>
      <c r="Y1020" s="618"/>
      <c r="Z1020" s="618"/>
      <c r="AA1020" s="618"/>
      <c r="AB1020" s="618"/>
      <c r="AC1020" s="620"/>
      <c r="AD1020" s="620"/>
      <c r="AE1020" s="620"/>
      <c r="AF1020" s="471"/>
      <c r="AG1020" s="471"/>
      <c r="AH1020" s="471"/>
      <c r="AI1020" s="471"/>
      <c r="AJ1020" s="471"/>
      <c r="AK1020" s="471"/>
      <c r="AL1020" s="471"/>
      <c r="AM1020" s="471"/>
      <c r="AN1020" s="471"/>
      <c r="AO1020" s="471"/>
      <c r="AR1020" s="404"/>
      <c r="AU1020" s="404"/>
      <c r="AV1020" s="404"/>
    </row>
    <row r="1021" spans="1:48" s="390" customFormat="1" ht="20.399999999999999" customHeight="1" thickTop="1">
      <c r="A1021" s="454"/>
      <c r="B1021" s="655"/>
      <c r="C1021" s="662"/>
      <c r="D1021" s="662"/>
      <c r="E1021" s="662"/>
      <c r="F1021" s="504"/>
      <c r="G1021" s="643"/>
      <c r="H1021" s="648"/>
      <c r="I1021" s="501"/>
      <c r="J1021" s="455"/>
      <c r="K1021" s="510"/>
      <c r="L1021" s="510"/>
      <c r="M1021" s="725"/>
      <c r="N1021" s="725"/>
      <c r="O1021" s="725"/>
      <c r="P1021" s="725"/>
      <c r="Q1021" s="618"/>
      <c r="R1021" s="618"/>
      <c r="S1021" s="618"/>
      <c r="T1021" s="618"/>
      <c r="U1021" s="618"/>
      <c r="V1021" s="641"/>
      <c r="W1021" s="641"/>
      <c r="X1021" s="641"/>
      <c r="Y1021" s="618"/>
      <c r="Z1021" s="618"/>
      <c r="AA1021" s="618"/>
      <c r="AB1021" s="618"/>
      <c r="AC1021" s="620"/>
      <c r="AD1021" s="620"/>
      <c r="AE1021" s="620"/>
      <c r="AF1021" s="471"/>
      <c r="AG1021" s="471"/>
      <c r="AH1021" s="471"/>
      <c r="AI1021" s="471"/>
      <c r="AJ1021" s="471"/>
      <c r="AK1021" s="471"/>
      <c r="AL1021" s="471"/>
      <c r="AM1021" s="471"/>
      <c r="AN1021" s="471"/>
      <c r="AO1021" s="471"/>
      <c r="AR1021" s="404"/>
      <c r="AU1021" s="404"/>
      <c r="AV1021" s="404"/>
    </row>
    <row r="1022" spans="1:48" s="390" customFormat="1" ht="20.399999999999999" customHeight="1">
      <c r="A1022" s="454">
        <v>17</v>
      </c>
      <c r="B1022" s="655" t="s">
        <v>820</v>
      </c>
      <c r="C1022" s="662"/>
      <c r="D1022" s="662"/>
      <c r="E1022" s="662"/>
      <c r="F1022" s="504"/>
      <c r="G1022" s="643"/>
      <c r="H1022" s="648"/>
      <c r="I1022" s="501"/>
      <c r="J1022" s="455"/>
      <c r="K1022" s="510"/>
      <c r="L1022" s="510"/>
      <c r="M1022" s="725"/>
      <c r="N1022" s="725"/>
      <c r="O1022" s="725"/>
      <c r="P1022" s="725"/>
      <c r="Q1022" s="618"/>
      <c r="R1022" s="618"/>
      <c r="S1022" s="618"/>
      <c r="T1022" s="618"/>
      <c r="U1022" s="618"/>
      <c r="V1022" s="641"/>
      <c r="W1022" s="641"/>
      <c r="X1022" s="641"/>
      <c r="Y1022" s="618"/>
      <c r="Z1022" s="618"/>
      <c r="AA1022" s="618"/>
      <c r="AB1022" s="618"/>
      <c r="AC1022" s="620"/>
      <c r="AD1022" s="620"/>
      <c r="AE1022" s="620"/>
      <c r="AF1022" s="471"/>
      <c r="AG1022" s="471"/>
      <c r="AH1022" s="471"/>
      <c r="AI1022" s="471"/>
      <c r="AJ1022" s="471"/>
      <c r="AK1022" s="471"/>
      <c r="AL1022" s="471"/>
      <c r="AM1022" s="471"/>
      <c r="AN1022" s="471"/>
      <c r="AO1022" s="471"/>
      <c r="AR1022" s="404"/>
      <c r="AU1022" s="404"/>
      <c r="AV1022" s="404"/>
    </row>
    <row r="1023" spans="1:48" s="390" customFormat="1" ht="20.399999999999999" customHeight="1">
      <c r="A1023" s="454"/>
      <c r="B1023" s="878" t="s">
        <v>836</v>
      </c>
      <c r="C1023" s="662"/>
      <c r="D1023" s="662"/>
      <c r="E1023" s="662">
        <v>1</v>
      </c>
      <c r="F1023" s="504">
        <f>K1019</f>
        <v>9231.2268000000004</v>
      </c>
      <c r="G1023" s="643"/>
      <c r="H1023" s="648"/>
      <c r="I1023" s="501"/>
      <c r="J1023" s="943">
        <f>IF(I1023=0,1,I1023)*IF(H1023=0,1,H1023)*IF(G1023=0,1,G1023)*IF(F1023=0,1,F1023)*IF(E1023=0,1,E1023)*IF(D1023=0,1,D1023)*IF(C1023=0,1,C1023)</f>
        <v>9231.2268000000004</v>
      </c>
      <c r="K1023" s="510"/>
      <c r="L1023" s="510"/>
      <c r="M1023" s="725"/>
      <c r="N1023" s="725"/>
      <c r="O1023" s="725"/>
      <c r="P1023" s="725"/>
      <c r="Q1023" s="618"/>
      <c r="R1023" s="618"/>
      <c r="S1023" s="618"/>
      <c r="T1023" s="618"/>
      <c r="U1023" s="618"/>
      <c r="V1023" s="641"/>
      <c r="W1023" s="641"/>
      <c r="X1023" s="641"/>
      <c r="Y1023" s="618"/>
      <c r="Z1023" s="618"/>
      <c r="AA1023" s="618"/>
      <c r="AB1023" s="618"/>
      <c r="AC1023" s="620"/>
      <c r="AD1023" s="620"/>
      <c r="AE1023" s="620"/>
      <c r="AF1023" s="471"/>
      <c r="AG1023" s="471"/>
      <c r="AH1023" s="471"/>
      <c r="AI1023" s="471"/>
      <c r="AJ1023" s="471"/>
      <c r="AK1023" s="471"/>
      <c r="AL1023" s="471"/>
      <c r="AM1023" s="471"/>
      <c r="AN1023" s="471"/>
      <c r="AO1023" s="471"/>
      <c r="AR1023" s="404"/>
      <c r="AU1023" s="404"/>
      <c r="AV1023" s="404"/>
    </row>
    <row r="1024" spans="1:48" s="390" customFormat="1" ht="20.399999999999999" customHeight="1" thickBot="1">
      <c r="A1024" s="454"/>
      <c r="B1024" s="655"/>
      <c r="C1024" s="662"/>
      <c r="D1024" s="662"/>
      <c r="E1024" s="662"/>
      <c r="F1024" s="504"/>
      <c r="G1024" s="643"/>
      <c r="H1024" s="648"/>
      <c r="I1024" s="501"/>
      <c r="J1024" s="455"/>
      <c r="K1024" s="508">
        <f>SUM(J1022:J1024)</f>
        <v>9231.2268000000004</v>
      </c>
      <c r="L1024" s="508" t="s">
        <v>45</v>
      </c>
      <c r="M1024" s="725"/>
      <c r="N1024" s="725"/>
      <c r="O1024" s="725"/>
      <c r="P1024" s="725"/>
      <c r="Q1024" s="618"/>
      <c r="R1024" s="618"/>
      <c r="S1024" s="618"/>
      <c r="T1024" s="618"/>
      <c r="U1024" s="618"/>
      <c r="V1024" s="641"/>
      <c r="W1024" s="641"/>
      <c r="X1024" s="641"/>
      <c r="Y1024" s="618"/>
      <c r="Z1024" s="618"/>
      <c r="AA1024" s="618"/>
      <c r="AB1024" s="618"/>
      <c r="AC1024" s="620"/>
      <c r="AD1024" s="620"/>
      <c r="AE1024" s="620"/>
      <c r="AF1024" s="471"/>
      <c r="AG1024" s="471"/>
      <c r="AH1024" s="471"/>
      <c r="AI1024" s="471"/>
      <c r="AJ1024" s="471"/>
      <c r="AK1024" s="471"/>
      <c r="AL1024" s="471"/>
      <c r="AM1024" s="471"/>
      <c r="AN1024" s="471"/>
      <c r="AO1024" s="471"/>
      <c r="AR1024" s="404"/>
      <c r="AU1024" s="404"/>
      <c r="AV1024" s="404"/>
    </row>
    <row r="1025" spans="1:48" s="390" customFormat="1" ht="20.399999999999999" customHeight="1" thickBot="1">
      <c r="A1025" s="454"/>
      <c r="B1025" s="655"/>
      <c r="C1025" s="662"/>
      <c r="D1025" s="662"/>
      <c r="E1025" s="662"/>
      <c r="F1025" s="504"/>
      <c r="G1025" s="643"/>
      <c r="H1025" s="648"/>
      <c r="I1025" s="501"/>
      <c r="J1025" s="455"/>
      <c r="K1025" s="502">
        <f>K1024/100</f>
        <v>92.312268000000003</v>
      </c>
      <c r="L1025" s="502" t="s">
        <v>315</v>
      </c>
      <c r="M1025" s="725"/>
      <c r="N1025" s="725"/>
      <c r="O1025" s="725"/>
      <c r="P1025" s="725"/>
      <c r="Q1025" s="618"/>
      <c r="R1025" s="618"/>
      <c r="S1025" s="618"/>
      <c r="T1025" s="618"/>
      <c r="U1025" s="618"/>
      <c r="V1025" s="641"/>
      <c r="W1025" s="641"/>
      <c r="X1025" s="641"/>
      <c r="Y1025" s="618"/>
      <c r="Z1025" s="618"/>
      <c r="AA1025" s="618"/>
      <c r="AB1025" s="618"/>
      <c r="AC1025" s="620"/>
      <c r="AD1025" s="620"/>
      <c r="AE1025" s="620"/>
      <c r="AF1025" s="471"/>
      <c r="AG1025" s="471"/>
      <c r="AH1025" s="471"/>
      <c r="AI1025" s="471"/>
      <c r="AJ1025" s="471"/>
      <c r="AK1025" s="471"/>
      <c r="AL1025" s="471"/>
      <c r="AM1025" s="471"/>
      <c r="AN1025" s="471"/>
      <c r="AO1025" s="471"/>
      <c r="AR1025" s="404"/>
      <c r="AU1025" s="404"/>
      <c r="AV1025" s="404"/>
    </row>
    <row r="1026" spans="1:48" s="390" customFormat="1" ht="20.399999999999999" customHeight="1" thickTop="1">
      <c r="A1026" s="454"/>
      <c r="B1026" s="655"/>
      <c r="C1026" s="662"/>
      <c r="D1026" s="662"/>
      <c r="E1026" s="662"/>
      <c r="F1026" s="504"/>
      <c r="G1026" s="643"/>
      <c r="H1026" s="648"/>
      <c r="I1026" s="501"/>
      <c r="J1026" s="455"/>
      <c r="K1026" s="510"/>
      <c r="L1026" s="510"/>
      <c r="M1026" s="725"/>
      <c r="N1026" s="725"/>
      <c r="O1026" s="725"/>
      <c r="P1026" s="725"/>
      <c r="Q1026" s="618"/>
      <c r="R1026" s="618"/>
      <c r="S1026" s="618"/>
      <c r="T1026" s="618"/>
      <c r="U1026" s="618"/>
      <c r="V1026" s="641"/>
      <c r="W1026" s="641"/>
      <c r="X1026" s="641"/>
      <c r="Y1026" s="618"/>
      <c r="Z1026" s="618"/>
      <c r="AA1026" s="618"/>
      <c r="AB1026" s="618"/>
      <c r="AC1026" s="620"/>
      <c r="AD1026" s="620"/>
      <c r="AE1026" s="620"/>
      <c r="AF1026" s="471"/>
      <c r="AG1026" s="471"/>
      <c r="AH1026" s="471"/>
      <c r="AI1026" s="471"/>
      <c r="AJ1026" s="471"/>
      <c r="AK1026" s="471"/>
      <c r="AL1026" s="471"/>
      <c r="AM1026" s="471"/>
      <c r="AN1026" s="471"/>
      <c r="AO1026" s="471"/>
      <c r="AR1026" s="404"/>
      <c r="AU1026" s="404"/>
      <c r="AV1026" s="404"/>
    </row>
    <row r="1027" spans="1:48" s="390" customFormat="1" ht="22.25" customHeight="1">
      <c r="A1027" s="454">
        <v>18</v>
      </c>
      <c r="B1027" s="655" t="s">
        <v>724</v>
      </c>
      <c r="C1027" s="662"/>
      <c r="D1027" s="662"/>
      <c r="E1027" s="662"/>
      <c r="F1027" s="504"/>
      <c r="G1027" s="643"/>
      <c r="H1027" s="648"/>
      <c r="I1027" s="501"/>
      <c r="J1027" s="421"/>
      <c r="K1027" s="421"/>
      <c r="L1027" s="421"/>
      <c r="M1027" s="723"/>
      <c r="N1027" s="723"/>
      <c r="O1027" s="723"/>
      <c r="P1027" s="723"/>
      <c r="Q1027" s="618"/>
      <c r="R1027" s="618"/>
      <c r="S1027" s="618"/>
      <c r="T1027" s="618"/>
      <c r="U1027" s="618"/>
      <c r="V1027" s="624"/>
      <c r="W1027" s="624" t="e">
        <f>IF(#REF!=W$5,$V1027,0)</f>
        <v>#REF!</v>
      </c>
      <c r="X1027" s="624" t="e">
        <f>IF(#REF!=X$5,$V1027,0)</f>
        <v>#REF!</v>
      </c>
      <c r="Y1027" s="624" t="e">
        <f>IF(#REF!=Y$5,$V1027,0)</f>
        <v>#REF!</v>
      </c>
      <c r="Z1027" s="624" t="e">
        <f>IF(#REF!=Z$5,$V1027,0)</f>
        <v>#REF!</v>
      </c>
      <c r="AA1027" s="624" t="e">
        <f>IF(#REF!=AA$5,$V1027,0)</f>
        <v>#REF!</v>
      </c>
      <c r="AB1027" s="624" t="e">
        <f>IF(#REF!=AB$5,$V1027,0)</f>
        <v>#REF!</v>
      </c>
      <c r="AC1027" s="624" t="e">
        <f>IF(#REF!=AC$5,$V1027,0)</f>
        <v>#REF!</v>
      </c>
      <c r="AD1027" s="624" t="e">
        <f>IF(#REF!=AD$5,$V1027,0)</f>
        <v>#REF!</v>
      </c>
      <c r="AE1027" s="624" t="e">
        <f>IF(#REF!=AE$5,$V1027,0)</f>
        <v>#REF!</v>
      </c>
      <c r="AF1027" s="471"/>
      <c r="AG1027" s="473"/>
      <c r="AH1027" s="471"/>
      <c r="AI1027" s="471"/>
      <c r="AJ1027" s="471"/>
      <c r="AM1027" s="404"/>
      <c r="AP1027" s="404"/>
      <c r="AQ1027" s="404"/>
    </row>
    <row r="1028" spans="1:48" s="390" customFormat="1" ht="21.9" customHeight="1">
      <c r="A1028" s="454"/>
      <c r="B1028" s="659" t="s">
        <v>560</v>
      </c>
      <c r="C1028" s="662"/>
      <c r="D1028" s="662"/>
      <c r="E1028" s="662"/>
      <c r="F1028" s="498"/>
      <c r="G1028" s="642"/>
      <c r="H1028" s="648"/>
      <c r="I1028" s="501"/>
      <c r="J1028" s="455"/>
      <c r="K1028" s="455"/>
      <c r="L1028" s="312"/>
      <c r="M1028" s="726"/>
      <c r="N1028" s="726"/>
      <c r="O1028" s="726"/>
      <c r="P1028" s="726"/>
      <c r="Q1028" s="611"/>
      <c r="R1028" s="611"/>
      <c r="S1028" s="624"/>
      <c r="T1028" s="625"/>
      <c r="U1028" s="626"/>
      <c r="V1028" s="624"/>
      <c r="W1028" s="624">
        <f t="shared" ref="W1028:AE1043" si="216">IF($R1028=W$5,$V1028,0)</f>
        <v>0</v>
      </c>
      <c r="X1028" s="624">
        <f t="shared" si="216"/>
        <v>0</v>
      </c>
      <c r="Y1028" s="624">
        <f t="shared" si="216"/>
        <v>0</v>
      </c>
      <c r="Z1028" s="624">
        <f t="shared" si="216"/>
        <v>0</v>
      </c>
      <c r="AA1028" s="624">
        <f t="shared" si="216"/>
        <v>0</v>
      </c>
      <c r="AB1028" s="624">
        <f t="shared" si="216"/>
        <v>0</v>
      </c>
      <c r="AC1028" s="624">
        <f t="shared" si="216"/>
        <v>0</v>
      </c>
      <c r="AD1028" s="624">
        <f t="shared" si="216"/>
        <v>0</v>
      </c>
      <c r="AE1028" s="624">
        <f t="shared" si="216"/>
        <v>0</v>
      </c>
      <c r="AF1028" s="404"/>
      <c r="AG1028" s="471"/>
      <c r="AH1028" s="471"/>
      <c r="AI1028" s="471"/>
      <c r="AJ1028" s="471"/>
      <c r="AM1028" s="404"/>
      <c r="AP1028" s="404"/>
      <c r="AQ1028" s="404"/>
    </row>
    <row r="1029" spans="1:48" s="390" customFormat="1" ht="21.9" customHeight="1">
      <c r="A1029" s="454"/>
      <c r="B1029" s="659" t="s">
        <v>753</v>
      </c>
      <c r="C1029" s="662"/>
      <c r="D1029" s="662"/>
      <c r="E1029" s="662"/>
      <c r="F1029" s="498"/>
      <c r="G1029" s="642"/>
      <c r="H1029" s="648"/>
      <c r="I1029" s="501"/>
      <c r="J1029" s="455"/>
      <c r="K1029" s="455"/>
      <c r="L1029" s="312"/>
      <c r="M1029" s="726"/>
      <c r="N1029" s="726"/>
      <c r="O1029" s="726"/>
      <c r="P1029" s="726"/>
      <c r="Q1029" s="611"/>
      <c r="R1029" s="611"/>
      <c r="S1029" s="624"/>
      <c r="T1029" s="625"/>
      <c r="U1029" s="626"/>
      <c r="V1029" s="624"/>
      <c r="W1029" s="624">
        <f t="shared" si="216"/>
        <v>0</v>
      </c>
      <c r="X1029" s="624">
        <f t="shared" si="216"/>
        <v>0</v>
      </c>
      <c r="Y1029" s="624">
        <f t="shared" si="216"/>
        <v>0</v>
      </c>
      <c r="Z1029" s="624">
        <f t="shared" si="216"/>
        <v>0</v>
      </c>
      <c r="AA1029" s="624">
        <f t="shared" si="216"/>
        <v>0</v>
      </c>
      <c r="AB1029" s="624">
        <f t="shared" si="216"/>
        <v>0</v>
      </c>
      <c r="AC1029" s="624">
        <f t="shared" si="216"/>
        <v>0</v>
      </c>
      <c r="AD1029" s="624">
        <f t="shared" si="216"/>
        <v>0</v>
      </c>
      <c r="AE1029" s="624">
        <f t="shared" si="216"/>
        <v>0</v>
      </c>
      <c r="AF1029" s="404"/>
      <c r="AG1029" s="471"/>
      <c r="AH1029" s="471"/>
      <c r="AI1029" s="471"/>
      <c r="AJ1029" s="471"/>
      <c r="AM1029" s="404"/>
      <c r="AP1029" s="404"/>
      <c r="AQ1029" s="404"/>
    </row>
    <row r="1030" spans="1:48" s="390" customFormat="1" ht="21.9" customHeight="1">
      <c r="A1030" s="454"/>
      <c r="B1030" s="659" t="s">
        <v>754</v>
      </c>
      <c r="C1030" s="662"/>
      <c r="D1030" s="662"/>
      <c r="E1030" s="662"/>
      <c r="F1030" s="498"/>
      <c r="G1030" s="642"/>
      <c r="H1030" s="647"/>
      <c r="I1030" s="499"/>
      <c r="J1030" s="455"/>
      <c r="K1030" s="455"/>
      <c r="L1030" s="312"/>
      <c r="M1030" s="726"/>
      <c r="N1030" s="726"/>
      <c r="O1030" s="726"/>
      <c r="P1030" s="726"/>
      <c r="Q1030" s="611"/>
      <c r="R1030" s="611"/>
      <c r="S1030" s="624"/>
      <c r="T1030" s="625"/>
      <c r="U1030" s="626"/>
      <c r="V1030" s="624"/>
      <c r="W1030" s="624">
        <f t="shared" si="216"/>
        <v>0</v>
      </c>
      <c r="X1030" s="624">
        <f t="shared" si="216"/>
        <v>0</v>
      </c>
      <c r="Y1030" s="624">
        <f t="shared" si="216"/>
        <v>0</v>
      </c>
      <c r="Z1030" s="624">
        <f t="shared" si="216"/>
        <v>0</v>
      </c>
      <c r="AA1030" s="624">
        <f t="shared" si="216"/>
        <v>0</v>
      </c>
      <c r="AB1030" s="624">
        <f t="shared" si="216"/>
        <v>0</v>
      </c>
      <c r="AC1030" s="624">
        <f t="shared" si="216"/>
        <v>0</v>
      </c>
      <c r="AD1030" s="624">
        <f t="shared" si="216"/>
        <v>0</v>
      </c>
      <c r="AE1030" s="624">
        <f t="shared" si="216"/>
        <v>0</v>
      </c>
      <c r="AF1030" s="404"/>
      <c r="AG1030" s="471"/>
      <c r="AH1030" s="471"/>
      <c r="AI1030" s="471"/>
      <c r="AJ1030" s="471"/>
      <c r="AM1030" s="404"/>
      <c r="AP1030" s="404"/>
      <c r="AQ1030" s="404"/>
    </row>
    <row r="1031" spans="1:48" s="390" customFormat="1" ht="22.25" customHeight="1">
      <c r="A1031" s="454"/>
      <c r="B1031" s="657" t="s">
        <v>755</v>
      </c>
      <c r="C1031" s="662"/>
      <c r="D1031" s="662"/>
      <c r="E1031" s="662">
        <v>2</v>
      </c>
      <c r="F1031" s="498">
        <f>9.5-2*0.83</f>
        <v>7.84</v>
      </c>
      <c r="G1031" s="642"/>
      <c r="H1031" s="642"/>
      <c r="I1031" s="499"/>
      <c r="J1031" s="507">
        <f>ROUND(F1031/2,0)</f>
        <v>4</v>
      </c>
      <c r="K1031" s="455">
        <f>IF(J1031=0,1,J1031)*IF(E1031=0,1,E1031)*IF(D1031=0,1,D1031)*IF(C1031=0,1,C1031)</f>
        <v>8</v>
      </c>
      <c r="L1031" s="312"/>
      <c r="M1031" s="722"/>
      <c r="N1031" s="722"/>
      <c r="O1031" s="722"/>
      <c r="P1031" s="722"/>
      <c r="Q1031" s="611"/>
      <c r="R1031" s="611"/>
      <c r="S1031" s="611"/>
      <c r="T1031" s="611"/>
      <c r="U1031" s="611"/>
      <c r="V1031" s="624"/>
      <c r="W1031" s="624">
        <f t="shared" si="216"/>
        <v>0</v>
      </c>
      <c r="X1031" s="624">
        <f t="shared" si="216"/>
        <v>0</v>
      </c>
      <c r="Y1031" s="624">
        <f t="shared" si="216"/>
        <v>0</v>
      </c>
      <c r="Z1031" s="624">
        <f t="shared" si="216"/>
        <v>0</v>
      </c>
      <c r="AA1031" s="624">
        <f t="shared" si="216"/>
        <v>0</v>
      </c>
      <c r="AB1031" s="624">
        <f t="shared" si="216"/>
        <v>0</v>
      </c>
      <c r="AC1031" s="624">
        <f t="shared" si="216"/>
        <v>0</v>
      </c>
      <c r="AD1031" s="624">
        <f t="shared" si="216"/>
        <v>0</v>
      </c>
      <c r="AE1031" s="624">
        <f t="shared" si="216"/>
        <v>0</v>
      </c>
      <c r="AF1031" s="471">
        <f>14*0.75*1*2</f>
        <v>21</v>
      </c>
      <c r="AG1031" s="473"/>
      <c r="AH1031" s="471"/>
      <c r="AI1031" s="471"/>
      <c r="AJ1031" s="471"/>
      <c r="AM1031" s="404"/>
      <c r="AP1031" s="404"/>
      <c r="AQ1031" s="404"/>
    </row>
    <row r="1032" spans="1:48" s="390" customFormat="1" ht="22.25" customHeight="1">
      <c r="A1032" s="454"/>
      <c r="B1032" s="657" t="s">
        <v>756</v>
      </c>
      <c r="C1032" s="662"/>
      <c r="D1032" s="662"/>
      <c r="E1032" s="662">
        <v>2</v>
      </c>
      <c r="F1032" s="498">
        <f>5-1*0.83</f>
        <v>4.17</v>
      </c>
      <c r="G1032" s="642"/>
      <c r="H1032" s="642"/>
      <c r="I1032" s="499"/>
      <c r="J1032" s="507">
        <f>ROUND(F1032/2,0)</f>
        <v>2</v>
      </c>
      <c r="K1032" s="455">
        <f>IF(J1032=0,1,J1032)*IF(E1032=0,1,E1032)*IF(D1032=0,1,D1032)*IF(C1032=0,1,C1032)</f>
        <v>4</v>
      </c>
      <c r="L1032" s="312"/>
      <c r="M1032" s="722"/>
      <c r="N1032" s="722"/>
      <c r="O1032" s="722"/>
      <c r="P1032" s="722"/>
      <c r="Q1032" s="611"/>
      <c r="R1032" s="611"/>
      <c r="S1032" s="624"/>
      <c r="T1032" s="625"/>
      <c r="U1032" s="626"/>
      <c r="V1032" s="624"/>
      <c r="W1032" s="624">
        <f t="shared" si="216"/>
        <v>0</v>
      </c>
      <c r="X1032" s="624">
        <f t="shared" si="216"/>
        <v>0</v>
      </c>
      <c r="Y1032" s="624">
        <f t="shared" si="216"/>
        <v>0</v>
      </c>
      <c r="Z1032" s="624">
        <f t="shared" si="216"/>
        <v>0</v>
      </c>
      <c r="AA1032" s="624">
        <f t="shared" si="216"/>
        <v>0</v>
      </c>
      <c r="AB1032" s="624">
        <f t="shared" si="216"/>
        <v>0</v>
      </c>
      <c r="AC1032" s="624">
        <f t="shared" si="216"/>
        <v>0</v>
      </c>
      <c r="AD1032" s="624">
        <f t="shared" si="216"/>
        <v>0</v>
      </c>
      <c r="AE1032" s="624">
        <f t="shared" si="216"/>
        <v>0</v>
      </c>
      <c r="AF1032" s="471"/>
      <c r="AG1032" s="473"/>
      <c r="AH1032" s="471"/>
      <c r="AI1032" s="471"/>
      <c r="AJ1032" s="471"/>
      <c r="AM1032" s="404"/>
      <c r="AP1032" s="404"/>
      <c r="AQ1032" s="404"/>
    </row>
    <row r="1033" spans="1:48" s="390" customFormat="1" ht="21.9" customHeight="1">
      <c r="A1033" s="454"/>
      <c r="B1033" s="659" t="s">
        <v>692</v>
      </c>
      <c r="C1033" s="662"/>
      <c r="D1033" s="662"/>
      <c r="E1033" s="662"/>
      <c r="F1033" s="498"/>
      <c r="G1033" s="642"/>
      <c r="H1033" s="648"/>
      <c r="I1033" s="499"/>
      <c r="J1033" s="455"/>
      <c r="K1033" s="455"/>
      <c r="L1033" s="312"/>
      <c r="M1033" s="726"/>
      <c r="N1033" s="726"/>
      <c r="O1033" s="726"/>
      <c r="P1033" s="726"/>
      <c r="Q1033" s="611"/>
      <c r="R1033" s="611"/>
      <c r="S1033" s="624"/>
      <c r="T1033" s="625"/>
      <c r="U1033" s="626"/>
      <c r="V1033" s="624"/>
      <c r="W1033" s="624">
        <f t="shared" si="216"/>
        <v>0</v>
      </c>
      <c r="X1033" s="624">
        <f t="shared" si="216"/>
        <v>0</v>
      </c>
      <c r="Y1033" s="624">
        <f t="shared" si="216"/>
        <v>0</v>
      </c>
      <c r="Z1033" s="624">
        <f t="shared" si="216"/>
        <v>0</v>
      </c>
      <c r="AA1033" s="624">
        <f t="shared" si="216"/>
        <v>0</v>
      </c>
      <c r="AB1033" s="624">
        <f t="shared" si="216"/>
        <v>0</v>
      </c>
      <c r="AC1033" s="624">
        <f t="shared" si="216"/>
        <v>0</v>
      </c>
      <c r="AD1033" s="624">
        <f t="shared" si="216"/>
        <v>0</v>
      </c>
      <c r="AE1033" s="624">
        <f t="shared" si="216"/>
        <v>0</v>
      </c>
      <c r="AF1033" s="404"/>
      <c r="AG1033" s="471"/>
      <c r="AH1033" s="471"/>
      <c r="AI1033" s="471"/>
      <c r="AJ1033" s="471"/>
      <c r="AM1033" s="404"/>
      <c r="AP1033" s="404"/>
      <c r="AQ1033" s="404"/>
    </row>
    <row r="1034" spans="1:48" s="390" customFormat="1" ht="22.25" customHeight="1">
      <c r="A1034" s="454"/>
      <c r="B1034" s="659" t="s">
        <v>757</v>
      </c>
      <c r="C1034" s="662"/>
      <c r="D1034" s="662"/>
      <c r="E1034" s="662"/>
      <c r="F1034" s="498"/>
      <c r="G1034" s="642"/>
      <c r="H1034" s="647"/>
      <c r="I1034" s="499"/>
      <c r="J1034" s="507"/>
      <c r="K1034" s="455"/>
      <c r="L1034" s="312"/>
      <c r="M1034" s="722"/>
      <c r="N1034" s="722"/>
      <c r="O1034" s="722"/>
      <c r="P1034" s="722"/>
      <c r="Q1034" s="611"/>
      <c r="R1034" s="611"/>
      <c r="S1034" s="624"/>
      <c r="T1034" s="625"/>
      <c r="U1034" s="626"/>
      <c r="V1034" s="624"/>
      <c r="W1034" s="624">
        <f t="shared" si="216"/>
        <v>0</v>
      </c>
      <c r="X1034" s="624">
        <f t="shared" si="216"/>
        <v>0</v>
      </c>
      <c r="Y1034" s="624">
        <f t="shared" si="216"/>
        <v>0</v>
      </c>
      <c r="Z1034" s="624">
        <f t="shared" si="216"/>
        <v>0</v>
      </c>
      <c r="AA1034" s="624">
        <f t="shared" si="216"/>
        <v>0</v>
      </c>
      <c r="AB1034" s="624">
        <f t="shared" si="216"/>
        <v>0</v>
      </c>
      <c r="AC1034" s="624">
        <f t="shared" si="216"/>
        <v>0</v>
      </c>
      <c r="AD1034" s="624">
        <f t="shared" si="216"/>
        <v>0</v>
      </c>
      <c r="AE1034" s="624">
        <f t="shared" si="216"/>
        <v>0</v>
      </c>
      <c r="AF1034" s="471"/>
      <c r="AG1034" s="473"/>
      <c r="AH1034" s="471"/>
      <c r="AI1034" s="471"/>
      <c r="AJ1034" s="471"/>
      <c r="AM1034" s="404"/>
      <c r="AP1034" s="404"/>
      <c r="AQ1034" s="404"/>
    </row>
    <row r="1035" spans="1:48" s="390" customFormat="1" ht="22.25" customHeight="1">
      <c r="A1035" s="454"/>
      <c r="B1035" s="657" t="s">
        <v>759</v>
      </c>
      <c r="C1035" s="662"/>
      <c r="D1035" s="662"/>
      <c r="E1035" s="662">
        <v>7</v>
      </c>
      <c r="F1035" s="498">
        <v>6</v>
      </c>
      <c r="G1035" s="642"/>
      <c r="H1035" s="642"/>
      <c r="I1035" s="499"/>
      <c r="J1035" s="507">
        <f>ROUND(F1035/2,0)</f>
        <v>3</v>
      </c>
      <c r="K1035" s="455">
        <f>IF(J1035=0,1,J1035)*IF(E1035=0,1,E1035)*IF(D1035=0,1,D1035)*IF(C1035=0,1,C1035)</f>
        <v>21</v>
      </c>
      <c r="L1035" s="312"/>
      <c r="M1035" s="722"/>
      <c r="N1035" s="722"/>
      <c r="O1035" s="722"/>
      <c r="P1035" s="722"/>
      <c r="Q1035" s="611"/>
      <c r="R1035" s="611"/>
      <c r="S1035" s="624"/>
      <c r="T1035" s="625"/>
      <c r="U1035" s="626"/>
      <c r="V1035" s="624"/>
      <c r="W1035" s="624">
        <f t="shared" si="216"/>
        <v>0</v>
      </c>
      <c r="X1035" s="624">
        <f t="shared" si="216"/>
        <v>0</v>
      </c>
      <c r="Y1035" s="624">
        <f t="shared" si="216"/>
        <v>0</v>
      </c>
      <c r="Z1035" s="624">
        <f t="shared" si="216"/>
        <v>0</v>
      </c>
      <c r="AA1035" s="624">
        <f t="shared" si="216"/>
        <v>0</v>
      </c>
      <c r="AB1035" s="624">
        <f t="shared" si="216"/>
        <v>0</v>
      </c>
      <c r="AC1035" s="624">
        <f t="shared" si="216"/>
        <v>0</v>
      </c>
      <c r="AD1035" s="624">
        <f t="shared" si="216"/>
        <v>0</v>
      </c>
      <c r="AE1035" s="624">
        <f t="shared" si="216"/>
        <v>0</v>
      </c>
      <c r="AF1035" s="471"/>
      <c r="AG1035" s="473"/>
      <c r="AH1035" s="471"/>
      <c r="AI1035" s="471"/>
      <c r="AJ1035" s="471"/>
      <c r="AM1035" s="404"/>
      <c r="AP1035" s="404"/>
      <c r="AQ1035" s="404"/>
    </row>
    <row r="1036" spans="1:48" s="390" customFormat="1" ht="22.25" customHeight="1">
      <c r="A1036" s="454"/>
      <c r="B1036" s="657" t="s">
        <v>540</v>
      </c>
      <c r="C1036" s="662"/>
      <c r="D1036" s="662"/>
      <c r="E1036" s="662">
        <v>1</v>
      </c>
      <c r="F1036" s="498">
        <v>5</v>
      </c>
      <c r="G1036" s="642"/>
      <c r="H1036" s="642"/>
      <c r="I1036" s="499"/>
      <c r="J1036" s="507">
        <f>ROUND(F1036/2,0)</f>
        <v>3</v>
      </c>
      <c r="K1036" s="455">
        <f>IF(J1036=0,1,J1036)*IF(E1036=0,1,E1036)*IF(D1036=0,1,D1036)*IF(C1036=0,1,C1036)</f>
        <v>3</v>
      </c>
      <c r="L1036" s="312"/>
      <c r="M1036" s="722"/>
      <c r="N1036" s="722"/>
      <c r="O1036" s="722"/>
      <c r="P1036" s="722"/>
      <c r="Q1036" s="611"/>
      <c r="R1036" s="611"/>
      <c r="S1036" s="624"/>
      <c r="T1036" s="625"/>
      <c r="U1036" s="626"/>
      <c r="V1036" s="624"/>
      <c r="W1036" s="624">
        <f t="shared" si="216"/>
        <v>0</v>
      </c>
      <c r="X1036" s="624">
        <f t="shared" si="216"/>
        <v>0</v>
      </c>
      <c r="Y1036" s="624">
        <f t="shared" si="216"/>
        <v>0</v>
      </c>
      <c r="Z1036" s="624">
        <f t="shared" si="216"/>
        <v>0</v>
      </c>
      <c r="AA1036" s="624">
        <f t="shared" si="216"/>
        <v>0</v>
      </c>
      <c r="AB1036" s="624">
        <f t="shared" si="216"/>
        <v>0</v>
      </c>
      <c r="AC1036" s="624">
        <f t="shared" si="216"/>
        <v>0</v>
      </c>
      <c r="AD1036" s="624">
        <f t="shared" si="216"/>
        <v>0</v>
      </c>
      <c r="AE1036" s="624">
        <f t="shared" si="216"/>
        <v>0</v>
      </c>
      <c r="AF1036" s="471"/>
      <c r="AG1036" s="473"/>
      <c r="AH1036" s="471"/>
      <c r="AI1036" s="471"/>
      <c r="AJ1036" s="471"/>
      <c r="AM1036" s="404"/>
      <c r="AP1036" s="404"/>
      <c r="AQ1036" s="404"/>
    </row>
    <row r="1037" spans="1:48" s="390" customFormat="1" ht="22.25" customHeight="1">
      <c r="A1037" s="454"/>
      <c r="B1037" s="659" t="s">
        <v>761</v>
      </c>
      <c r="C1037" s="662"/>
      <c r="D1037" s="662"/>
      <c r="E1037" s="662"/>
      <c r="F1037" s="498"/>
      <c r="G1037" s="642"/>
      <c r="H1037" s="647"/>
      <c r="I1037" s="499"/>
      <c r="J1037" s="507"/>
      <c r="K1037" s="455"/>
      <c r="L1037" s="312"/>
      <c r="M1037" s="722"/>
      <c r="N1037" s="722"/>
      <c r="O1037" s="722"/>
      <c r="P1037" s="722"/>
      <c r="Q1037" s="611"/>
      <c r="R1037" s="611"/>
      <c r="S1037" s="611"/>
      <c r="T1037" s="611"/>
      <c r="U1037" s="611"/>
      <c r="V1037" s="624"/>
      <c r="W1037" s="624">
        <f t="shared" si="216"/>
        <v>0</v>
      </c>
      <c r="X1037" s="624">
        <f t="shared" si="216"/>
        <v>0</v>
      </c>
      <c r="Y1037" s="624">
        <f t="shared" si="216"/>
        <v>0</v>
      </c>
      <c r="Z1037" s="624">
        <f t="shared" si="216"/>
        <v>0</v>
      </c>
      <c r="AA1037" s="624">
        <f t="shared" si="216"/>
        <v>0</v>
      </c>
      <c r="AB1037" s="624">
        <f t="shared" si="216"/>
        <v>0</v>
      </c>
      <c r="AC1037" s="624">
        <f t="shared" si="216"/>
        <v>0</v>
      </c>
      <c r="AD1037" s="624">
        <f t="shared" si="216"/>
        <v>0</v>
      </c>
      <c r="AE1037" s="624">
        <f t="shared" si="216"/>
        <v>0</v>
      </c>
      <c r="AF1037" s="471">
        <f>14*0.75*1*2</f>
        <v>21</v>
      </c>
      <c r="AG1037" s="473"/>
      <c r="AH1037" s="471"/>
      <c r="AI1037" s="471"/>
      <c r="AJ1037" s="471"/>
      <c r="AM1037" s="404"/>
      <c r="AP1037" s="404"/>
      <c r="AQ1037" s="404"/>
    </row>
    <row r="1038" spans="1:48" s="390" customFormat="1" ht="22.25" customHeight="1">
      <c r="A1038" s="454"/>
      <c r="B1038" s="657" t="s">
        <v>760</v>
      </c>
      <c r="C1038" s="662"/>
      <c r="D1038" s="662"/>
      <c r="E1038" s="662">
        <v>1</v>
      </c>
      <c r="F1038" s="498">
        <v>6</v>
      </c>
      <c r="G1038" s="642"/>
      <c r="H1038" s="642"/>
      <c r="I1038" s="499"/>
      <c r="J1038" s="507">
        <f t="shared" ref="J1038:J1047" si="217">ROUND(F1038/2,0)</f>
        <v>3</v>
      </c>
      <c r="K1038" s="455">
        <f t="shared" ref="K1038:K1047" si="218">IF(J1038=0,1,J1038)*IF(E1038=0,1,E1038)*IF(D1038=0,1,D1038)*IF(C1038=0,1,C1038)</f>
        <v>3</v>
      </c>
      <c r="L1038" s="312"/>
      <c r="M1038" s="722"/>
      <c r="N1038" s="722"/>
      <c r="O1038" s="722"/>
      <c r="P1038" s="722"/>
      <c r="Q1038" s="611"/>
      <c r="R1038" s="611"/>
      <c r="S1038" s="611"/>
      <c r="T1038" s="611"/>
      <c r="U1038" s="611"/>
      <c r="V1038" s="624"/>
      <c r="W1038" s="624">
        <f t="shared" si="216"/>
        <v>0</v>
      </c>
      <c r="X1038" s="624">
        <f t="shared" si="216"/>
        <v>0</v>
      </c>
      <c r="Y1038" s="624">
        <f t="shared" si="216"/>
        <v>0</v>
      </c>
      <c r="Z1038" s="624">
        <f t="shared" si="216"/>
        <v>0</v>
      </c>
      <c r="AA1038" s="624">
        <f t="shared" si="216"/>
        <v>0</v>
      </c>
      <c r="AB1038" s="624">
        <f t="shared" si="216"/>
        <v>0</v>
      </c>
      <c r="AC1038" s="624">
        <f t="shared" si="216"/>
        <v>0</v>
      </c>
      <c r="AD1038" s="624">
        <f t="shared" si="216"/>
        <v>0</v>
      </c>
      <c r="AE1038" s="624">
        <f t="shared" si="216"/>
        <v>0</v>
      </c>
      <c r="AF1038" s="471">
        <f>14*0.75*1*2</f>
        <v>21</v>
      </c>
      <c r="AG1038" s="473"/>
      <c r="AH1038" s="471"/>
      <c r="AI1038" s="471"/>
      <c r="AJ1038" s="471"/>
      <c r="AM1038" s="404"/>
      <c r="AP1038" s="404"/>
      <c r="AQ1038" s="404"/>
    </row>
    <row r="1039" spans="1:48" s="390" customFormat="1" ht="22.25" customHeight="1">
      <c r="A1039" s="454"/>
      <c r="B1039" s="657" t="s">
        <v>762</v>
      </c>
      <c r="C1039" s="662"/>
      <c r="D1039" s="662">
        <v>2</v>
      </c>
      <c r="E1039" s="662">
        <v>5</v>
      </c>
      <c r="F1039" s="498">
        <f>14.5-2*0.83</f>
        <v>12.84</v>
      </c>
      <c r="G1039" s="642"/>
      <c r="H1039" s="642"/>
      <c r="I1039" s="499"/>
      <c r="J1039" s="507">
        <f t="shared" si="217"/>
        <v>6</v>
      </c>
      <c r="K1039" s="455">
        <f t="shared" si="218"/>
        <v>60</v>
      </c>
      <c r="L1039" s="312"/>
      <c r="M1039" s="722"/>
      <c r="N1039" s="722"/>
      <c r="O1039" s="722"/>
      <c r="P1039" s="722"/>
      <c r="Q1039" s="611"/>
      <c r="R1039" s="611"/>
      <c r="S1039" s="624"/>
      <c r="T1039" s="625"/>
      <c r="U1039" s="626"/>
      <c r="V1039" s="624"/>
      <c r="W1039" s="624">
        <f t="shared" si="216"/>
        <v>0</v>
      </c>
      <c r="X1039" s="624">
        <f t="shared" si="216"/>
        <v>0</v>
      </c>
      <c r="Y1039" s="624">
        <f t="shared" si="216"/>
        <v>0</v>
      </c>
      <c r="Z1039" s="624">
        <f t="shared" si="216"/>
        <v>0</v>
      </c>
      <c r="AA1039" s="624">
        <f t="shared" si="216"/>
        <v>0</v>
      </c>
      <c r="AB1039" s="624">
        <f t="shared" si="216"/>
        <v>0</v>
      </c>
      <c r="AC1039" s="624">
        <f t="shared" si="216"/>
        <v>0</v>
      </c>
      <c r="AD1039" s="624">
        <f t="shared" si="216"/>
        <v>0</v>
      </c>
      <c r="AE1039" s="624">
        <f t="shared" si="216"/>
        <v>0</v>
      </c>
      <c r="AF1039" s="471"/>
      <c r="AG1039" s="473"/>
      <c r="AH1039" s="471"/>
      <c r="AI1039" s="471"/>
      <c r="AJ1039" s="471"/>
      <c r="AM1039" s="404"/>
      <c r="AP1039" s="404"/>
      <c r="AQ1039" s="404"/>
    </row>
    <row r="1040" spans="1:48" s="390" customFormat="1" ht="21.9" customHeight="1">
      <c r="A1040" s="454"/>
      <c r="B1040" s="657" t="s">
        <v>733</v>
      </c>
      <c r="C1040" s="662"/>
      <c r="D1040" s="662"/>
      <c r="E1040" s="662">
        <v>1</v>
      </c>
      <c r="F1040" s="498">
        <f>35-4*0.83</f>
        <v>31.68</v>
      </c>
      <c r="G1040" s="642"/>
      <c r="H1040" s="642"/>
      <c r="I1040" s="501"/>
      <c r="J1040" s="507">
        <f t="shared" si="217"/>
        <v>16</v>
      </c>
      <c r="K1040" s="455">
        <f t="shared" si="218"/>
        <v>16</v>
      </c>
      <c r="L1040" s="312"/>
      <c r="M1040" s="726"/>
      <c r="N1040" s="726"/>
      <c r="O1040" s="726"/>
      <c r="P1040" s="726"/>
      <c r="Q1040" s="611"/>
      <c r="R1040" s="611"/>
      <c r="S1040" s="624"/>
      <c r="T1040" s="625"/>
      <c r="U1040" s="626"/>
      <c r="V1040" s="624"/>
      <c r="W1040" s="624">
        <f t="shared" si="216"/>
        <v>0</v>
      </c>
      <c r="X1040" s="624">
        <f t="shared" si="216"/>
        <v>0</v>
      </c>
      <c r="Y1040" s="624">
        <f t="shared" si="216"/>
        <v>0</v>
      </c>
      <c r="Z1040" s="624">
        <f t="shared" si="216"/>
        <v>0</v>
      </c>
      <c r="AA1040" s="624">
        <f t="shared" si="216"/>
        <v>0</v>
      </c>
      <c r="AB1040" s="624">
        <f t="shared" si="216"/>
        <v>0</v>
      </c>
      <c r="AC1040" s="624">
        <f t="shared" si="216"/>
        <v>0</v>
      </c>
      <c r="AD1040" s="624">
        <f t="shared" si="216"/>
        <v>0</v>
      </c>
      <c r="AE1040" s="624">
        <f t="shared" si="216"/>
        <v>0</v>
      </c>
      <c r="AF1040" s="404"/>
      <c r="AG1040" s="471"/>
      <c r="AH1040" s="471"/>
      <c r="AI1040" s="471"/>
      <c r="AJ1040" s="471"/>
      <c r="AM1040" s="404"/>
      <c r="AP1040" s="404"/>
      <c r="AQ1040" s="404"/>
    </row>
    <row r="1041" spans="1:43" s="390" customFormat="1" ht="21.9" customHeight="1">
      <c r="A1041" s="454"/>
      <c r="B1041" s="657" t="s">
        <v>743</v>
      </c>
      <c r="C1041" s="662"/>
      <c r="D1041" s="662"/>
      <c r="E1041" s="662">
        <v>2</v>
      </c>
      <c r="F1041" s="498">
        <f>5-0.83</f>
        <v>4.17</v>
      </c>
      <c r="G1041" s="642"/>
      <c r="H1041" s="642"/>
      <c r="I1041" s="499"/>
      <c r="J1041" s="507">
        <f t="shared" si="217"/>
        <v>2</v>
      </c>
      <c r="K1041" s="455">
        <f t="shared" si="218"/>
        <v>4</v>
      </c>
      <c r="L1041" s="312"/>
      <c r="M1041" s="726"/>
      <c r="N1041" s="726"/>
      <c r="O1041" s="726"/>
      <c r="P1041" s="726"/>
      <c r="Q1041" s="611"/>
      <c r="R1041" s="611"/>
      <c r="S1041" s="624"/>
      <c r="T1041" s="625"/>
      <c r="U1041" s="626"/>
      <c r="V1041" s="624"/>
      <c r="W1041" s="624">
        <f t="shared" si="216"/>
        <v>0</v>
      </c>
      <c r="X1041" s="624">
        <f t="shared" si="216"/>
        <v>0</v>
      </c>
      <c r="Y1041" s="624">
        <f t="shared" si="216"/>
        <v>0</v>
      </c>
      <c r="Z1041" s="624">
        <f t="shared" si="216"/>
        <v>0</v>
      </c>
      <c r="AA1041" s="624">
        <f t="shared" si="216"/>
        <v>0</v>
      </c>
      <c r="AB1041" s="624">
        <f t="shared" si="216"/>
        <v>0</v>
      </c>
      <c r="AC1041" s="624">
        <f t="shared" si="216"/>
        <v>0</v>
      </c>
      <c r="AD1041" s="624">
        <f t="shared" si="216"/>
        <v>0</v>
      </c>
      <c r="AE1041" s="624">
        <f t="shared" si="216"/>
        <v>0</v>
      </c>
      <c r="AF1041" s="404"/>
      <c r="AG1041" s="471"/>
      <c r="AH1041" s="471"/>
      <c r="AI1041" s="471"/>
      <c r="AJ1041" s="471"/>
      <c r="AM1041" s="404"/>
      <c r="AP1041" s="404"/>
      <c r="AQ1041" s="404"/>
    </row>
    <row r="1042" spans="1:43" s="390" customFormat="1" ht="22.25" customHeight="1">
      <c r="A1042" s="454"/>
      <c r="B1042" s="657" t="s">
        <v>539</v>
      </c>
      <c r="C1042" s="662"/>
      <c r="D1042" s="662"/>
      <c r="E1042" s="662">
        <v>1</v>
      </c>
      <c r="F1042" s="498">
        <f>45-4*0.83</f>
        <v>41.68</v>
      </c>
      <c r="G1042" s="642"/>
      <c r="H1042" s="642"/>
      <c r="I1042" s="499"/>
      <c r="J1042" s="507">
        <f t="shared" si="217"/>
        <v>21</v>
      </c>
      <c r="K1042" s="455">
        <f t="shared" si="218"/>
        <v>21</v>
      </c>
      <c r="L1042" s="312"/>
      <c r="M1042" s="722"/>
      <c r="N1042" s="722"/>
      <c r="O1042" s="722"/>
      <c r="P1042" s="722"/>
      <c r="Q1042" s="611"/>
      <c r="R1042" s="611"/>
      <c r="S1042" s="624"/>
      <c r="T1042" s="625"/>
      <c r="U1042" s="626"/>
      <c r="V1042" s="624"/>
      <c r="W1042" s="624">
        <f t="shared" si="216"/>
        <v>0</v>
      </c>
      <c r="X1042" s="624">
        <f t="shared" si="216"/>
        <v>0</v>
      </c>
      <c r="Y1042" s="624">
        <f t="shared" si="216"/>
        <v>0</v>
      </c>
      <c r="Z1042" s="624">
        <f t="shared" si="216"/>
        <v>0</v>
      </c>
      <c r="AA1042" s="624">
        <f t="shared" si="216"/>
        <v>0</v>
      </c>
      <c r="AB1042" s="624">
        <f t="shared" si="216"/>
        <v>0</v>
      </c>
      <c r="AC1042" s="624">
        <f t="shared" si="216"/>
        <v>0</v>
      </c>
      <c r="AD1042" s="624">
        <f t="shared" si="216"/>
        <v>0</v>
      </c>
      <c r="AE1042" s="624">
        <f t="shared" si="216"/>
        <v>0</v>
      </c>
      <c r="AF1042" s="471"/>
      <c r="AG1042" s="473"/>
      <c r="AH1042" s="471"/>
      <c r="AI1042" s="471"/>
      <c r="AJ1042" s="471"/>
      <c r="AM1042" s="404"/>
      <c r="AP1042" s="404"/>
      <c r="AQ1042" s="404"/>
    </row>
    <row r="1043" spans="1:43" s="390" customFormat="1" ht="22.25" customHeight="1">
      <c r="A1043" s="454"/>
      <c r="B1043" s="657" t="s">
        <v>765</v>
      </c>
      <c r="C1043" s="662"/>
      <c r="D1043" s="662"/>
      <c r="E1043" s="662">
        <v>2</v>
      </c>
      <c r="F1043" s="498">
        <f>15-1.5*0.83</f>
        <v>13.755000000000001</v>
      </c>
      <c r="G1043" s="642"/>
      <c r="H1043" s="642"/>
      <c r="I1043" s="499"/>
      <c r="J1043" s="507">
        <f t="shared" si="217"/>
        <v>7</v>
      </c>
      <c r="K1043" s="455">
        <f>IF(J1043=0,1,J1043)*IF(E1043=0,1,E1043)*IF(D1043=0,1,D1043)*IF(C1043=0,1,C1043)</f>
        <v>14</v>
      </c>
      <c r="L1043" s="312"/>
      <c r="M1043" s="722"/>
      <c r="N1043" s="722"/>
      <c r="O1043" s="722"/>
      <c r="P1043" s="722"/>
      <c r="Q1043" s="611"/>
      <c r="R1043" s="611"/>
      <c r="S1043" s="611"/>
      <c r="T1043" s="611"/>
      <c r="U1043" s="611"/>
      <c r="V1043" s="624"/>
      <c r="W1043" s="624">
        <f t="shared" si="216"/>
        <v>0</v>
      </c>
      <c r="X1043" s="624">
        <f t="shared" si="216"/>
        <v>0</v>
      </c>
      <c r="Y1043" s="624">
        <f t="shared" si="216"/>
        <v>0</v>
      </c>
      <c r="Z1043" s="624">
        <f t="shared" si="216"/>
        <v>0</v>
      </c>
      <c r="AA1043" s="624">
        <f t="shared" si="216"/>
        <v>0</v>
      </c>
      <c r="AB1043" s="624">
        <f t="shared" si="216"/>
        <v>0</v>
      </c>
      <c r="AC1043" s="624">
        <f t="shared" si="216"/>
        <v>0</v>
      </c>
      <c r="AD1043" s="624">
        <f t="shared" si="216"/>
        <v>0</v>
      </c>
      <c r="AE1043" s="624">
        <f t="shared" si="216"/>
        <v>0</v>
      </c>
      <c r="AF1043" s="471">
        <f>14*0.75*1*2</f>
        <v>21</v>
      </c>
      <c r="AG1043" s="473"/>
      <c r="AH1043" s="471"/>
      <c r="AI1043" s="471"/>
      <c r="AJ1043" s="471"/>
      <c r="AM1043" s="404"/>
      <c r="AP1043" s="404"/>
      <c r="AQ1043" s="404"/>
    </row>
    <row r="1044" spans="1:43" s="390" customFormat="1" ht="21.9" customHeight="1">
      <c r="A1044" s="454"/>
      <c r="B1044" s="657" t="s">
        <v>764</v>
      </c>
      <c r="C1044" s="662"/>
      <c r="D1044" s="662"/>
      <c r="E1044" s="662">
        <v>2</v>
      </c>
      <c r="F1044" s="498">
        <f>45+5-5*0.83</f>
        <v>45.85</v>
      </c>
      <c r="G1044" s="642"/>
      <c r="H1044" s="642"/>
      <c r="I1044" s="499"/>
      <c r="J1044" s="507">
        <f t="shared" si="217"/>
        <v>23</v>
      </c>
      <c r="K1044" s="455">
        <f>IF(J1044=0,1,J1044)*IF(E1044=0,1,E1044)*IF(D1044=0,1,D1044)*IF(C1044=0,1,C1044)</f>
        <v>46</v>
      </c>
      <c r="L1044" s="312"/>
      <c r="M1044" s="726"/>
      <c r="N1044" s="726"/>
      <c r="O1044" s="726"/>
      <c r="P1044" s="726"/>
      <c r="Q1044" s="611"/>
      <c r="R1044" s="611"/>
      <c r="S1044" s="624"/>
      <c r="T1044" s="625"/>
      <c r="U1044" s="626"/>
      <c r="V1044" s="624"/>
      <c r="W1044" s="624">
        <f t="shared" ref="W1044:AE1056" si="219">IF($R1044=W$5,$V1044,0)</f>
        <v>0</v>
      </c>
      <c r="X1044" s="624">
        <f t="shared" si="219"/>
        <v>0</v>
      </c>
      <c r="Y1044" s="624">
        <f t="shared" si="219"/>
        <v>0</v>
      </c>
      <c r="Z1044" s="624">
        <f t="shared" si="219"/>
        <v>0</v>
      </c>
      <c r="AA1044" s="624">
        <f t="shared" si="219"/>
        <v>0</v>
      </c>
      <c r="AB1044" s="624">
        <f t="shared" si="219"/>
        <v>0</v>
      </c>
      <c r="AC1044" s="624">
        <f t="shared" si="219"/>
        <v>0</v>
      </c>
      <c r="AD1044" s="624">
        <f t="shared" si="219"/>
        <v>0</v>
      </c>
      <c r="AE1044" s="624">
        <f t="shared" si="219"/>
        <v>0</v>
      </c>
      <c r="AF1044" s="404"/>
      <c r="AG1044" s="471"/>
      <c r="AH1044" s="471"/>
      <c r="AI1044" s="471"/>
      <c r="AJ1044" s="471"/>
      <c r="AM1044" s="404"/>
      <c r="AP1044" s="404"/>
      <c r="AQ1044" s="404"/>
    </row>
    <row r="1045" spans="1:43" s="390" customFormat="1" ht="22.25" customHeight="1">
      <c r="A1045" s="454"/>
      <c r="B1045" s="657" t="s">
        <v>766</v>
      </c>
      <c r="C1045" s="662"/>
      <c r="D1045" s="662"/>
      <c r="E1045" s="662">
        <v>1</v>
      </c>
      <c r="F1045" s="498">
        <f>10-2*0.83</f>
        <v>8.34</v>
      </c>
      <c r="G1045" s="642"/>
      <c r="H1045" s="642"/>
      <c r="I1045" s="499"/>
      <c r="J1045" s="507">
        <f t="shared" si="217"/>
        <v>4</v>
      </c>
      <c r="K1045" s="455">
        <f t="shared" si="218"/>
        <v>4</v>
      </c>
      <c r="L1045" s="312"/>
      <c r="M1045" s="722"/>
      <c r="N1045" s="722"/>
      <c r="O1045" s="722"/>
      <c r="P1045" s="722"/>
      <c r="Q1045" s="611"/>
      <c r="R1045" s="611"/>
      <c r="S1045" s="611"/>
      <c r="T1045" s="611"/>
      <c r="U1045" s="611"/>
      <c r="V1045" s="624"/>
      <c r="W1045" s="624">
        <f t="shared" si="219"/>
        <v>0</v>
      </c>
      <c r="X1045" s="624">
        <f t="shared" si="219"/>
        <v>0</v>
      </c>
      <c r="Y1045" s="624">
        <f t="shared" si="219"/>
        <v>0</v>
      </c>
      <c r="Z1045" s="624">
        <f t="shared" si="219"/>
        <v>0</v>
      </c>
      <c r="AA1045" s="624">
        <f t="shared" si="219"/>
        <v>0</v>
      </c>
      <c r="AB1045" s="624">
        <f t="shared" si="219"/>
        <v>0</v>
      </c>
      <c r="AC1045" s="624">
        <f t="shared" si="219"/>
        <v>0</v>
      </c>
      <c r="AD1045" s="624">
        <f t="shared" si="219"/>
        <v>0</v>
      </c>
      <c r="AE1045" s="624">
        <f t="shared" si="219"/>
        <v>0</v>
      </c>
      <c r="AF1045" s="471">
        <f>14*0.75*1*2</f>
        <v>21</v>
      </c>
      <c r="AG1045" s="473"/>
      <c r="AH1045" s="471"/>
      <c r="AI1045" s="471"/>
      <c r="AJ1045" s="471"/>
      <c r="AM1045" s="404"/>
      <c r="AP1045" s="404"/>
      <c r="AQ1045" s="404"/>
    </row>
    <row r="1046" spans="1:43" s="390" customFormat="1" ht="22.25" customHeight="1">
      <c r="A1046" s="454"/>
      <c r="B1046" s="657" t="s">
        <v>767</v>
      </c>
      <c r="C1046" s="662"/>
      <c r="D1046" s="662"/>
      <c r="E1046" s="662">
        <v>1</v>
      </c>
      <c r="F1046" s="498">
        <f>30-3*0.83</f>
        <v>27.51</v>
      </c>
      <c r="G1046" s="642"/>
      <c r="H1046" s="642"/>
      <c r="I1046" s="499"/>
      <c r="J1046" s="507">
        <f t="shared" si="217"/>
        <v>14</v>
      </c>
      <c r="K1046" s="455">
        <f t="shared" si="218"/>
        <v>14</v>
      </c>
      <c r="L1046" s="312"/>
      <c r="M1046" s="722"/>
      <c r="N1046" s="722"/>
      <c r="O1046" s="722"/>
      <c r="P1046" s="722"/>
      <c r="Q1046" s="611"/>
      <c r="R1046" s="611"/>
      <c r="S1046" s="624"/>
      <c r="T1046" s="625"/>
      <c r="U1046" s="626"/>
      <c r="V1046" s="624"/>
      <c r="W1046" s="624">
        <f t="shared" si="219"/>
        <v>0</v>
      </c>
      <c r="X1046" s="624">
        <f t="shared" si="219"/>
        <v>0</v>
      </c>
      <c r="Y1046" s="624">
        <f t="shared" si="219"/>
        <v>0</v>
      </c>
      <c r="Z1046" s="624">
        <f t="shared" si="219"/>
        <v>0</v>
      </c>
      <c r="AA1046" s="624">
        <f t="shared" si="219"/>
        <v>0</v>
      </c>
      <c r="AB1046" s="624">
        <f t="shared" si="219"/>
        <v>0</v>
      </c>
      <c r="AC1046" s="624">
        <f t="shared" si="219"/>
        <v>0</v>
      </c>
      <c r="AD1046" s="624">
        <f t="shared" si="219"/>
        <v>0</v>
      </c>
      <c r="AE1046" s="624">
        <f t="shared" si="219"/>
        <v>0</v>
      </c>
      <c r="AF1046" s="471"/>
      <c r="AG1046" s="473"/>
      <c r="AH1046" s="471"/>
      <c r="AI1046" s="471"/>
      <c r="AJ1046" s="471"/>
      <c r="AM1046" s="404"/>
      <c r="AP1046" s="404"/>
      <c r="AQ1046" s="404"/>
    </row>
    <row r="1047" spans="1:43" s="390" customFormat="1" ht="22.25" customHeight="1">
      <c r="A1047" s="454"/>
      <c r="B1047" s="657" t="s">
        <v>610</v>
      </c>
      <c r="C1047" s="662"/>
      <c r="D1047" s="662"/>
      <c r="E1047" s="662">
        <v>1</v>
      </c>
      <c r="F1047" s="498">
        <v>5</v>
      </c>
      <c r="G1047" s="642"/>
      <c r="H1047" s="642"/>
      <c r="I1047" s="499"/>
      <c r="J1047" s="507">
        <f t="shared" si="217"/>
        <v>3</v>
      </c>
      <c r="K1047" s="455">
        <f t="shared" si="218"/>
        <v>3</v>
      </c>
      <c r="L1047" s="312"/>
      <c r="M1047" s="722"/>
      <c r="N1047" s="722"/>
      <c r="O1047" s="722"/>
      <c r="P1047" s="722"/>
      <c r="Q1047" s="611"/>
      <c r="R1047" s="611"/>
      <c r="S1047" s="624"/>
      <c r="T1047" s="625"/>
      <c r="U1047" s="626"/>
      <c r="V1047" s="624"/>
      <c r="W1047" s="624">
        <f t="shared" si="219"/>
        <v>0</v>
      </c>
      <c r="X1047" s="624">
        <f t="shared" si="219"/>
        <v>0</v>
      </c>
      <c r="Y1047" s="624">
        <f t="shared" si="219"/>
        <v>0</v>
      </c>
      <c r="Z1047" s="624">
        <f t="shared" si="219"/>
        <v>0</v>
      </c>
      <c r="AA1047" s="624">
        <f t="shared" si="219"/>
        <v>0</v>
      </c>
      <c r="AB1047" s="624">
        <f t="shared" si="219"/>
        <v>0</v>
      </c>
      <c r="AC1047" s="624">
        <f t="shared" si="219"/>
        <v>0</v>
      </c>
      <c r="AD1047" s="624">
        <f t="shared" si="219"/>
        <v>0</v>
      </c>
      <c r="AE1047" s="624">
        <f t="shared" si="219"/>
        <v>0</v>
      </c>
      <c r="AF1047" s="471"/>
      <c r="AG1047" s="473"/>
      <c r="AH1047" s="471"/>
      <c r="AI1047" s="471"/>
      <c r="AJ1047" s="471"/>
      <c r="AM1047" s="404"/>
      <c r="AP1047" s="404"/>
      <c r="AQ1047" s="404"/>
    </row>
    <row r="1048" spans="1:43" s="390" customFormat="1" ht="26.25" customHeight="1">
      <c r="A1048" s="454"/>
      <c r="B1048" s="660"/>
      <c r="C1048" s="662"/>
      <c r="D1048" s="662"/>
      <c r="E1048" s="662"/>
      <c r="F1048" s="498"/>
      <c r="G1048" s="642"/>
      <c r="H1048" s="642"/>
      <c r="I1048" s="458" t="str">
        <f>B1028</f>
        <v>Roof Floor Beam</v>
      </c>
      <c r="J1048" s="455"/>
      <c r="K1048" s="455">
        <f>SUM(K1028:K1047)</f>
        <v>221</v>
      </c>
      <c r="L1048" s="312" t="s">
        <v>304</v>
      </c>
      <c r="M1048" s="726"/>
      <c r="N1048" s="726"/>
      <c r="O1048" s="726"/>
      <c r="P1048" s="726"/>
      <c r="Q1048" s="611"/>
      <c r="R1048" s="611"/>
      <c r="S1048" s="611"/>
      <c r="T1048" s="626"/>
      <c r="U1048" s="624"/>
      <c r="V1048" s="624"/>
      <c r="W1048" s="624">
        <f t="shared" si="219"/>
        <v>0</v>
      </c>
      <c r="X1048" s="624">
        <f t="shared" si="219"/>
        <v>0</v>
      </c>
      <c r="Y1048" s="624">
        <f t="shared" si="219"/>
        <v>0</v>
      </c>
      <c r="Z1048" s="624">
        <f t="shared" si="219"/>
        <v>0</v>
      </c>
      <c r="AA1048" s="624">
        <f t="shared" si="219"/>
        <v>0</v>
      </c>
      <c r="AB1048" s="624">
        <f t="shared" si="219"/>
        <v>0</v>
      </c>
      <c r="AC1048" s="624">
        <f t="shared" si="219"/>
        <v>0</v>
      </c>
      <c r="AD1048" s="624">
        <f t="shared" si="219"/>
        <v>0</v>
      </c>
      <c r="AE1048" s="624">
        <f t="shared" si="219"/>
        <v>0</v>
      </c>
      <c r="AF1048" s="404"/>
      <c r="AG1048" s="471"/>
      <c r="AH1048" s="471"/>
      <c r="AI1048" s="471"/>
      <c r="AJ1048" s="471"/>
      <c r="AM1048" s="404"/>
      <c r="AP1048" s="404"/>
      <c r="AQ1048" s="404"/>
    </row>
    <row r="1049" spans="1:43" s="390" customFormat="1" ht="21.9" customHeight="1">
      <c r="A1049" s="454"/>
      <c r="B1049" s="659" t="s">
        <v>480</v>
      </c>
      <c r="C1049" s="662"/>
      <c r="D1049" s="662"/>
      <c r="E1049" s="662"/>
      <c r="F1049" s="498"/>
      <c r="G1049" s="642"/>
      <c r="H1049" s="648"/>
      <c r="I1049" s="501"/>
      <c r="J1049" s="455"/>
      <c r="K1049" s="455"/>
      <c r="L1049" s="312"/>
      <c r="M1049" s="726"/>
      <c r="N1049" s="726"/>
      <c r="O1049" s="726"/>
      <c r="P1049" s="726"/>
      <c r="Q1049" s="611"/>
      <c r="R1049" s="611"/>
      <c r="S1049" s="624"/>
      <c r="T1049" s="625"/>
      <c r="U1049" s="626"/>
      <c r="V1049" s="624"/>
      <c r="W1049" s="624">
        <f t="shared" si="219"/>
        <v>0</v>
      </c>
      <c r="X1049" s="624">
        <f t="shared" si="219"/>
        <v>0</v>
      </c>
      <c r="Y1049" s="624">
        <f t="shared" si="219"/>
        <v>0</v>
      </c>
      <c r="Z1049" s="624">
        <f t="shared" si="219"/>
        <v>0</v>
      </c>
      <c r="AA1049" s="624">
        <f t="shared" si="219"/>
        <v>0</v>
      </c>
      <c r="AB1049" s="624">
        <f t="shared" si="219"/>
        <v>0</v>
      </c>
      <c r="AC1049" s="624">
        <f t="shared" si="219"/>
        <v>0</v>
      </c>
      <c r="AD1049" s="624">
        <f t="shared" si="219"/>
        <v>0</v>
      </c>
      <c r="AE1049" s="624">
        <f t="shared" si="219"/>
        <v>0</v>
      </c>
      <c r="AF1049" s="404"/>
      <c r="AG1049" s="471"/>
      <c r="AH1049" s="471"/>
      <c r="AI1049" s="471"/>
      <c r="AJ1049" s="471"/>
      <c r="AM1049" s="404"/>
      <c r="AP1049" s="404"/>
      <c r="AQ1049" s="404"/>
    </row>
    <row r="1050" spans="1:43" s="390" customFormat="1" ht="21.9" customHeight="1">
      <c r="A1050" s="454"/>
      <c r="B1050" s="659" t="s">
        <v>481</v>
      </c>
      <c r="C1050" s="662"/>
      <c r="D1050" s="662"/>
      <c r="E1050" s="662"/>
      <c r="F1050" s="498"/>
      <c r="G1050" s="642"/>
      <c r="H1050" s="647"/>
      <c r="I1050" s="499"/>
      <c r="J1050" s="455"/>
      <c r="K1050" s="455"/>
      <c r="L1050" s="312"/>
      <c r="M1050" s="726"/>
      <c r="N1050" s="726"/>
      <c r="O1050" s="726"/>
      <c r="P1050" s="726"/>
      <c r="Q1050" s="611"/>
      <c r="R1050" s="611"/>
      <c r="S1050" s="624"/>
      <c r="T1050" s="625"/>
      <c r="U1050" s="626"/>
      <c r="V1050" s="624"/>
      <c r="W1050" s="624">
        <f t="shared" si="219"/>
        <v>0</v>
      </c>
      <c r="X1050" s="624">
        <f t="shared" si="219"/>
        <v>0</v>
      </c>
      <c r="Y1050" s="624">
        <f t="shared" si="219"/>
        <v>0</v>
      </c>
      <c r="Z1050" s="624">
        <f t="shared" si="219"/>
        <v>0</v>
      </c>
      <c r="AA1050" s="624">
        <f t="shared" si="219"/>
        <v>0</v>
      </c>
      <c r="AB1050" s="624">
        <f t="shared" si="219"/>
        <v>0</v>
      </c>
      <c r="AC1050" s="624">
        <f t="shared" si="219"/>
        <v>0</v>
      </c>
      <c r="AD1050" s="624">
        <f t="shared" si="219"/>
        <v>0</v>
      </c>
      <c r="AE1050" s="624">
        <f t="shared" si="219"/>
        <v>0</v>
      </c>
      <c r="AF1050" s="404"/>
      <c r="AG1050" s="471"/>
      <c r="AH1050" s="471"/>
      <c r="AI1050" s="471"/>
      <c r="AJ1050" s="471"/>
      <c r="AM1050" s="404"/>
      <c r="AP1050" s="404"/>
      <c r="AQ1050" s="404"/>
    </row>
    <row r="1051" spans="1:43" s="390" customFormat="1" ht="22.25" customHeight="1">
      <c r="A1051" s="454"/>
      <c r="B1051" s="657" t="s">
        <v>769</v>
      </c>
      <c r="C1051" s="662"/>
      <c r="D1051" s="662">
        <v>1</v>
      </c>
      <c r="E1051" s="662">
        <v>1</v>
      </c>
      <c r="F1051" s="498">
        <v>9.5</v>
      </c>
      <c r="G1051" s="642">
        <v>5.83</v>
      </c>
      <c r="H1051" s="642">
        <v>0.42</v>
      </c>
      <c r="I1051" s="499"/>
      <c r="J1051" s="507"/>
      <c r="K1051" s="455"/>
      <c r="L1051" s="312"/>
      <c r="M1051" s="722"/>
      <c r="N1051" s="722"/>
      <c r="O1051" s="722"/>
      <c r="P1051" s="722"/>
      <c r="Q1051" s="611"/>
      <c r="R1051" s="611"/>
      <c r="S1051" s="624"/>
      <c r="T1051" s="625"/>
      <c r="U1051" s="626"/>
      <c r="V1051" s="624"/>
      <c r="W1051" s="624">
        <f t="shared" si="219"/>
        <v>0</v>
      </c>
      <c r="X1051" s="624">
        <f t="shared" si="219"/>
        <v>0</v>
      </c>
      <c r="Y1051" s="624">
        <f t="shared" si="219"/>
        <v>0</v>
      </c>
      <c r="Z1051" s="624">
        <f t="shared" si="219"/>
        <v>0</v>
      </c>
      <c r="AA1051" s="624">
        <f t="shared" si="219"/>
        <v>0</v>
      </c>
      <c r="AB1051" s="624">
        <f t="shared" si="219"/>
        <v>0</v>
      </c>
      <c r="AC1051" s="624">
        <f t="shared" si="219"/>
        <v>0</v>
      </c>
      <c r="AD1051" s="624">
        <f t="shared" si="219"/>
        <v>0</v>
      </c>
      <c r="AE1051" s="624">
        <f t="shared" si="219"/>
        <v>0</v>
      </c>
      <c r="AF1051" s="471"/>
      <c r="AG1051" s="473"/>
      <c r="AH1051" s="471"/>
      <c r="AI1051" s="471"/>
      <c r="AJ1051" s="471"/>
      <c r="AM1051" s="404"/>
      <c r="AP1051" s="404"/>
      <c r="AQ1051" s="404"/>
    </row>
    <row r="1052" spans="1:43" s="390" customFormat="1" ht="22.25" customHeight="1">
      <c r="A1052" s="454"/>
      <c r="B1052" s="659"/>
      <c r="C1052" s="662"/>
      <c r="D1052" s="662">
        <f>ROUND(F1051/3+1,0)</f>
        <v>4</v>
      </c>
      <c r="E1052" s="662">
        <f>ROUND(G1051/3+1,0)</f>
        <v>3</v>
      </c>
      <c r="F1052" s="498"/>
      <c r="G1052" s="642"/>
      <c r="H1052" s="642"/>
      <c r="I1052" s="499"/>
      <c r="J1052" s="507">
        <f>IF(I1052=0,1,I1052)*IF(H1052=0,1,H1052)*IF(G1052=0,1,G1052)*IF(F1052=0,1,F1052)*IF(E1052=0,1,E1052)*IF(D1052=0,1,D1052)*IF(C1052=0,1,C1052)</f>
        <v>12</v>
      </c>
      <c r="K1052" s="421"/>
      <c r="L1052" s="312"/>
      <c r="M1052" s="722"/>
      <c r="N1052" s="722"/>
      <c r="O1052" s="722"/>
      <c r="P1052" s="722"/>
      <c r="Q1052" s="611"/>
      <c r="R1052" s="611"/>
      <c r="S1052" s="624"/>
      <c r="T1052" s="625"/>
      <c r="U1052" s="626"/>
      <c r="V1052" s="624"/>
      <c r="W1052" s="624"/>
      <c r="X1052" s="624"/>
      <c r="Y1052" s="624"/>
      <c r="Z1052" s="624"/>
      <c r="AA1052" s="624"/>
      <c r="AB1052" s="624"/>
      <c r="AC1052" s="624"/>
      <c r="AD1052" s="624"/>
      <c r="AE1052" s="624"/>
      <c r="AF1052" s="471"/>
      <c r="AG1052" s="473"/>
      <c r="AH1052" s="471"/>
      <c r="AI1052" s="471"/>
      <c r="AJ1052" s="471"/>
      <c r="AM1052" s="404"/>
      <c r="AP1052" s="404"/>
      <c r="AQ1052" s="404"/>
    </row>
    <row r="1053" spans="1:43" s="390" customFormat="1" ht="21.9" customHeight="1">
      <c r="A1053" s="454"/>
      <c r="B1053" s="659" t="s">
        <v>770</v>
      </c>
      <c r="C1053" s="662"/>
      <c r="D1053" s="662"/>
      <c r="E1053" s="662"/>
      <c r="F1053" s="498"/>
      <c r="G1053" s="642"/>
      <c r="H1053" s="647"/>
      <c r="I1053" s="499"/>
      <c r="J1053" s="455"/>
      <c r="K1053" s="455"/>
      <c r="L1053" s="312"/>
      <c r="M1053" s="726"/>
      <c r="N1053" s="726"/>
      <c r="O1053" s="726"/>
      <c r="P1053" s="726"/>
      <c r="Q1053" s="611"/>
      <c r="R1053" s="611"/>
      <c r="S1053" s="624"/>
      <c r="T1053" s="625"/>
      <c r="U1053" s="626"/>
      <c r="V1053" s="624"/>
      <c r="W1053" s="624">
        <f t="shared" si="219"/>
        <v>0</v>
      </c>
      <c r="X1053" s="624">
        <f t="shared" si="219"/>
        <v>0</v>
      </c>
      <c r="Y1053" s="624">
        <f t="shared" si="219"/>
        <v>0</v>
      </c>
      <c r="Z1053" s="624">
        <f t="shared" si="219"/>
        <v>0</v>
      </c>
      <c r="AA1053" s="624">
        <f t="shared" si="219"/>
        <v>0</v>
      </c>
      <c r="AB1053" s="624">
        <f t="shared" si="219"/>
        <v>0</v>
      </c>
      <c r="AC1053" s="624">
        <f t="shared" si="219"/>
        <v>0</v>
      </c>
      <c r="AD1053" s="624">
        <f t="shared" si="219"/>
        <v>0</v>
      </c>
      <c r="AE1053" s="624">
        <f t="shared" si="219"/>
        <v>0</v>
      </c>
      <c r="AF1053" s="404"/>
      <c r="AG1053" s="471"/>
      <c r="AH1053" s="471"/>
      <c r="AI1053" s="471"/>
      <c r="AJ1053" s="471"/>
      <c r="AM1053" s="404"/>
      <c r="AP1053" s="404"/>
      <c r="AQ1053" s="404"/>
    </row>
    <row r="1054" spans="1:43" s="390" customFormat="1" ht="22.25" customHeight="1">
      <c r="A1054" s="454"/>
      <c r="B1054" s="657" t="str">
        <f>B349</f>
        <v>Perimeter</v>
      </c>
      <c r="C1054" s="662"/>
      <c r="D1054" s="662">
        <f>D349</f>
        <v>1</v>
      </c>
      <c r="E1054" s="662">
        <f>E349</f>
        <v>1</v>
      </c>
      <c r="F1054" s="498">
        <f>F349</f>
        <v>204</v>
      </c>
      <c r="G1054" s="642">
        <f>G349</f>
        <v>3</v>
      </c>
      <c r="H1054" s="642">
        <f>H349</f>
        <v>0.33</v>
      </c>
      <c r="I1054" s="499"/>
      <c r="J1054" s="507"/>
      <c r="K1054" s="455"/>
      <c r="L1054" s="312"/>
      <c r="M1054" s="722"/>
      <c r="N1054" s="722"/>
      <c r="O1054" s="722"/>
      <c r="P1054" s="722"/>
      <c r="Q1054" s="611"/>
      <c r="R1054" s="611"/>
      <c r="S1054" s="624"/>
      <c r="T1054" s="625"/>
      <c r="U1054" s="626"/>
      <c r="V1054" s="624"/>
      <c r="W1054" s="624">
        <f t="shared" si="219"/>
        <v>0</v>
      </c>
      <c r="X1054" s="624">
        <f t="shared" si="219"/>
        <v>0</v>
      </c>
      <c r="Y1054" s="624">
        <f t="shared" si="219"/>
        <v>0</v>
      </c>
      <c r="Z1054" s="624">
        <f t="shared" si="219"/>
        <v>0</v>
      </c>
      <c r="AA1054" s="624">
        <f t="shared" si="219"/>
        <v>0</v>
      </c>
      <c r="AB1054" s="624">
        <f t="shared" si="219"/>
        <v>0</v>
      </c>
      <c r="AC1054" s="624">
        <f t="shared" si="219"/>
        <v>0</v>
      </c>
      <c r="AD1054" s="624">
        <f t="shared" si="219"/>
        <v>0</v>
      </c>
      <c r="AE1054" s="624">
        <f t="shared" si="219"/>
        <v>0</v>
      </c>
      <c r="AF1054" s="471"/>
      <c r="AG1054" s="473"/>
      <c r="AH1054" s="471"/>
      <c r="AI1054" s="471"/>
      <c r="AJ1054" s="471"/>
      <c r="AM1054" s="404"/>
      <c r="AP1054" s="404"/>
      <c r="AQ1054" s="404"/>
    </row>
    <row r="1055" spans="1:43" s="390" customFormat="1" ht="22.25" customHeight="1">
      <c r="A1055" s="454"/>
      <c r="B1055" s="659"/>
      <c r="C1055" s="662"/>
      <c r="D1055" s="662">
        <f>ROUND(F1054/3+1,0)</f>
        <v>69</v>
      </c>
      <c r="E1055" s="662">
        <f>ROUND(G1054/3+1,0)</f>
        <v>2</v>
      </c>
      <c r="F1055" s="498"/>
      <c r="G1055" s="642"/>
      <c r="H1055" s="642"/>
      <c r="I1055" s="499"/>
      <c r="J1055" s="507">
        <f>IF(I1055=0,1,I1055)*IF(H1055=0,1,H1055)*IF(G1055=0,1,G1055)*IF(F1055=0,1,F1055)*IF(E1055=0,1,E1055)*IF(D1055=0,1,D1055)*IF(C1055=0,1,C1055)</f>
        <v>138</v>
      </c>
      <c r="K1055" s="421"/>
      <c r="L1055" s="312"/>
      <c r="M1055" s="722"/>
      <c r="N1055" s="722"/>
      <c r="O1055" s="722"/>
      <c r="P1055" s="722"/>
      <c r="Q1055" s="611"/>
      <c r="R1055" s="611"/>
      <c r="S1055" s="624"/>
      <c r="T1055" s="625"/>
      <c r="U1055" s="626"/>
      <c r="V1055" s="624"/>
      <c r="W1055" s="624"/>
      <c r="X1055" s="624"/>
      <c r="Y1055" s="624"/>
      <c r="Z1055" s="624"/>
      <c r="AA1055" s="624"/>
      <c r="AB1055" s="624"/>
      <c r="AC1055" s="624"/>
      <c r="AD1055" s="624"/>
      <c r="AE1055" s="624"/>
      <c r="AF1055" s="471"/>
      <c r="AG1055" s="473"/>
      <c r="AH1055" s="471"/>
      <c r="AI1055" s="471"/>
      <c r="AJ1055" s="471"/>
      <c r="AM1055" s="404"/>
      <c r="AP1055" s="404"/>
      <c r="AQ1055" s="404"/>
    </row>
    <row r="1056" spans="1:43" s="390" customFormat="1" ht="26.25" customHeight="1">
      <c r="A1056" s="454"/>
      <c r="B1056" s="660"/>
      <c r="C1056" s="662"/>
      <c r="D1056" s="662"/>
      <c r="E1056" s="662"/>
      <c r="F1056" s="498"/>
      <c r="G1056" s="642"/>
      <c r="H1056" s="642"/>
      <c r="I1056" s="458" t="str">
        <f>B1049</f>
        <v>Roof Slab</v>
      </c>
      <c r="J1056" s="455"/>
      <c r="K1056" s="455">
        <f>SUM(J1050:J1056)</f>
        <v>150</v>
      </c>
      <c r="L1056" s="312" t="s">
        <v>304</v>
      </c>
      <c r="M1056" s="726"/>
      <c r="N1056" s="726"/>
      <c r="O1056" s="726"/>
      <c r="P1056" s="726"/>
      <c r="Q1056" s="611"/>
      <c r="R1056" s="611"/>
      <c r="S1056" s="611"/>
      <c r="T1056" s="626"/>
      <c r="U1056" s="624"/>
      <c r="V1056" s="624"/>
      <c r="W1056" s="624">
        <f t="shared" si="219"/>
        <v>0</v>
      </c>
      <c r="X1056" s="624">
        <f t="shared" si="219"/>
        <v>0</v>
      </c>
      <c r="Y1056" s="624">
        <f t="shared" si="219"/>
        <v>0</v>
      </c>
      <c r="Z1056" s="624">
        <f t="shared" si="219"/>
        <v>0</v>
      </c>
      <c r="AA1056" s="624">
        <f t="shared" si="219"/>
        <v>0</v>
      </c>
      <c r="AB1056" s="624">
        <f t="shared" si="219"/>
        <v>0</v>
      </c>
      <c r="AC1056" s="624">
        <f t="shared" si="219"/>
        <v>0</v>
      </c>
      <c r="AD1056" s="624">
        <f t="shared" si="219"/>
        <v>0</v>
      </c>
      <c r="AE1056" s="624">
        <f t="shared" si="219"/>
        <v>0</v>
      </c>
      <c r="AF1056" s="404"/>
      <c r="AG1056" s="471"/>
      <c r="AH1056" s="471"/>
      <c r="AI1056" s="471"/>
      <c r="AJ1056" s="471"/>
      <c r="AM1056" s="404"/>
      <c r="AP1056" s="404"/>
      <c r="AQ1056" s="404"/>
    </row>
    <row r="1057" spans="1:48" s="390" customFormat="1" ht="26.25" customHeight="1">
      <c r="A1057" s="454"/>
      <c r="B1057" s="660"/>
      <c r="C1057" s="662"/>
      <c r="D1057" s="662"/>
      <c r="E1057" s="662"/>
      <c r="F1057" s="498"/>
      <c r="G1057" s="642"/>
      <c r="H1057" s="642"/>
      <c r="I1057" s="458"/>
      <c r="J1057" s="513" t="s">
        <v>651</v>
      </c>
      <c r="K1057" s="455">
        <f>SUM(K1048:K1056)</f>
        <v>371</v>
      </c>
      <c r="L1057" s="312" t="s">
        <v>304</v>
      </c>
      <c r="M1057" s="726"/>
      <c r="N1057" s="726"/>
      <c r="O1057" s="726"/>
      <c r="P1057" s="726"/>
      <c r="Q1057" s="611"/>
      <c r="R1057" s="611"/>
      <c r="S1057" s="611"/>
      <c r="T1057" s="626"/>
      <c r="U1057" s="624"/>
      <c r="V1057" s="624"/>
      <c r="W1057" s="624"/>
      <c r="X1057" s="624"/>
      <c r="Y1057" s="624"/>
      <c r="Z1057" s="624"/>
      <c r="AA1057" s="624"/>
      <c r="AB1057" s="624"/>
      <c r="AC1057" s="1014"/>
      <c r="AD1057" s="1014"/>
      <c r="AE1057" s="1014"/>
      <c r="AF1057" s="404"/>
      <c r="AG1057" s="471"/>
      <c r="AH1057" s="471"/>
      <c r="AI1057" s="471"/>
      <c r="AJ1057" s="471"/>
      <c r="AM1057" s="404"/>
      <c r="AP1057" s="404"/>
      <c r="AQ1057" s="404"/>
    </row>
    <row r="1058" spans="1:48" s="390" customFormat="1" ht="26.25" customHeight="1">
      <c r="A1058" s="454"/>
      <c r="B1058" s="660"/>
      <c r="C1058" s="662"/>
      <c r="D1058" s="662"/>
      <c r="E1058" s="662"/>
      <c r="F1058" s="498"/>
      <c r="G1058" s="642"/>
      <c r="H1058" s="642"/>
      <c r="I1058" s="458"/>
      <c r="J1058" s="455"/>
      <c r="K1058" s="455"/>
      <c r="L1058" s="455"/>
      <c r="M1058" s="726"/>
      <c r="N1058" s="726"/>
      <c r="O1058" s="726"/>
      <c r="P1058" s="726"/>
      <c r="Q1058" s="611"/>
      <c r="R1058" s="611"/>
      <c r="S1058" s="611"/>
      <c r="T1058" s="626"/>
      <c r="U1058" s="624"/>
      <c r="V1058" s="641"/>
      <c r="W1058" s="641"/>
      <c r="X1058" s="641"/>
      <c r="Y1058" s="618"/>
      <c r="Z1058" s="618"/>
      <c r="AA1058" s="618"/>
      <c r="AB1058" s="618"/>
      <c r="AC1058" s="620"/>
      <c r="AD1058" s="620"/>
      <c r="AE1058" s="620"/>
      <c r="AF1058" s="404"/>
      <c r="AG1058" s="471"/>
      <c r="AH1058" s="471"/>
      <c r="AI1058" s="471"/>
      <c r="AJ1058" s="471"/>
      <c r="AM1058" s="404"/>
      <c r="AP1058" s="404"/>
      <c r="AQ1058" s="404"/>
    </row>
    <row r="1059" spans="1:48" s="390" customFormat="1" ht="22.25" customHeight="1">
      <c r="A1059" s="454">
        <v>19</v>
      </c>
      <c r="B1059" s="655" t="s">
        <v>569</v>
      </c>
      <c r="C1059" s="662"/>
      <c r="D1059" s="662"/>
      <c r="E1059" s="662"/>
      <c r="F1059" s="504"/>
      <c r="G1059" s="643"/>
      <c r="H1059" s="648"/>
      <c r="I1059" s="501"/>
      <c r="J1059" s="421"/>
      <c r="K1059" s="421"/>
      <c r="L1059" s="421"/>
      <c r="M1059" s="723"/>
      <c r="N1059" s="723"/>
      <c r="O1059" s="723"/>
      <c r="P1059" s="723"/>
      <c r="Q1059" s="618"/>
      <c r="R1059" s="618"/>
      <c r="S1059" s="618"/>
      <c r="T1059" s="618"/>
      <c r="U1059" s="618"/>
      <c r="V1059" s="641"/>
      <c r="W1059" s="641"/>
      <c r="X1059" s="641"/>
      <c r="Y1059" s="618"/>
      <c r="Z1059" s="618"/>
      <c r="AA1059" s="618"/>
      <c r="AB1059" s="618"/>
      <c r="AC1059" s="620"/>
      <c r="AD1059" s="620"/>
      <c r="AE1059" s="620"/>
      <c r="AF1059" s="471"/>
      <c r="AG1059" s="473"/>
      <c r="AH1059" s="471"/>
      <c r="AI1059" s="471"/>
      <c r="AJ1059" s="471"/>
      <c r="AM1059" s="404"/>
      <c r="AP1059" s="404"/>
      <c r="AQ1059" s="404"/>
    </row>
    <row r="1060" spans="1:48" s="390" customFormat="1" ht="22.25" customHeight="1">
      <c r="A1060" s="454"/>
      <c r="B1060" s="660" t="s">
        <v>568</v>
      </c>
      <c r="C1060" s="662"/>
      <c r="D1060" s="662"/>
      <c r="E1060" s="662">
        <v>1</v>
      </c>
      <c r="F1060" s="498">
        <f>204+5*8</f>
        <v>244</v>
      </c>
      <c r="G1060" s="642"/>
      <c r="H1060" s="642">
        <f>2+13</f>
        <v>15</v>
      </c>
      <c r="I1060" s="507"/>
      <c r="J1060" s="507">
        <f>IF(I1060=0,1,I1060)*IF(H1060=0,1,H1060)*IF(G1060=0,1,G1060)*IF(F1060=0,1,F1060)*IF(E1060=0,1,E1060)*IF(D1060=0,1,D1060)*IF(C1060=0,1,C1060)</f>
        <v>3660</v>
      </c>
      <c r="K1060" s="455"/>
      <c r="L1060" s="457" t="s">
        <v>45</v>
      </c>
      <c r="M1060" s="723"/>
      <c r="N1060" s="723"/>
      <c r="O1060" s="723"/>
      <c r="P1060" s="723"/>
      <c r="Q1060" s="618"/>
      <c r="R1060" s="618"/>
      <c r="S1060" s="618"/>
      <c r="T1060" s="618"/>
      <c r="U1060" s="618"/>
      <c r="V1060" s="641"/>
      <c r="W1060" s="641"/>
      <c r="X1060" s="641"/>
      <c r="Y1060" s="618"/>
      <c r="Z1060" s="618"/>
      <c r="AA1060" s="618"/>
      <c r="AB1060" s="618"/>
      <c r="AC1060" s="620"/>
      <c r="AD1060" s="620"/>
      <c r="AE1060" s="620"/>
      <c r="AF1060" s="472"/>
      <c r="AG1060" s="472"/>
      <c r="AH1060" s="472"/>
      <c r="AI1060" s="472"/>
      <c r="AJ1060" s="472"/>
      <c r="AK1060" s="472"/>
      <c r="AL1060" s="472"/>
      <c r="AM1060" s="472"/>
      <c r="AN1060" s="471"/>
      <c r="AO1060" s="471"/>
      <c r="AR1060" s="404"/>
      <c r="AU1060" s="404"/>
      <c r="AV1060" s="404"/>
    </row>
    <row r="1061" spans="1:48" s="390" customFormat="1" ht="22.25" customHeight="1" thickBot="1">
      <c r="A1061" s="454"/>
      <c r="B1061" s="660"/>
      <c r="C1061" s="662"/>
      <c r="D1061" s="662"/>
      <c r="E1061" s="662"/>
      <c r="F1061" s="498"/>
      <c r="G1061" s="642"/>
      <c r="H1061" s="642"/>
      <c r="I1061" s="507"/>
      <c r="J1061" s="421"/>
      <c r="K1061" s="508">
        <f>SUM(J1060)</f>
        <v>3660</v>
      </c>
      <c r="L1061" s="508" t="s">
        <v>45</v>
      </c>
      <c r="M1061" s="722"/>
      <c r="N1061" s="722"/>
      <c r="O1061" s="722"/>
      <c r="P1061" s="722"/>
      <c r="Q1061" s="618"/>
      <c r="R1061" s="618"/>
      <c r="S1061" s="618"/>
      <c r="T1061" s="618"/>
      <c r="U1061" s="618"/>
      <c r="V1061" s="641"/>
      <c r="W1061" s="641"/>
      <c r="X1061" s="641"/>
      <c r="Y1061" s="618"/>
      <c r="Z1061" s="618"/>
      <c r="AA1061" s="618"/>
      <c r="AB1061" s="618"/>
      <c r="AC1061" s="620"/>
      <c r="AD1061" s="620"/>
      <c r="AE1061" s="620"/>
      <c r="AF1061" s="472">
        <f>7.5*1.07</f>
        <v>8.0250000000000004</v>
      </c>
      <c r="AG1061" s="472"/>
      <c r="AH1061" s="472"/>
      <c r="AI1061" s="472"/>
      <c r="AJ1061" s="472"/>
      <c r="AK1061" s="472"/>
      <c r="AL1061" s="472"/>
      <c r="AM1061" s="472"/>
      <c r="AN1061" s="471"/>
      <c r="AO1061" s="471"/>
      <c r="AR1061" s="404"/>
      <c r="AU1061" s="404"/>
      <c r="AV1061" s="404"/>
    </row>
    <row r="1062" spans="1:48" s="390" customFormat="1" ht="22.25" customHeight="1" thickBot="1">
      <c r="A1062" s="454"/>
      <c r="B1062" s="660"/>
      <c r="C1062" s="662"/>
      <c r="D1062" s="662"/>
      <c r="E1062" s="662"/>
      <c r="F1062" s="498"/>
      <c r="G1062" s="642"/>
      <c r="H1062" s="642"/>
      <c r="I1062" s="507"/>
      <c r="J1062" s="421"/>
      <c r="K1062" s="502">
        <f>K1061/100</f>
        <v>36.6</v>
      </c>
      <c r="L1062" s="502" t="s">
        <v>315</v>
      </c>
      <c r="M1062" s="722"/>
      <c r="N1062" s="722"/>
      <c r="O1062" s="722"/>
      <c r="P1062" s="722"/>
      <c r="Q1062" s="618"/>
      <c r="R1062" s="618"/>
      <c r="S1062" s="618"/>
      <c r="T1062" s="618"/>
      <c r="U1062" s="618"/>
      <c r="V1062" s="641"/>
      <c r="W1062" s="641"/>
      <c r="X1062" s="641"/>
      <c r="Y1062" s="618"/>
      <c r="Z1062" s="618"/>
      <c r="AA1062" s="618"/>
      <c r="AB1062" s="618"/>
      <c r="AC1062" s="620"/>
      <c r="AD1062" s="620"/>
      <c r="AE1062" s="620"/>
      <c r="AF1062" s="472"/>
      <c r="AG1062" s="472"/>
      <c r="AH1062" s="472"/>
      <c r="AI1062" s="472"/>
      <c r="AJ1062" s="472"/>
      <c r="AK1062" s="472"/>
      <c r="AL1062" s="472"/>
      <c r="AM1062" s="472"/>
      <c r="AN1062" s="471"/>
      <c r="AO1062" s="471"/>
      <c r="AR1062" s="404"/>
      <c r="AU1062" s="404"/>
      <c r="AV1062" s="404"/>
    </row>
    <row r="1063" spans="1:48" s="390" customFormat="1" ht="22.25" customHeight="1" thickTop="1">
      <c r="A1063" s="945"/>
      <c r="B1063" s="1024"/>
      <c r="C1063" s="664"/>
      <c r="D1063" s="664"/>
      <c r="E1063" s="664"/>
      <c r="F1063" s="1025"/>
      <c r="G1063" s="1026"/>
      <c r="H1063" s="1026"/>
      <c r="I1063" s="507"/>
      <c r="J1063" s="507"/>
      <c r="K1063" s="500"/>
      <c r="L1063" s="500"/>
      <c r="M1063" s="722"/>
      <c r="N1063" s="722"/>
      <c r="O1063" s="722"/>
      <c r="P1063" s="722"/>
      <c r="Q1063" s="618"/>
      <c r="R1063" s="618"/>
      <c r="S1063" s="618"/>
      <c r="T1063" s="618"/>
      <c r="U1063" s="618"/>
      <c r="V1063" s="641"/>
      <c r="W1063" s="641"/>
      <c r="X1063" s="641"/>
      <c r="Y1063" s="618"/>
      <c r="Z1063" s="618"/>
      <c r="AA1063" s="618"/>
      <c r="AB1063" s="618"/>
      <c r="AC1063" s="620"/>
      <c r="AD1063" s="620"/>
      <c r="AE1063" s="620"/>
      <c r="AF1063" s="472"/>
      <c r="AG1063" s="472"/>
      <c r="AH1063" s="472"/>
      <c r="AI1063" s="472"/>
      <c r="AJ1063" s="472"/>
      <c r="AK1063" s="472"/>
      <c r="AL1063" s="472"/>
      <c r="AM1063" s="472"/>
      <c r="AN1063" s="471"/>
      <c r="AO1063" s="471"/>
      <c r="AR1063" s="404"/>
      <c r="AU1063" s="404"/>
      <c r="AV1063" s="404"/>
    </row>
    <row r="1064" spans="1:48" s="393" customFormat="1" ht="22.25" customHeight="1">
      <c r="A1064" s="1017">
        <v>20</v>
      </c>
      <c r="B1064" s="946" t="s">
        <v>695</v>
      </c>
      <c r="C1064" s="664"/>
      <c r="D1064" s="664"/>
      <c r="E1064" s="1019">
        <v>1</v>
      </c>
      <c r="F1064" s="947">
        <v>35</v>
      </c>
      <c r="G1064" s="1020">
        <v>45</v>
      </c>
      <c r="H1064" s="1021"/>
      <c r="I1064" s="1019"/>
      <c r="J1064" s="507">
        <f>IF(I1064=0,1,I1064)*IF(H1064=0,1,H1064)*IF(G1064=0,1,G1064)*IF(F1064=0,1,F1064)*IF(E1064=0,1,E1064)*IF(D1064=0,1,D1064)*IF(C1064=0,1,C1064)</f>
        <v>1575</v>
      </c>
      <c r="K1064" s="514"/>
      <c r="L1064" s="1027" t="s">
        <v>45</v>
      </c>
      <c r="M1064" s="725">
        <f>24*30</f>
        <v>720</v>
      </c>
      <c r="N1064" s="725">
        <v>320</v>
      </c>
      <c r="O1064" s="725">
        <v>50</v>
      </c>
      <c r="P1064" s="725"/>
      <c r="Q1064" s="618"/>
      <c r="R1064" s="618"/>
      <c r="S1064" s="618"/>
      <c r="T1064" s="618"/>
      <c r="U1064" s="618"/>
      <c r="V1064" s="641"/>
      <c r="W1064" s="641"/>
      <c r="X1064" s="641"/>
      <c r="Y1064" s="618"/>
      <c r="Z1064" s="618"/>
      <c r="AA1064" s="618"/>
      <c r="AB1064" s="618"/>
      <c r="AC1064" s="620"/>
      <c r="AD1064" s="620"/>
      <c r="AE1064" s="620"/>
      <c r="AF1064" s="471"/>
      <c r="AG1064" s="471"/>
      <c r="AH1064" s="471"/>
      <c r="AI1064" s="471"/>
      <c r="AJ1064" s="471"/>
      <c r="AK1064" s="425"/>
      <c r="AL1064" s="425"/>
      <c r="AM1064" s="425"/>
      <c r="AN1064" s="425"/>
      <c r="AO1064" s="425"/>
      <c r="AR1064" s="425"/>
      <c r="AU1064" s="425"/>
      <c r="AV1064" s="425"/>
    </row>
    <row r="1065" spans="1:48" s="393" customFormat="1" ht="22.25" customHeight="1">
      <c r="A1065" s="1017" t="s">
        <v>697</v>
      </c>
      <c r="B1065" s="946" t="s">
        <v>533</v>
      </c>
      <c r="C1065" s="664"/>
      <c r="D1065" s="664"/>
      <c r="E1065" s="1019"/>
      <c r="F1065" s="947"/>
      <c r="G1065" s="1020"/>
      <c r="H1065" s="1021"/>
      <c r="I1065" s="1019"/>
      <c r="J1065" s="514"/>
      <c r="K1065" s="514"/>
      <c r="L1065" s="514"/>
      <c r="M1065" s="725">
        <f>J1064*N1064/M1064</f>
        <v>700</v>
      </c>
      <c r="N1065" s="725">
        <f>M1065/300</f>
        <v>2.3333333333333335</v>
      </c>
      <c r="O1065" s="725">
        <f>O1064*J1064/M1064</f>
        <v>109.375</v>
      </c>
      <c r="P1065" s="725">
        <f>O1064*100/N1064</f>
        <v>15.625</v>
      </c>
      <c r="Q1065" s="618"/>
      <c r="R1065" s="618"/>
      <c r="S1065" s="618"/>
      <c r="T1065" s="618"/>
      <c r="U1065" s="618"/>
      <c r="V1065" s="641"/>
      <c r="W1065" s="641"/>
      <c r="X1065" s="641"/>
      <c r="Y1065" s="618"/>
      <c r="Z1065" s="618"/>
      <c r="AA1065" s="618"/>
      <c r="AB1065" s="618"/>
      <c r="AC1065" s="620"/>
      <c r="AD1065" s="620"/>
      <c r="AE1065" s="620"/>
      <c r="AF1065" s="471"/>
      <c r="AG1065" s="471"/>
      <c r="AH1065" s="471"/>
      <c r="AI1065" s="471"/>
      <c r="AJ1065" s="471"/>
      <c r="AK1065" s="425"/>
      <c r="AL1065" s="425"/>
      <c r="AM1065" s="425"/>
      <c r="AN1065" s="425"/>
      <c r="AO1065" s="425"/>
      <c r="AR1065" s="425"/>
      <c r="AU1065" s="425"/>
      <c r="AV1065" s="425"/>
    </row>
    <row r="1066" spans="1:48" s="393" customFormat="1" ht="22.25" customHeight="1">
      <c r="A1066" s="1017"/>
      <c r="B1066" s="1028" t="s">
        <v>797</v>
      </c>
      <c r="C1066" s="664"/>
      <c r="D1066" s="664"/>
      <c r="E1066" s="1019"/>
      <c r="F1066" s="947"/>
      <c r="G1066" s="1020"/>
      <c r="H1066" s="1021"/>
      <c r="I1066" s="1019"/>
      <c r="J1066" s="514"/>
      <c r="K1066" s="514"/>
      <c r="L1066" s="514"/>
      <c r="M1066" s="725"/>
      <c r="N1066" s="725"/>
      <c r="O1066" s="725"/>
      <c r="P1066" s="725"/>
      <c r="Q1066" s="618"/>
      <c r="R1066" s="618"/>
      <c r="S1066" s="618"/>
      <c r="T1066" s="618"/>
      <c r="U1066" s="618"/>
      <c r="V1066" s="641"/>
      <c r="W1066" s="641"/>
      <c r="X1066" s="641"/>
      <c r="Y1066" s="618"/>
      <c r="Z1066" s="618"/>
      <c r="AA1066" s="618"/>
      <c r="AB1066" s="618"/>
      <c r="AC1066" s="620"/>
      <c r="AD1066" s="620"/>
      <c r="AE1066" s="620"/>
      <c r="AF1066" s="471"/>
      <c r="AG1066" s="471"/>
      <c r="AH1066" s="471"/>
      <c r="AI1066" s="471"/>
      <c r="AJ1066" s="471"/>
      <c r="AK1066" s="425"/>
      <c r="AL1066" s="425"/>
      <c r="AM1066" s="425"/>
      <c r="AN1066" s="425"/>
      <c r="AO1066" s="425"/>
      <c r="AR1066" s="425"/>
      <c r="AU1066" s="425"/>
      <c r="AV1066" s="425"/>
    </row>
    <row r="1067" spans="1:48" s="393" customFormat="1" ht="22.25" customHeight="1">
      <c r="A1067" s="1017"/>
      <c r="B1067" s="1022" t="s">
        <v>798</v>
      </c>
      <c r="C1067" s="664"/>
      <c r="D1067" s="664">
        <v>1</v>
      </c>
      <c r="E1067" s="1019">
        <v>2</v>
      </c>
      <c r="F1067" s="947">
        <v>47</v>
      </c>
      <c r="G1067" s="1020"/>
      <c r="H1067" s="1021"/>
      <c r="I1067" s="1019"/>
      <c r="J1067" s="507">
        <f t="shared" ref="J1067:J1079" si="220">IF(I1067=0,1,I1067)*IF(H1067=0,1,H1067)*IF(G1067=0,1,G1067)*IF(F1067=0,1,F1067)*IF(E1067=0,1,E1067)*IF(D1067=0,1,D1067)*IF(C1067=0,1,C1067)</f>
        <v>94</v>
      </c>
      <c r="K1067" s="514"/>
      <c r="L1067" s="514"/>
      <c r="M1067" s="725"/>
      <c r="N1067" s="725"/>
      <c r="O1067" s="725"/>
      <c r="P1067" s="725"/>
      <c r="Q1067" s="618"/>
      <c r="R1067" s="618"/>
      <c r="S1067" s="618"/>
      <c r="T1067" s="618"/>
      <c r="U1067" s="618"/>
      <c r="V1067" s="641"/>
      <c r="W1067" s="641"/>
      <c r="X1067" s="641"/>
      <c r="Y1067" s="618"/>
      <c r="Z1067" s="618"/>
      <c r="AA1067" s="618"/>
      <c r="AB1067" s="618"/>
      <c r="AC1067" s="620"/>
      <c r="AD1067" s="620"/>
      <c r="AE1067" s="620"/>
      <c r="AF1067" s="471"/>
      <c r="AG1067" s="471"/>
      <c r="AH1067" s="471"/>
      <c r="AI1067" s="471"/>
      <c r="AJ1067" s="471"/>
      <c r="AK1067" s="425"/>
      <c r="AL1067" s="425"/>
      <c r="AM1067" s="425"/>
      <c r="AN1067" s="425"/>
      <c r="AO1067" s="425"/>
      <c r="AR1067" s="425"/>
      <c r="AU1067" s="425"/>
      <c r="AV1067" s="425"/>
    </row>
    <row r="1068" spans="1:48" s="393" customFormat="1" ht="22.25" customHeight="1">
      <c r="A1068" s="1017"/>
      <c r="B1068" s="1022"/>
      <c r="C1068" s="664"/>
      <c r="D1068" s="664">
        <v>1</v>
      </c>
      <c r="E1068" s="1019">
        <v>2</v>
      </c>
      <c r="F1068" s="947">
        <v>37</v>
      </c>
      <c r="G1068" s="1020"/>
      <c r="H1068" s="1021"/>
      <c r="I1068" s="1019"/>
      <c r="J1068" s="507">
        <f>IF(I1068=0,1,I1068)*IF(H1068=0,1,H1068)*IF(G1068=0,1,G1068)*IF(F1068=0,1,F1068)*IF(E1068=0,1,E1068)*IF(D1068=0,1,D1068)*IF(C1068=0,1,C1068)</f>
        <v>74</v>
      </c>
      <c r="K1068" s="514"/>
      <c r="L1068" s="514"/>
      <c r="M1068" s="725"/>
      <c r="N1068" s="725"/>
      <c r="O1068" s="725"/>
      <c r="P1068" s="725"/>
      <c r="Q1068" s="618"/>
      <c r="R1068" s="618"/>
      <c r="S1068" s="618"/>
      <c r="T1068" s="618"/>
      <c r="U1068" s="618"/>
      <c r="V1068" s="641"/>
      <c r="W1068" s="641"/>
      <c r="X1068" s="641"/>
      <c r="Y1068" s="618"/>
      <c r="Z1068" s="618"/>
      <c r="AA1068" s="618"/>
      <c r="AB1068" s="618"/>
      <c r="AC1068" s="620"/>
      <c r="AD1068" s="620"/>
      <c r="AE1068" s="620"/>
      <c r="AF1068" s="471"/>
      <c r="AG1068" s="471"/>
      <c r="AH1068" s="471"/>
      <c r="AI1068" s="471"/>
      <c r="AJ1068" s="471"/>
      <c r="AK1068" s="425"/>
      <c r="AL1068" s="425"/>
      <c r="AM1068" s="425"/>
      <c r="AN1068" s="425"/>
      <c r="AO1068" s="425"/>
      <c r="AR1068" s="425"/>
      <c r="AU1068" s="425"/>
      <c r="AV1068" s="425"/>
    </row>
    <row r="1069" spans="1:48" s="393" customFormat="1" ht="22.25" customHeight="1">
      <c r="A1069" s="1017"/>
      <c r="B1069" s="1022"/>
      <c r="C1069" s="664"/>
      <c r="D1069" s="664">
        <v>2</v>
      </c>
      <c r="E1069" s="1019">
        <v>2</v>
      </c>
      <c r="F1069" s="947">
        <v>5</v>
      </c>
      <c r="G1069" s="1020"/>
      <c r="H1069" s="1021"/>
      <c r="I1069" s="1019"/>
      <c r="J1069" s="507">
        <f>IF(I1069=0,1,I1069)*IF(H1069=0,1,H1069)*IF(G1069=0,1,G1069)*IF(F1069=0,1,F1069)*IF(E1069=0,1,E1069)*IF(D1069=0,1,D1069)*IF(C1069=0,1,C1069)</f>
        <v>20</v>
      </c>
      <c r="K1069" s="514"/>
      <c r="L1069" s="514"/>
      <c r="M1069" s="725"/>
      <c r="N1069" s="725"/>
      <c r="O1069" s="725"/>
      <c r="P1069" s="725"/>
      <c r="Q1069" s="618"/>
      <c r="R1069" s="618"/>
      <c r="S1069" s="618"/>
      <c r="T1069" s="618"/>
      <c r="U1069" s="618"/>
      <c r="V1069" s="641"/>
      <c r="W1069" s="641"/>
      <c r="X1069" s="641"/>
      <c r="Y1069" s="618"/>
      <c r="Z1069" s="618"/>
      <c r="AA1069" s="618"/>
      <c r="AB1069" s="618"/>
      <c r="AC1069" s="620"/>
      <c r="AD1069" s="620"/>
      <c r="AE1069" s="620"/>
      <c r="AF1069" s="471"/>
      <c r="AG1069" s="471"/>
      <c r="AH1069" s="471"/>
      <c r="AI1069" s="471"/>
      <c r="AJ1069" s="471"/>
      <c r="AK1069" s="425"/>
      <c r="AL1069" s="425"/>
      <c r="AM1069" s="425"/>
      <c r="AN1069" s="425"/>
      <c r="AO1069" s="425"/>
      <c r="AR1069" s="425"/>
      <c r="AU1069" s="425"/>
      <c r="AV1069" s="425"/>
    </row>
    <row r="1070" spans="1:48" s="393" customFormat="1" ht="22.25" customHeight="1">
      <c r="A1070" s="1017"/>
      <c r="B1070" s="1022" t="s">
        <v>799</v>
      </c>
      <c r="C1070" s="664"/>
      <c r="D1070" s="664">
        <v>1</v>
      </c>
      <c r="E1070" s="1019">
        <v>2</v>
      </c>
      <c r="F1070" s="947">
        <v>28.5</v>
      </c>
      <c r="G1070" s="1020"/>
      <c r="H1070" s="1021"/>
      <c r="I1070" s="1019"/>
      <c r="J1070" s="507">
        <f>IF(I1070=0,1,I1070)*IF(H1070=0,1,H1070)*IF(G1070=0,1,G1070)*IF(F1070=0,1,F1070)*IF(E1070=0,1,E1070)*IF(D1070=0,1,D1070)*IF(C1070=0,1,C1070)</f>
        <v>57</v>
      </c>
      <c r="K1070" s="514"/>
      <c r="L1070" s="514"/>
      <c r="M1070" s="725"/>
      <c r="N1070" s="725"/>
      <c r="O1070" s="725"/>
      <c r="P1070" s="725"/>
      <c r="Q1070" s="618"/>
      <c r="R1070" s="618"/>
      <c r="S1070" s="618"/>
      <c r="T1070" s="618"/>
      <c r="U1070" s="618"/>
      <c r="V1070" s="641"/>
      <c r="W1070" s="641"/>
      <c r="X1070" s="641"/>
      <c r="Y1070" s="618"/>
      <c r="Z1070" s="618"/>
      <c r="AA1070" s="618"/>
      <c r="AB1070" s="618"/>
      <c r="AC1070" s="620"/>
      <c r="AD1070" s="620"/>
      <c r="AE1070" s="620"/>
      <c r="AF1070" s="471"/>
      <c r="AG1070" s="471"/>
      <c r="AH1070" s="471"/>
      <c r="AI1070" s="471"/>
      <c r="AJ1070" s="471"/>
      <c r="AK1070" s="425"/>
      <c r="AL1070" s="425"/>
      <c r="AM1070" s="425"/>
      <c r="AN1070" s="425"/>
      <c r="AO1070" s="425"/>
      <c r="AR1070" s="425"/>
      <c r="AU1070" s="425"/>
      <c r="AV1070" s="425"/>
    </row>
    <row r="1071" spans="1:48" s="393" customFormat="1" ht="22.25" customHeight="1">
      <c r="A1071" s="1017"/>
      <c r="B1071" s="1022"/>
      <c r="C1071" s="664"/>
      <c r="D1071" s="664">
        <v>1</v>
      </c>
      <c r="E1071" s="1019">
        <v>2</v>
      </c>
      <c r="F1071" s="947">
        <v>18.5</v>
      </c>
      <c r="G1071" s="1020"/>
      <c r="H1071" s="1021"/>
      <c r="I1071" s="1019"/>
      <c r="J1071" s="507">
        <f>IF(I1071=0,1,I1071)*IF(H1071=0,1,H1071)*IF(G1071=0,1,G1071)*IF(F1071=0,1,F1071)*IF(E1071=0,1,E1071)*IF(D1071=0,1,D1071)*IF(C1071=0,1,C1071)</f>
        <v>37</v>
      </c>
      <c r="K1071" s="514"/>
      <c r="L1071" s="514"/>
      <c r="M1071" s="725"/>
      <c r="N1071" s="725"/>
      <c r="O1071" s="725"/>
      <c r="P1071" s="725"/>
      <c r="Q1071" s="618"/>
      <c r="R1071" s="618"/>
      <c r="S1071" s="618"/>
      <c r="T1071" s="618"/>
      <c r="U1071" s="618"/>
      <c r="V1071" s="641"/>
      <c r="W1071" s="641"/>
      <c r="X1071" s="641"/>
      <c r="Y1071" s="618"/>
      <c r="Z1071" s="618"/>
      <c r="AA1071" s="618"/>
      <c r="AB1071" s="618"/>
      <c r="AC1071" s="620"/>
      <c r="AD1071" s="620"/>
      <c r="AE1071" s="620"/>
      <c r="AF1071" s="471"/>
      <c r="AG1071" s="471"/>
      <c r="AH1071" s="471"/>
      <c r="AI1071" s="471"/>
      <c r="AJ1071" s="471"/>
      <c r="AK1071" s="425"/>
      <c r="AL1071" s="425"/>
      <c r="AM1071" s="425"/>
      <c r="AN1071" s="425"/>
      <c r="AO1071" s="425"/>
      <c r="AR1071" s="425"/>
      <c r="AU1071" s="425"/>
      <c r="AV1071" s="425"/>
    </row>
    <row r="1072" spans="1:48" s="393" customFormat="1" ht="22.25" customHeight="1">
      <c r="A1072" s="1017"/>
      <c r="B1072" s="1028" t="s">
        <v>796</v>
      </c>
      <c r="C1072" s="664"/>
      <c r="D1072" s="664"/>
      <c r="E1072" s="1019"/>
      <c r="F1072" s="947"/>
      <c r="G1072" s="1020"/>
      <c r="H1072" s="1021"/>
      <c r="I1072" s="1019"/>
      <c r="J1072" s="514"/>
      <c r="K1072" s="514"/>
      <c r="L1072" s="514"/>
      <c r="M1072" s="725"/>
      <c r="N1072" s="725"/>
      <c r="O1072" s="725"/>
      <c r="P1072" s="725"/>
      <c r="Q1072" s="618"/>
      <c r="R1072" s="618"/>
      <c r="S1072" s="618"/>
      <c r="T1072" s="618"/>
      <c r="U1072" s="618"/>
      <c r="V1072" s="641"/>
      <c r="W1072" s="641"/>
      <c r="X1072" s="641"/>
      <c r="Y1072" s="618"/>
      <c r="Z1072" s="618"/>
      <c r="AA1072" s="618"/>
      <c r="AB1072" s="618"/>
      <c r="AC1072" s="620"/>
      <c r="AD1072" s="620"/>
      <c r="AE1072" s="620"/>
      <c r="AF1072" s="471"/>
      <c r="AG1072" s="471"/>
      <c r="AH1072" s="471"/>
      <c r="AI1072" s="471"/>
      <c r="AJ1072" s="471"/>
      <c r="AK1072" s="425"/>
      <c r="AL1072" s="425"/>
      <c r="AM1072" s="425"/>
      <c r="AN1072" s="425"/>
      <c r="AO1072" s="425"/>
      <c r="AR1072" s="425"/>
      <c r="AU1072" s="425"/>
      <c r="AV1072" s="425"/>
    </row>
    <row r="1073" spans="1:48" s="393" customFormat="1" ht="22.25" customHeight="1">
      <c r="A1073" s="1017"/>
      <c r="B1073" s="1022" t="s">
        <v>800</v>
      </c>
      <c r="C1073" s="664"/>
      <c r="D1073" s="664">
        <f>D1067</f>
        <v>1</v>
      </c>
      <c r="E1073" s="1019">
        <v>1</v>
      </c>
      <c r="F1073" s="947">
        <f>21+10+15.5+5+5.5</f>
        <v>57</v>
      </c>
      <c r="G1073" s="1020"/>
      <c r="H1073" s="1021"/>
      <c r="I1073" s="1019"/>
      <c r="J1073" s="507">
        <f t="shared" si="220"/>
        <v>57</v>
      </c>
      <c r="K1073" s="514"/>
      <c r="L1073" s="514"/>
      <c r="M1073" s="725"/>
      <c r="N1073" s="725"/>
      <c r="O1073" s="725"/>
      <c r="P1073" s="725"/>
      <c r="Q1073" s="618"/>
      <c r="R1073" s="618"/>
      <c r="S1073" s="618"/>
      <c r="T1073" s="618"/>
      <c r="U1073" s="618"/>
      <c r="V1073" s="641"/>
      <c r="W1073" s="641"/>
      <c r="X1073" s="641"/>
      <c r="Y1073" s="618"/>
      <c r="Z1073" s="618"/>
      <c r="AA1073" s="618"/>
      <c r="AB1073" s="618"/>
      <c r="AC1073" s="620"/>
      <c r="AD1073" s="620"/>
      <c r="AE1073" s="620"/>
      <c r="AF1073" s="471"/>
      <c r="AG1073" s="471"/>
      <c r="AH1073" s="471"/>
      <c r="AI1073" s="471"/>
      <c r="AJ1073" s="471"/>
      <c r="AK1073" s="425"/>
      <c r="AL1073" s="425"/>
      <c r="AM1073" s="425"/>
      <c r="AN1073" s="425"/>
      <c r="AO1073" s="425"/>
      <c r="AR1073" s="425"/>
      <c r="AU1073" s="425"/>
      <c r="AV1073" s="425"/>
    </row>
    <row r="1074" spans="1:48" s="393" customFormat="1" ht="22.25" customHeight="1">
      <c r="A1074" s="1017"/>
      <c r="B1074" s="1022"/>
      <c r="C1074" s="664"/>
      <c r="D1074" s="664">
        <f>D1068</f>
        <v>1</v>
      </c>
      <c r="E1074" s="1019">
        <v>1</v>
      </c>
      <c r="F1074" s="947">
        <f>5+5.92</f>
        <v>10.92</v>
      </c>
      <c r="G1074" s="1020"/>
      <c r="H1074" s="1021"/>
      <c r="I1074" s="1019"/>
      <c r="J1074" s="507">
        <f>IF(I1074=0,1,I1074)*IF(H1074=0,1,H1074)*IF(G1074=0,1,G1074)*IF(F1074=0,1,F1074)*IF(E1074=0,1,E1074)*IF(D1074=0,1,D1074)*IF(C1074=0,1,C1074)</f>
        <v>10.92</v>
      </c>
      <c r="K1074" s="514"/>
      <c r="L1074" s="514"/>
      <c r="M1074" s="725"/>
      <c r="N1074" s="725"/>
      <c r="O1074" s="725"/>
      <c r="P1074" s="725"/>
      <c r="Q1074" s="618"/>
      <c r="R1074" s="618"/>
      <c r="S1074" s="618"/>
      <c r="T1074" s="618"/>
      <c r="U1074" s="618"/>
      <c r="V1074" s="641"/>
      <c r="W1074" s="641"/>
      <c r="X1074" s="641"/>
      <c r="Y1074" s="618"/>
      <c r="Z1074" s="618"/>
      <c r="AA1074" s="618"/>
      <c r="AB1074" s="618"/>
      <c r="AC1074" s="620"/>
      <c r="AD1074" s="620"/>
      <c r="AE1074" s="620"/>
      <c r="AF1074" s="471"/>
      <c r="AG1074" s="471"/>
      <c r="AH1074" s="471"/>
      <c r="AI1074" s="471"/>
      <c r="AJ1074" s="471"/>
      <c r="AK1074" s="425"/>
      <c r="AL1074" s="425"/>
      <c r="AM1074" s="425"/>
      <c r="AN1074" s="425"/>
      <c r="AO1074" s="425"/>
      <c r="AR1074" s="425"/>
      <c r="AU1074" s="425"/>
      <c r="AV1074" s="425"/>
    </row>
    <row r="1075" spans="1:48" s="393" customFormat="1" ht="22.25" customHeight="1">
      <c r="A1075" s="1017"/>
      <c r="B1075" s="1022" t="s">
        <v>801</v>
      </c>
      <c r="C1075" s="664"/>
      <c r="D1075" s="664">
        <v>2</v>
      </c>
      <c r="E1075" s="1019">
        <v>2</v>
      </c>
      <c r="F1075" s="947">
        <v>28</v>
      </c>
      <c r="G1075" s="1020"/>
      <c r="H1075" s="1021"/>
      <c r="I1075" s="1019"/>
      <c r="J1075" s="507">
        <f t="shared" si="220"/>
        <v>112</v>
      </c>
      <c r="K1075" s="514"/>
      <c r="L1075" s="514"/>
      <c r="M1075" s="725"/>
      <c r="N1075" s="725"/>
      <c r="O1075" s="725"/>
      <c r="P1075" s="725"/>
      <c r="Q1075" s="618"/>
      <c r="R1075" s="618"/>
      <c r="S1075" s="618"/>
      <c r="T1075" s="618"/>
      <c r="U1075" s="618"/>
      <c r="V1075" s="641"/>
      <c r="W1075" s="641"/>
      <c r="X1075" s="641"/>
      <c r="Y1075" s="618"/>
      <c r="Z1075" s="618"/>
      <c r="AA1075" s="618"/>
      <c r="AB1075" s="618"/>
      <c r="AC1075" s="620"/>
      <c r="AD1075" s="620"/>
      <c r="AE1075" s="620"/>
      <c r="AF1075" s="471"/>
      <c r="AG1075" s="471"/>
      <c r="AH1075" s="471"/>
      <c r="AI1075" s="471"/>
      <c r="AJ1075" s="471"/>
      <c r="AK1075" s="425"/>
      <c r="AL1075" s="425"/>
      <c r="AM1075" s="425"/>
      <c r="AN1075" s="425"/>
      <c r="AO1075" s="425"/>
      <c r="AR1075" s="425"/>
      <c r="AU1075" s="425"/>
      <c r="AV1075" s="425"/>
    </row>
    <row r="1076" spans="1:48" s="393" customFormat="1" ht="22.25" customHeight="1">
      <c r="A1076" s="1017"/>
      <c r="B1076" s="1022"/>
      <c r="C1076" s="664"/>
      <c r="D1076" s="664">
        <f>D1075</f>
        <v>2</v>
      </c>
      <c r="E1076" s="1019">
        <v>2</v>
      </c>
      <c r="F1076" s="947">
        <v>7.33</v>
      </c>
      <c r="G1076" s="1020"/>
      <c r="H1076" s="1021"/>
      <c r="I1076" s="1019"/>
      <c r="J1076" s="507">
        <f t="shared" si="220"/>
        <v>29.32</v>
      </c>
      <c r="K1076" s="514"/>
      <c r="L1076" s="514"/>
      <c r="M1076" s="725"/>
      <c r="N1076" s="725"/>
      <c r="O1076" s="725"/>
      <c r="P1076" s="725"/>
      <c r="Q1076" s="618"/>
      <c r="R1076" s="618"/>
      <c r="S1076" s="618"/>
      <c r="T1076" s="618"/>
      <c r="U1076" s="618"/>
      <c r="V1076" s="641"/>
      <c r="W1076" s="641"/>
      <c r="X1076" s="641"/>
      <c r="Y1076" s="618"/>
      <c r="Z1076" s="618"/>
      <c r="AA1076" s="618"/>
      <c r="AB1076" s="618"/>
      <c r="AC1076" s="620"/>
      <c r="AD1076" s="620"/>
      <c r="AE1076" s="620"/>
      <c r="AF1076" s="471"/>
      <c r="AG1076" s="471"/>
      <c r="AH1076" s="471"/>
      <c r="AI1076" s="471"/>
      <c r="AJ1076" s="471"/>
      <c r="AK1076" s="425"/>
      <c r="AL1076" s="425"/>
      <c r="AM1076" s="425"/>
      <c r="AN1076" s="425"/>
      <c r="AO1076" s="425"/>
      <c r="AR1076" s="425"/>
      <c r="AU1076" s="425"/>
      <c r="AV1076" s="425"/>
    </row>
    <row r="1077" spans="1:48" s="393" customFormat="1" ht="22.25" customHeight="1">
      <c r="A1077" s="1017"/>
      <c r="B1077" s="1022"/>
      <c r="C1077" s="664"/>
      <c r="D1077" s="664">
        <f>D1076</f>
        <v>2</v>
      </c>
      <c r="E1077" s="1019">
        <v>2</v>
      </c>
      <c r="F1077" s="947">
        <v>6.58</v>
      </c>
      <c r="G1077" s="1020"/>
      <c r="H1077" s="1021"/>
      <c r="I1077" s="1019"/>
      <c r="J1077" s="507">
        <f t="shared" si="220"/>
        <v>26.32</v>
      </c>
      <c r="K1077" s="514"/>
      <c r="L1077" s="514"/>
      <c r="M1077" s="725"/>
      <c r="N1077" s="725"/>
      <c r="O1077" s="725"/>
      <c r="P1077" s="725"/>
      <c r="Q1077" s="618"/>
      <c r="R1077" s="618"/>
      <c r="S1077" s="618"/>
      <c r="T1077" s="618"/>
      <c r="U1077" s="618"/>
      <c r="V1077" s="641"/>
      <c r="W1077" s="641"/>
      <c r="X1077" s="641"/>
      <c r="Y1077" s="618"/>
      <c r="Z1077" s="618"/>
      <c r="AA1077" s="618"/>
      <c r="AB1077" s="618"/>
      <c r="AC1077" s="620"/>
      <c r="AD1077" s="620"/>
      <c r="AE1077" s="620"/>
      <c r="AF1077" s="471"/>
      <c r="AG1077" s="471"/>
      <c r="AH1077" s="471"/>
      <c r="AI1077" s="471"/>
      <c r="AJ1077" s="471"/>
      <c r="AK1077" s="425"/>
      <c r="AL1077" s="425"/>
      <c r="AM1077" s="425"/>
      <c r="AN1077" s="425"/>
      <c r="AO1077" s="425"/>
      <c r="AR1077" s="425"/>
      <c r="AU1077" s="425"/>
      <c r="AV1077" s="425"/>
    </row>
    <row r="1078" spans="1:48" s="393" customFormat="1" ht="22.25" customHeight="1">
      <c r="A1078" s="1017"/>
      <c r="B1078" s="1022" t="s">
        <v>796</v>
      </c>
      <c r="C1078" s="664"/>
      <c r="D1078" s="664">
        <f>D1077</f>
        <v>2</v>
      </c>
      <c r="E1078" s="1019">
        <v>4</v>
      </c>
      <c r="F1078" s="947">
        <v>21</v>
      </c>
      <c r="G1078" s="1020"/>
      <c r="H1078" s="1021"/>
      <c r="I1078" s="1019"/>
      <c r="J1078" s="507">
        <f t="shared" si="220"/>
        <v>168</v>
      </c>
      <c r="K1078" s="514"/>
      <c r="L1078" s="514"/>
      <c r="M1078" s="725"/>
      <c r="N1078" s="725"/>
      <c r="O1078" s="725"/>
      <c r="P1078" s="725"/>
      <c r="Q1078" s="618"/>
      <c r="R1078" s="618"/>
      <c r="S1078" s="618"/>
      <c r="T1078" s="618"/>
      <c r="U1078" s="618"/>
      <c r="V1078" s="641"/>
      <c r="W1078" s="641"/>
      <c r="X1078" s="641"/>
      <c r="Y1078" s="618"/>
      <c r="Z1078" s="618"/>
      <c r="AA1078" s="618"/>
      <c r="AB1078" s="618"/>
      <c r="AC1078" s="620"/>
      <c r="AD1078" s="620"/>
      <c r="AE1078" s="620"/>
      <c r="AF1078" s="471"/>
      <c r="AG1078" s="471"/>
      <c r="AH1078" s="471"/>
      <c r="AI1078" s="471"/>
      <c r="AJ1078" s="471"/>
      <c r="AK1078" s="425"/>
      <c r="AL1078" s="425"/>
      <c r="AM1078" s="425"/>
      <c r="AN1078" s="425"/>
      <c r="AO1078" s="425"/>
      <c r="AR1078" s="425"/>
      <c r="AU1078" s="425"/>
      <c r="AV1078" s="425"/>
    </row>
    <row r="1079" spans="1:48" s="393" customFormat="1" ht="22.25" customHeight="1">
      <c r="A1079" s="326"/>
      <c r="B1079" s="1022"/>
      <c r="C1079" s="664">
        <v>4</v>
      </c>
      <c r="D1079" s="664">
        <v>2</v>
      </c>
      <c r="E1079" s="1019">
        <v>4</v>
      </c>
      <c r="F1079" s="947">
        <f>(16.83+4.17)/2</f>
        <v>10.5</v>
      </c>
      <c r="G1079" s="1020"/>
      <c r="H1079" s="1021"/>
      <c r="I1079" s="1019"/>
      <c r="J1079" s="507">
        <f t="shared" si="220"/>
        <v>336</v>
      </c>
      <c r="K1079" s="514"/>
      <c r="L1079" s="514"/>
      <c r="M1079" s="725"/>
      <c r="N1079" s="725"/>
      <c r="O1079" s="725"/>
      <c r="P1079" s="725"/>
      <c r="Q1079" s="618"/>
      <c r="R1079" s="618"/>
      <c r="S1079" s="618"/>
      <c r="T1079" s="618"/>
      <c r="U1079" s="618"/>
      <c r="V1079" s="641"/>
      <c r="W1079" s="641"/>
      <c r="X1079" s="641"/>
      <c r="Y1079" s="618"/>
      <c r="Z1079" s="618"/>
      <c r="AA1079" s="618"/>
      <c r="AB1079" s="618"/>
      <c r="AC1079" s="620"/>
      <c r="AD1079" s="620"/>
      <c r="AE1079" s="620"/>
      <c r="AF1079" s="471"/>
      <c r="AG1079" s="471"/>
      <c r="AH1079" s="471"/>
      <c r="AI1079" s="471"/>
      <c r="AJ1079" s="471"/>
      <c r="AK1079" s="425"/>
      <c r="AL1079" s="425"/>
      <c r="AM1079" s="425"/>
      <c r="AN1079" s="425"/>
      <c r="AO1079" s="425"/>
      <c r="AR1079" s="425"/>
      <c r="AU1079" s="425"/>
      <c r="AV1079" s="425"/>
    </row>
    <row r="1080" spans="1:48" s="393" customFormat="1" ht="22.25" customHeight="1">
      <c r="A1080" s="1017"/>
      <c r="B1080" s="1022"/>
      <c r="C1080" s="664"/>
      <c r="D1080" s="664"/>
      <c r="E1080" s="1019"/>
      <c r="F1080" s="947"/>
      <c r="G1080" s="1020"/>
      <c r="H1080" s="1021"/>
      <c r="I1080" s="1019"/>
      <c r="J1080" s="514"/>
      <c r="K1080" s="1029">
        <f>SUM(J1066:J1080)</f>
        <v>1021.5600000000001</v>
      </c>
      <c r="L1080" s="1027" t="s">
        <v>13</v>
      </c>
      <c r="M1080" s="725"/>
      <c r="N1080" s="725"/>
      <c r="O1080" s="725"/>
      <c r="P1080" s="725"/>
      <c r="Q1080" s="618"/>
      <c r="R1080" s="618"/>
      <c r="S1080" s="618"/>
      <c r="T1080" s="618"/>
      <c r="U1080" s="618"/>
      <c r="V1080" s="641"/>
      <c r="W1080" s="641"/>
      <c r="X1080" s="641"/>
      <c r="Y1080" s="618"/>
      <c r="Z1080" s="618"/>
      <c r="AA1080" s="618"/>
      <c r="AB1080" s="618"/>
      <c r="AC1080" s="620"/>
      <c r="AD1080" s="620"/>
      <c r="AE1080" s="620"/>
      <c r="AF1080" s="471"/>
      <c r="AG1080" s="471"/>
      <c r="AH1080" s="471"/>
      <c r="AI1080" s="471"/>
      <c r="AJ1080" s="471"/>
      <c r="AK1080" s="425"/>
      <c r="AL1080" s="425"/>
      <c r="AM1080" s="425"/>
      <c r="AN1080" s="425"/>
      <c r="AO1080" s="425"/>
      <c r="AR1080" s="425"/>
      <c r="AU1080" s="425"/>
      <c r="AV1080" s="425"/>
    </row>
    <row r="1081" spans="1:48" s="393" customFormat="1" ht="22.25" customHeight="1">
      <c r="A1081" s="1017"/>
      <c r="B1081" s="1022"/>
      <c r="C1081" s="664"/>
      <c r="D1081" s="664"/>
      <c r="E1081" s="1019"/>
      <c r="F1081" s="947"/>
      <c r="G1081" s="1020"/>
      <c r="H1081" s="1021"/>
      <c r="I1081" s="1030" t="s">
        <v>696</v>
      </c>
      <c r="J1081" s="514"/>
      <c r="K1081" s="1029">
        <f>K1080*1.05</f>
        <v>1072.6380000000001</v>
      </c>
      <c r="L1081" s="1027" t="s">
        <v>13</v>
      </c>
      <c r="M1081" s="725"/>
      <c r="N1081" s="725"/>
      <c r="O1081" s="725"/>
      <c r="P1081" s="725"/>
      <c r="Q1081" s="618"/>
      <c r="R1081" s="618"/>
      <c r="S1081" s="618"/>
      <c r="T1081" s="618"/>
      <c r="U1081" s="618"/>
      <c r="V1081" s="641"/>
      <c r="W1081" s="641"/>
      <c r="X1081" s="641"/>
      <c r="Y1081" s="618"/>
      <c r="Z1081" s="618"/>
      <c r="AA1081" s="618"/>
      <c r="AB1081" s="618"/>
      <c r="AC1081" s="620"/>
      <c r="AD1081" s="620"/>
      <c r="AE1081" s="620"/>
      <c r="AF1081" s="471"/>
      <c r="AG1081" s="471"/>
      <c r="AH1081" s="471"/>
      <c r="AI1081" s="471"/>
      <c r="AJ1081" s="471"/>
      <c r="AK1081" s="425"/>
      <c r="AL1081" s="425"/>
      <c r="AM1081" s="425"/>
      <c r="AN1081" s="425"/>
      <c r="AO1081" s="425"/>
      <c r="AR1081" s="425"/>
      <c r="AU1081" s="425"/>
      <c r="AV1081" s="425"/>
    </row>
    <row r="1082" spans="1:48" s="393" customFormat="1" ht="22.25" customHeight="1">
      <c r="A1082" s="1017"/>
      <c r="B1082" s="1022"/>
      <c r="C1082" s="664"/>
      <c r="D1082" s="664"/>
      <c r="E1082" s="1019"/>
      <c r="F1082" s="947"/>
      <c r="G1082" s="1020"/>
      <c r="H1082" s="1021"/>
      <c r="I1082" s="1019"/>
      <c r="J1082" s="514"/>
      <c r="K1082" s="1029">
        <f>K1081/3.281</f>
        <v>326.92410850350507</v>
      </c>
      <c r="L1082" s="1027" t="s">
        <v>46</v>
      </c>
      <c r="M1082" s="725"/>
      <c r="N1082" s="725"/>
      <c r="O1082" s="725"/>
      <c r="P1082" s="725"/>
      <c r="Q1082" s="618"/>
      <c r="R1082" s="618"/>
      <c r="S1082" s="618"/>
      <c r="T1082" s="618"/>
      <c r="U1082" s="618"/>
      <c r="V1082" s="641"/>
      <c r="W1082" s="641"/>
      <c r="X1082" s="641"/>
      <c r="Y1082" s="618"/>
      <c r="Z1082" s="618"/>
      <c r="AA1082" s="618"/>
      <c r="AB1082" s="618"/>
      <c r="AC1082" s="620"/>
      <c r="AD1082" s="620"/>
      <c r="AE1082" s="620"/>
      <c r="AF1082" s="471"/>
      <c r="AG1082" s="471"/>
      <c r="AH1082" s="471"/>
      <c r="AI1082" s="471"/>
      <c r="AJ1082" s="471"/>
      <c r="AK1082" s="425"/>
      <c r="AL1082" s="425"/>
      <c r="AM1082" s="425"/>
      <c r="AN1082" s="425"/>
      <c r="AO1082" s="425"/>
      <c r="AR1082" s="425"/>
      <c r="AU1082" s="425"/>
      <c r="AV1082" s="425"/>
    </row>
    <row r="1083" spans="1:48" s="393" customFormat="1" ht="22.25" customHeight="1">
      <c r="A1083" s="1017"/>
      <c r="B1083" s="1022"/>
      <c r="C1083" s="664"/>
      <c r="D1083" s="664"/>
      <c r="E1083" s="1019"/>
      <c r="F1083" s="947"/>
      <c r="G1083" s="1020"/>
      <c r="H1083" s="1021"/>
      <c r="I1083" s="1019"/>
      <c r="J1083" s="514"/>
      <c r="K1083" s="1029">
        <f>ROUNDUP(K1082/6,0)</f>
        <v>55</v>
      </c>
      <c r="L1083" s="1027" t="s">
        <v>304</v>
      </c>
      <c r="M1083" s="725"/>
      <c r="N1083" s="725"/>
      <c r="O1083" s="725"/>
      <c r="P1083" s="725"/>
      <c r="Q1083" s="618"/>
      <c r="R1083" s="618"/>
      <c r="S1083" s="618"/>
      <c r="T1083" s="618"/>
      <c r="U1083" s="618"/>
      <c r="V1083" s="641"/>
      <c r="W1083" s="641"/>
      <c r="X1083" s="641"/>
      <c r="Y1083" s="618"/>
      <c r="Z1083" s="618"/>
      <c r="AA1083" s="618"/>
      <c r="AB1083" s="618"/>
      <c r="AC1083" s="620"/>
      <c r="AD1083" s="620"/>
      <c r="AE1083" s="620"/>
      <c r="AF1083" s="471"/>
      <c r="AG1083" s="471"/>
      <c r="AH1083" s="471"/>
      <c r="AI1083" s="471"/>
      <c r="AJ1083" s="471"/>
      <c r="AK1083" s="425"/>
      <c r="AL1083" s="425"/>
      <c r="AM1083" s="425"/>
      <c r="AN1083" s="425"/>
      <c r="AO1083" s="425"/>
      <c r="AR1083" s="425"/>
      <c r="AU1083" s="425"/>
      <c r="AV1083" s="425"/>
    </row>
    <row r="1084" spans="1:48" s="393" customFormat="1" ht="22.25" customHeight="1">
      <c r="A1084" s="1017"/>
      <c r="B1084" s="1022"/>
      <c r="C1084" s="664"/>
      <c r="D1084" s="664"/>
      <c r="E1084" s="1019"/>
      <c r="F1084" s="947"/>
      <c r="G1084" s="1020"/>
      <c r="H1084" s="1021"/>
      <c r="I1084" s="1019"/>
      <c r="J1084" s="514"/>
      <c r="K1084" s="514"/>
      <c r="L1084" s="514"/>
      <c r="M1084" s="725"/>
      <c r="N1084" s="725"/>
      <c r="O1084" s="725"/>
      <c r="P1084" s="725"/>
      <c r="Q1084" s="618"/>
      <c r="R1084" s="618"/>
      <c r="S1084" s="618"/>
      <c r="T1084" s="618"/>
      <c r="U1084" s="618"/>
      <c r="V1084" s="641"/>
      <c r="W1084" s="641"/>
      <c r="X1084" s="641"/>
      <c r="Y1084" s="618"/>
      <c r="Z1084" s="618"/>
      <c r="AA1084" s="618"/>
      <c r="AB1084" s="618"/>
      <c r="AC1084" s="620"/>
      <c r="AD1084" s="620"/>
      <c r="AE1084" s="620"/>
      <c r="AF1084" s="471"/>
      <c r="AG1084" s="471"/>
      <c r="AH1084" s="471"/>
      <c r="AI1084" s="471"/>
      <c r="AJ1084" s="471"/>
      <c r="AK1084" s="425"/>
      <c r="AL1084" s="425"/>
      <c r="AM1084" s="425"/>
      <c r="AN1084" s="425"/>
      <c r="AO1084" s="425"/>
      <c r="AR1084" s="425"/>
      <c r="AU1084" s="425"/>
      <c r="AV1084" s="425"/>
    </row>
    <row r="1085" spans="1:48" s="393" customFormat="1" ht="22.25" customHeight="1">
      <c r="A1085" s="1017" t="s">
        <v>698</v>
      </c>
      <c r="B1085" s="946" t="s">
        <v>802</v>
      </c>
      <c r="C1085" s="664"/>
      <c r="D1085" s="664"/>
      <c r="E1085" s="1019"/>
      <c r="F1085" s="947"/>
      <c r="G1085" s="1020"/>
      <c r="H1085" s="1021"/>
      <c r="I1085" s="1019"/>
      <c r="J1085" s="514"/>
      <c r="K1085" s="514"/>
      <c r="L1085" s="514"/>
      <c r="M1085" s="725"/>
      <c r="N1085" s="725"/>
      <c r="O1085" s="725"/>
      <c r="P1085" s="725"/>
      <c r="Q1085" s="618"/>
      <c r="R1085" s="618"/>
      <c r="S1085" s="618"/>
      <c r="T1085" s="618"/>
      <c r="U1085" s="618"/>
      <c r="V1085" s="641"/>
      <c r="W1085" s="641"/>
      <c r="X1085" s="641"/>
      <c r="Y1085" s="618"/>
      <c r="Z1085" s="618"/>
      <c r="AA1085" s="618"/>
      <c r="AB1085" s="618"/>
      <c r="AC1085" s="620"/>
      <c r="AD1085" s="620"/>
      <c r="AE1085" s="620"/>
      <c r="AF1085" s="471"/>
      <c r="AG1085" s="471"/>
      <c r="AH1085" s="471"/>
      <c r="AI1085" s="471"/>
      <c r="AJ1085" s="471"/>
      <c r="AK1085" s="425"/>
      <c r="AL1085" s="425"/>
      <c r="AM1085" s="425"/>
      <c r="AN1085" s="425"/>
      <c r="AO1085" s="425"/>
      <c r="AR1085" s="425"/>
      <c r="AU1085" s="425"/>
      <c r="AV1085" s="425"/>
    </row>
    <row r="1086" spans="1:48" s="393" customFormat="1" ht="22.25" customHeight="1">
      <c r="A1086" s="1017"/>
      <c r="B1086" s="1022" t="s">
        <v>700</v>
      </c>
      <c r="C1086" s="664"/>
      <c r="D1086" s="664">
        <v>1</v>
      </c>
      <c r="E1086" s="1019">
        <v>12</v>
      </c>
      <c r="F1086" s="947">
        <f>(36+164)/2</f>
        <v>100</v>
      </c>
      <c r="G1086" s="1020"/>
      <c r="H1086" s="1021"/>
      <c r="I1086" s="1019"/>
      <c r="J1086" s="507">
        <f>IF(I1086=0,1,I1086)*IF(H1086=0,1,H1086)*IF(G1086=0,1,G1086)*IF(F1086=0,1,F1086)*IF(E1086=0,1,E1086)*IF(D1086=0,1,D1086)*IF(C1086=0,1,C1086)</f>
        <v>1200</v>
      </c>
      <c r="K1086" s="514"/>
      <c r="L1086" s="514"/>
      <c r="M1086" s="725"/>
      <c r="N1086" s="725"/>
      <c r="O1086" s="725"/>
      <c r="P1086" s="725"/>
      <c r="Q1086" s="618"/>
      <c r="R1086" s="618"/>
      <c r="S1086" s="618"/>
      <c r="T1086" s="618"/>
      <c r="U1086" s="618"/>
      <c r="V1086" s="641"/>
      <c r="W1086" s="641"/>
      <c r="X1086" s="641"/>
      <c r="Y1086" s="618"/>
      <c r="Z1086" s="618"/>
      <c r="AA1086" s="618"/>
      <c r="AB1086" s="618"/>
      <c r="AC1086" s="620"/>
      <c r="AD1086" s="620"/>
      <c r="AE1086" s="620"/>
      <c r="AF1086" s="471"/>
      <c r="AG1086" s="471"/>
      <c r="AH1086" s="471"/>
      <c r="AI1086" s="471"/>
      <c r="AJ1086" s="471"/>
      <c r="AK1086" s="425"/>
      <c r="AL1086" s="425"/>
      <c r="AM1086" s="425"/>
      <c r="AN1086" s="425"/>
      <c r="AO1086" s="425"/>
      <c r="AR1086" s="425"/>
      <c r="AU1086" s="425"/>
      <c r="AV1086" s="425"/>
    </row>
    <row r="1087" spans="1:48" s="393" customFormat="1" ht="22.25" customHeight="1">
      <c r="A1087" s="1017"/>
      <c r="B1087" s="1022"/>
      <c r="C1087" s="664"/>
      <c r="D1087" s="664">
        <v>2</v>
      </c>
      <c r="E1087" s="1019">
        <v>5</v>
      </c>
      <c r="F1087" s="947">
        <v>5</v>
      </c>
      <c r="G1087" s="1020"/>
      <c r="H1087" s="1021"/>
      <c r="I1087" s="1019"/>
      <c r="J1087" s="507">
        <f>IF(I1087=0,1,I1087)*IF(H1087=0,1,H1087)*IF(G1087=0,1,G1087)*IF(F1087=0,1,F1087)*IF(E1087=0,1,E1087)*IF(D1087=0,1,D1087)*IF(C1087=0,1,C1087)</f>
        <v>50</v>
      </c>
      <c r="K1087" s="514"/>
      <c r="L1087" s="514"/>
      <c r="M1087" s="725"/>
      <c r="N1087" s="725"/>
      <c r="O1087" s="725"/>
      <c r="P1087" s="725"/>
      <c r="Q1087" s="618"/>
      <c r="R1087" s="618"/>
      <c r="S1087" s="618"/>
      <c r="T1087" s="618"/>
      <c r="U1087" s="618"/>
      <c r="V1087" s="641"/>
      <c r="W1087" s="641"/>
      <c r="X1087" s="641"/>
      <c r="Y1087" s="618"/>
      <c r="Z1087" s="618"/>
      <c r="AA1087" s="618"/>
      <c r="AB1087" s="618"/>
      <c r="AC1087" s="620"/>
      <c r="AD1087" s="620"/>
      <c r="AE1087" s="620"/>
      <c r="AF1087" s="471"/>
      <c r="AG1087" s="471"/>
      <c r="AH1087" s="471"/>
      <c r="AI1087" s="471"/>
      <c r="AJ1087" s="471"/>
      <c r="AK1087" s="425"/>
      <c r="AL1087" s="425"/>
      <c r="AM1087" s="425"/>
      <c r="AN1087" s="425"/>
      <c r="AO1087" s="425"/>
      <c r="AR1087" s="425"/>
      <c r="AU1087" s="425"/>
      <c r="AV1087" s="425"/>
    </row>
    <row r="1088" spans="1:48" s="393" customFormat="1" ht="22.25" customHeight="1">
      <c r="A1088" s="1017"/>
      <c r="B1088" s="1022"/>
      <c r="C1088" s="664"/>
      <c r="D1088" s="664"/>
      <c r="E1088" s="1019"/>
      <c r="F1088" s="947"/>
      <c r="G1088" s="1020"/>
      <c r="H1088" s="1021"/>
      <c r="I1088" s="1019"/>
      <c r="J1088" s="514"/>
      <c r="K1088" s="1029">
        <f>SUM(J1085:J1088)</f>
        <v>1250</v>
      </c>
      <c r="L1088" s="1027" t="s">
        <v>13</v>
      </c>
      <c r="M1088" s="725"/>
      <c r="N1088" s="725"/>
      <c r="O1088" s="725"/>
      <c r="P1088" s="725"/>
      <c r="Q1088" s="618"/>
      <c r="R1088" s="618"/>
      <c r="S1088" s="618"/>
      <c r="T1088" s="618"/>
      <c r="U1088" s="618"/>
      <c r="V1088" s="641"/>
      <c r="W1088" s="641"/>
      <c r="X1088" s="641"/>
      <c r="Y1088" s="618"/>
      <c r="Z1088" s="618"/>
      <c r="AA1088" s="618"/>
      <c r="AB1088" s="618"/>
      <c r="AC1088" s="620"/>
      <c r="AD1088" s="620"/>
      <c r="AE1088" s="620"/>
      <c r="AF1088" s="471"/>
      <c r="AG1088" s="471"/>
      <c r="AH1088" s="471"/>
      <c r="AI1088" s="471"/>
      <c r="AJ1088" s="471"/>
      <c r="AK1088" s="425"/>
      <c r="AL1088" s="425"/>
      <c r="AM1088" s="425"/>
      <c r="AN1088" s="425"/>
      <c r="AO1088" s="425"/>
      <c r="AR1088" s="425"/>
      <c r="AU1088" s="425"/>
      <c r="AV1088" s="425"/>
    </row>
    <row r="1089" spans="1:48" s="393" customFormat="1" ht="22.25" customHeight="1">
      <c r="A1089" s="1017"/>
      <c r="B1089" s="1022"/>
      <c r="C1089" s="664"/>
      <c r="D1089" s="664"/>
      <c r="E1089" s="1019"/>
      <c r="F1089" s="947"/>
      <c r="G1089" s="1020"/>
      <c r="H1089" s="1021"/>
      <c r="I1089" s="1030" t="s">
        <v>696</v>
      </c>
      <c r="J1089" s="514"/>
      <c r="K1089" s="1029">
        <f>K1088*1.05</f>
        <v>1312.5</v>
      </c>
      <c r="L1089" s="1027" t="s">
        <v>13</v>
      </c>
      <c r="M1089" s="725"/>
      <c r="N1089" s="725"/>
      <c r="O1089" s="725"/>
      <c r="P1089" s="725"/>
      <c r="Q1089" s="618"/>
      <c r="R1089" s="618"/>
      <c r="S1089" s="618"/>
      <c r="T1089" s="618"/>
      <c r="U1089" s="618"/>
      <c r="V1089" s="641"/>
      <c r="W1089" s="641"/>
      <c r="X1089" s="641"/>
      <c r="Y1089" s="618"/>
      <c r="Z1089" s="618"/>
      <c r="AA1089" s="618"/>
      <c r="AB1089" s="618"/>
      <c r="AC1089" s="620"/>
      <c r="AD1089" s="620"/>
      <c r="AE1089" s="620"/>
      <c r="AF1089" s="471"/>
      <c r="AG1089" s="471"/>
      <c r="AH1089" s="471"/>
      <c r="AI1089" s="471"/>
      <c r="AJ1089" s="471"/>
      <c r="AK1089" s="425"/>
      <c r="AL1089" s="425"/>
      <c r="AM1089" s="425"/>
      <c r="AN1089" s="425"/>
      <c r="AO1089" s="425"/>
      <c r="AR1089" s="425"/>
      <c r="AU1089" s="425"/>
      <c r="AV1089" s="425"/>
    </row>
    <row r="1090" spans="1:48" s="393" customFormat="1" ht="22.25" customHeight="1">
      <c r="A1090" s="1017"/>
      <c r="B1090" s="1022"/>
      <c r="C1090" s="664"/>
      <c r="D1090" s="664"/>
      <c r="E1090" s="1019"/>
      <c r="F1090" s="947"/>
      <c r="G1090" s="1020"/>
      <c r="H1090" s="1021"/>
      <c r="I1090" s="1019"/>
      <c r="J1090" s="514"/>
      <c r="K1090" s="1029">
        <f>K1089/3.281</f>
        <v>400.03047851264859</v>
      </c>
      <c r="L1090" s="1027" t="s">
        <v>46</v>
      </c>
      <c r="M1090" s="725"/>
      <c r="N1090" s="725"/>
      <c r="O1090" s="725"/>
      <c r="P1090" s="725"/>
      <c r="Q1090" s="618"/>
      <c r="R1090" s="618"/>
      <c r="S1090" s="618"/>
      <c r="T1090" s="618"/>
      <c r="U1090" s="618"/>
      <c r="V1090" s="641"/>
      <c r="W1090" s="641"/>
      <c r="X1090" s="641"/>
      <c r="Y1090" s="618"/>
      <c r="Z1090" s="618"/>
      <c r="AA1090" s="618"/>
      <c r="AB1090" s="618"/>
      <c r="AC1090" s="620"/>
      <c r="AD1090" s="620"/>
      <c r="AE1090" s="620"/>
      <c r="AF1090" s="471"/>
      <c r="AG1090" s="471"/>
      <c r="AH1090" s="471"/>
      <c r="AI1090" s="471"/>
      <c r="AJ1090" s="471"/>
      <c r="AK1090" s="425"/>
      <c r="AL1090" s="425"/>
      <c r="AM1090" s="425"/>
      <c r="AN1090" s="425"/>
      <c r="AO1090" s="425"/>
      <c r="AR1090" s="425"/>
      <c r="AU1090" s="425"/>
      <c r="AV1090" s="425"/>
    </row>
    <row r="1091" spans="1:48" s="393" customFormat="1" ht="22.25" customHeight="1">
      <c r="A1091" s="1017"/>
      <c r="B1091" s="1022"/>
      <c r="C1091" s="664"/>
      <c r="D1091" s="664"/>
      <c r="E1091" s="1019"/>
      <c r="F1091" s="947"/>
      <c r="G1091" s="1020"/>
      <c r="H1091" s="1021"/>
      <c r="I1091" s="1019"/>
      <c r="J1091" s="514"/>
      <c r="K1091" s="1029">
        <f>ROUNDUP(K1090/6,0)</f>
        <v>67</v>
      </c>
      <c r="L1091" s="1027" t="s">
        <v>304</v>
      </c>
      <c r="M1091" s="725"/>
      <c r="N1091" s="725"/>
      <c r="O1091" s="725"/>
      <c r="P1091" s="725"/>
      <c r="Q1091" s="618"/>
      <c r="R1091" s="618"/>
      <c r="S1091" s="618"/>
      <c r="T1091" s="618"/>
      <c r="U1091" s="618"/>
      <c r="V1091" s="641"/>
      <c r="W1091" s="641"/>
      <c r="X1091" s="641"/>
      <c r="Y1091" s="618"/>
      <c r="Z1091" s="618"/>
      <c r="AA1091" s="618"/>
      <c r="AB1091" s="618"/>
      <c r="AC1091" s="620"/>
      <c r="AD1091" s="620"/>
      <c r="AE1091" s="620"/>
      <c r="AF1091" s="471"/>
      <c r="AG1091" s="471"/>
      <c r="AH1091" s="471"/>
      <c r="AI1091" s="471"/>
      <c r="AJ1091" s="471"/>
      <c r="AK1091" s="425"/>
      <c r="AL1091" s="425"/>
      <c r="AM1091" s="425"/>
      <c r="AN1091" s="425"/>
      <c r="AO1091" s="425"/>
      <c r="AR1091" s="425"/>
      <c r="AU1091" s="425"/>
      <c r="AV1091" s="425"/>
    </row>
    <row r="1092" spans="1:48" s="393" customFormat="1" ht="22.25" customHeight="1">
      <c r="A1092" s="1017"/>
      <c r="B1092" s="1022"/>
      <c r="C1092" s="664"/>
      <c r="D1092" s="664"/>
      <c r="E1092" s="1019"/>
      <c r="F1092" s="947"/>
      <c r="G1092" s="1020"/>
      <c r="H1092" s="1021"/>
      <c r="I1092" s="1019"/>
      <c r="J1092" s="514"/>
      <c r="K1092" s="514"/>
      <c r="L1092" s="514"/>
      <c r="M1092" s="725"/>
      <c r="N1092" s="725"/>
      <c r="O1092" s="725"/>
      <c r="P1092" s="725"/>
      <c r="Q1092" s="618"/>
      <c r="R1092" s="618"/>
      <c r="S1092" s="618"/>
      <c r="T1092" s="618"/>
      <c r="U1092" s="618"/>
      <c r="V1092" s="641"/>
      <c r="W1092" s="641"/>
      <c r="X1092" s="641"/>
      <c r="Y1092" s="618"/>
      <c r="Z1092" s="618"/>
      <c r="AA1092" s="618"/>
      <c r="AB1092" s="618"/>
      <c r="AC1092" s="620"/>
      <c r="AD1092" s="620"/>
      <c r="AE1092" s="620"/>
      <c r="AF1092" s="471"/>
      <c r="AG1092" s="471"/>
      <c r="AH1092" s="471"/>
      <c r="AI1092" s="471"/>
      <c r="AJ1092" s="471"/>
      <c r="AK1092" s="425"/>
      <c r="AL1092" s="425"/>
      <c r="AM1092" s="425"/>
      <c r="AN1092" s="425"/>
      <c r="AO1092" s="425"/>
      <c r="AR1092" s="425"/>
      <c r="AU1092" s="425"/>
      <c r="AV1092" s="425"/>
    </row>
    <row r="1093" spans="1:48" s="393" customFormat="1" ht="22.25" customHeight="1">
      <c r="A1093" s="1017" t="s">
        <v>702</v>
      </c>
      <c r="B1093" s="946" t="s">
        <v>173</v>
      </c>
      <c r="C1093" s="664">
        <v>13</v>
      </c>
      <c r="D1093" s="664">
        <v>2</v>
      </c>
      <c r="E1093" s="1019">
        <f>E1086</f>
        <v>12</v>
      </c>
      <c r="F1093" s="947"/>
      <c r="G1093" s="1020"/>
      <c r="H1093" s="1021"/>
      <c r="I1093" s="1019"/>
      <c r="J1093" s="507">
        <f>IF(I1093=0,1,I1093)*IF(H1093=0,1,H1093)*IF(G1093=0,1,G1093)*IF(F1093=0,1,F1093)*IF(E1093=0,1,E1093)*IF(D1093=0,1,D1093)*IF(C1093=0,1,C1093)</f>
        <v>312</v>
      </c>
      <c r="K1093" s="514"/>
      <c r="L1093" s="514"/>
      <c r="M1093" s="725"/>
      <c r="N1093" s="725"/>
      <c r="O1093" s="725"/>
      <c r="P1093" s="725"/>
      <c r="Q1093" s="618"/>
      <c r="R1093" s="618"/>
      <c r="S1093" s="618"/>
      <c r="T1093" s="618"/>
      <c r="U1093" s="618"/>
      <c r="V1093" s="641"/>
      <c r="W1093" s="641"/>
      <c r="X1093" s="641"/>
      <c r="Y1093" s="618"/>
      <c r="Z1093" s="618"/>
      <c r="AA1093" s="618"/>
      <c r="AB1093" s="618"/>
      <c r="AC1093" s="620"/>
      <c r="AD1093" s="620"/>
      <c r="AE1093" s="620"/>
      <c r="AF1093" s="471"/>
      <c r="AG1093" s="471"/>
      <c r="AH1093" s="471"/>
      <c r="AI1093" s="471"/>
      <c r="AJ1093" s="471"/>
      <c r="AK1093" s="425"/>
      <c r="AL1093" s="425"/>
      <c r="AM1093" s="425"/>
      <c r="AN1093" s="425"/>
      <c r="AO1093" s="425"/>
      <c r="AR1093" s="425"/>
      <c r="AU1093" s="425"/>
      <c r="AV1093" s="425"/>
    </row>
    <row r="1094" spans="1:48" s="393" customFormat="1" ht="22.25" customHeight="1">
      <c r="A1094" s="1017"/>
      <c r="B1094" s="1022"/>
      <c r="C1094" s="664">
        <v>8</v>
      </c>
      <c r="D1094" s="664">
        <f>D1087</f>
        <v>2</v>
      </c>
      <c r="E1094" s="1019">
        <f>E1087</f>
        <v>5</v>
      </c>
      <c r="F1094" s="947"/>
      <c r="G1094" s="1020"/>
      <c r="H1094" s="1021"/>
      <c r="I1094" s="1019"/>
      <c r="J1094" s="507">
        <f>IF(I1094=0,1,I1094)*IF(H1094=0,1,H1094)*IF(G1094=0,1,G1094)*IF(F1094=0,1,F1094)*IF(E1094=0,1,E1094)*IF(D1094=0,1,D1094)*IF(C1094=0,1,C1094)</f>
        <v>80</v>
      </c>
      <c r="K1094" s="514"/>
      <c r="L1094" s="514"/>
      <c r="M1094" s="725"/>
      <c r="N1094" s="725"/>
      <c r="O1094" s="725"/>
      <c r="P1094" s="725"/>
      <c r="Q1094" s="618"/>
      <c r="R1094" s="618"/>
      <c r="S1094" s="618"/>
      <c r="T1094" s="618"/>
      <c r="U1094" s="618"/>
      <c r="V1094" s="641"/>
      <c r="W1094" s="641"/>
      <c r="X1094" s="641"/>
      <c r="Y1094" s="618"/>
      <c r="Z1094" s="618"/>
      <c r="AA1094" s="618"/>
      <c r="AB1094" s="618"/>
      <c r="AC1094" s="620"/>
      <c r="AD1094" s="620"/>
      <c r="AE1094" s="620"/>
      <c r="AF1094" s="471"/>
      <c r="AG1094" s="471"/>
      <c r="AH1094" s="471"/>
      <c r="AI1094" s="471"/>
      <c r="AJ1094" s="471"/>
      <c r="AK1094" s="425"/>
      <c r="AL1094" s="425"/>
      <c r="AM1094" s="425"/>
      <c r="AN1094" s="425"/>
      <c r="AO1094" s="425"/>
      <c r="AR1094" s="425"/>
      <c r="AU1094" s="425"/>
      <c r="AV1094" s="425"/>
    </row>
    <row r="1095" spans="1:48" s="393" customFormat="1" ht="22.25" customHeight="1">
      <c r="A1095" s="1017"/>
      <c r="B1095" s="1022" t="s">
        <v>803</v>
      </c>
      <c r="C1095" s="664">
        <v>9</v>
      </c>
      <c r="D1095" s="664">
        <v>1</v>
      </c>
      <c r="E1095" s="1019">
        <v>1</v>
      </c>
      <c r="F1095" s="947"/>
      <c r="G1095" s="1020"/>
      <c r="H1095" s="1021"/>
      <c r="I1095" s="1019"/>
      <c r="J1095" s="507">
        <f>IF(I1095=0,1,I1095)*IF(H1095=0,1,H1095)*IF(G1095=0,1,G1095)*IF(F1095=0,1,F1095)*IF(E1095=0,1,E1095)*IF(D1095=0,1,D1095)*IF(C1095=0,1,C1095)</f>
        <v>9</v>
      </c>
      <c r="K1095" s="514"/>
      <c r="L1095" s="514"/>
      <c r="M1095" s="725"/>
      <c r="N1095" s="725"/>
      <c r="O1095" s="725"/>
      <c r="P1095" s="725"/>
      <c r="Q1095" s="618"/>
      <c r="R1095" s="618"/>
      <c r="S1095" s="618"/>
      <c r="T1095" s="618"/>
      <c r="U1095" s="618"/>
      <c r="V1095" s="641"/>
      <c r="W1095" s="641"/>
      <c r="X1095" s="641"/>
      <c r="Y1095" s="618"/>
      <c r="Z1095" s="618"/>
      <c r="AA1095" s="618"/>
      <c r="AB1095" s="618"/>
      <c r="AC1095" s="620"/>
      <c r="AD1095" s="620"/>
      <c r="AE1095" s="620"/>
      <c r="AF1095" s="471"/>
      <c r="AG1095" s="471"/>
      <c r="AH1095" s="471"/>
      <c r="AI1095" s="471"/>
      <c r="AJ1095" s="471"/>
      <c r="AK1095" s="425"/>
      <c r="AL1095" s="425"/>
      <c r="AM1095" s="425"/>
      <c r="AN1095" s="425"/>
      <c r="AO1095" s="425"/>
      <c r="AR1095" s="425"/>
      <c r="AU1095" s="425"/>
      <c r="AV1095" s="425"/>
    </row>
    <row r="1096" spans="1:48" s="393" customFormat="1" ht="22.25" customHeight="1">
      <c r="A1096" s="1017"/>
      <c r="B1096" s="1022"/>
      <c r="C1096" s="664">
        <v>5</v>
      </c>
      <c r="D1096" s="664">
        <v>2</v>
      </c>
      <c r="E1096" s="1019">
        <v>2</v>
      </c>
      <c r="F1096" s="947"/>
      <c r="G1096" s="1020"/>
      <c r="H1096" s="1021"/>
      <c r="I1096" s="1019"/>
      <c r="J1096" s="507">
        <f>IF(I1096=0,1,I1096)*IF(H1096=0,1,H1096)*IF(G1096=0,1,G1096)*IF(F1096=0,1,F1096)*IF(E1096=0,1,E1096)*IF(D1096=0,1,D1096)*IF(C1096=0,1,C1096)</f>
        <v>20</v>
      </c>
      <c r="K1096" s="514"/>
      <c r="L1096" s="514"/>
      <c r="M1096" s="725"/>
      <c r="N1096" s="725"/>
      <c r="O1096" s="725"/>
      <c r="P1096" s="725"/>
      <c r="Q1096" s="618"/>
      <c r="R1096" s="618"/>
      <c r="S1096" s="618"/>
      <c r="T1096" s="618"/>
      <c r="U1096" s="618"/>
      <c r="V1096" s="641"/>
      <c r="W1096" s="641"/>
      <c r="X1096" s="641"/>
      <c r="Y1096" s="618"/>
      <c r="Z1096" s="618"/>
      <c r="AA1096" s="618"/>
      <c r="AB1096" s="618"/>
      <c r="AC1096" s="620"/>
      <c r="AD1096" s="620"/>
      <c r="AE1096" s="620"/>
      <c r="AF1096" s="471"/>
      <c r="AG1096" s="471"/>
      <c r="AH1096" s="471"/>
      <c r="AI1096" s="471"/>
      <c r="AJ1096" s="471"/>
      <c r="AK1096" s="425"/>
      <c r="AL1096" s="425"/>
      <c r="AM1096" s="425"/>
      <c r="AN1096" s="425"/>
      <c r="AO1096" s="425"/>
      <c r="AR1096" s="425"/>
      <c r="AU1096" s="425"/>
      <c r="AV1096" s="425"/>
    </row>
    <row r="1097" spans="1:48" s="393" customFormat="1" ht="22.25" customHeight="1">
      <c r="A1097" s="1017"/>
      <c r="B1097" s="1022"/>
      <c r="C1097" s="664">
        <v>4</v>
      </c>
      <c r="D1097" s="664">
        <v>2</v>
      </c>
      <c r="E1097" s="1019">
        <v>1</v>
      </c>
      <c r="F1097" s="947"/>
      <c r="G1097" s="1020"/>
      <c r="H1097" s="1021"/>
      <c r="I1097" s="1019"/>
      <c r="J1097" s="507">
        <f>IF(I1097=0,1,I1097)*IF(H1097=0,1,H1097)*IF(G1097=0,1,G1097)*IF(F1097=0,1,F1097)*IF(E1097=0,1,E1097)*IF(D1097=0,1,D1097)*IF(C1097=0,1,C1097)</f>
        <v>8</v>
      </c>
      <c r="K1097" s="514"/>
      <c r="L1097" s="514"/>
      <c r="M1097" s="725"/>
      <c r="N1097" s="725"/>
      <c r="O1097" s="725"/>
      <c r="P1097" s="725"/>
      <c r="Q1097" s="618"/>
      <c r="R1097" s="618"/>
      <c r="S1097" s="618"/>
      <c r="T1097" s="618"/>
      <c r="U1097" s="618"/>
      <c r="V1097" s="641"/>
      <c r="W1097" s="641"/>
      <c r="X1097" s="641"/>
      <c r="Y1097" s="618"/>
      <c r="Z1097" s="618"/>
      <c r="AA1097" s="618"/>
      <c r="AB1097" s="618"/>
      <c r="AC1097" s="620"/>
      <c r="AD1097" s="620"/>
      <c r="AE1097" s="620"/>
      <c r="AF1097" s="471"/>
      <c r="AG1097" s="471"/>
      <c r="AH1097" s="471"/>
      <c r="AI1097" s="471"/>
      <c r="AJ1097" s="471"/>
      <c r="AK1097" s="425"/>
      <c r="AL1097" s="425"/>
      <c r="AM1097" s="425"/>
      <c r="AN1097" s="425"/>
      <c r="AO1097" s="425"/>
      <c r="AR1097" s="425"/>
      <c r="AU1097" s="425"/>
      <c r="AV1097" s="425"/>
    </row>
    <row r="1098" spans="1:48" s="393" customFormat="1" ht="22.25" customHeight="1">
      <c r="A1098" s="1017"/>
      <c r="B1098" s="1022"/>
      <c r="C1098" s="664"/>
      <c r="D1098" s="664"/>
      <c r="E1098" s="1019"/>
      <c r="F1098" s="947"/>
      <c r="G1098" s="1020"/>
      <c r="H1098" s="1021"/>
      <c r="I1098" s="1019"/>
      <c r="J1098" s="514"/>
      <c r="K1098" s="1029">
        <f>SUM(J1092:J1098)</f>
        <v>429</v>
      </c>
      <c r="L1098" s="1029" t="s">
        <v>304</v>
      </c>
      <c r="M1098" s="725"/>
      <c r="N1098" s="725"/>
      <c r="O1098" s="725"/>
      <c r="P1098" s="725"/>
      <c r="Q1098" s="618"/>
      <c r="R1098" s="618"/>
      <c r="S1098" s="618"/>
      <c r="T1098" s="618"/>
      <c r="U1098" s="618"/>
      <c r="V1098" s="641"/>
      <c r="W1098" s="641"/>
      <c r="X1098" s="641"/>
      <c r="Y1098" s="618"/>
      <c r="Z1098" s="618"/>
      <c r="AA1098" s="618"/>
      <c r="AB1098" s="618"/>
      <c r="AC1098" s="620"/>
      <c r="AD1098" s="620"/>
      <c r="AE1098" s="620"/>
      <c r="AF1098" s="471"/>
      <c r="AG1098" s="471"/>
      <c r="AH1098" s="471"/>
      <c r="AI1098" s="471"/>
      <c r="AJ1098" s="471"/>
      <c r="AK1098" s="425"/>
      <c r="AL1098" s="425"/>
      <c r="AM1098" s="425"/>
      <c r="AN1098" s="425"/>
      <c r="AO1098" s="425"/>
      <c r="AR1098" s="425"/>
      <c r="AU1098" s="425"/>
      <c r="AV1098" s="425"/>
    </row>
    <row r="1099" spans="1:48" s="393" customFormat="1" ht="22.25" customHeight="1">
      <c r="A1099" s="1017"/>
      <c r="B1099" s="1022"/>
      <c r="C1099" s="664"/>
      <c r="D1099" s="664"/>
      <c r="E1099" s="1019"/>
      <c r="F1099" s="947"/>
      <c r="G1099" s="1020"/>
      <c r="H1099" s="1021"/>
      <c r="I1099" s="1019"/>
      <c r="J1099" s="514"/>
      <c r="K1099" s="1029">
        <f>K1098*0.17</f>
        <v>72.930000000000007</v>
      </c>
      <c r="L1099" s="1029" t="s">
        <v>13</v>
      </c>
      <c r="M1099" s="725"/>
      <c r="N1099" s="725"/>
      <c r="O1099" s="725"/>
      <c r="P1099" s="725"/>
      <c r="Q1099" s="618"/>
      <c r="R1099" s="618"/>
      <c r="S1099" s="618"/>
      <c r="T1099" s="618"/>
      <c r="U1099" s="618"/>
      <c r="V1099" s="641"/>
      <c r="W1099" s="641"/>
      <c r="X1099" s="641"/>
      <c r="Y1099" s="618"/>
      <c r="Z1099" s="618"/>
      <c r="AA1099" s="618"/>
      <c r="AB1099" s="618"/>
      <c r="AC1099" s="620"/>
      <c r="AD1099" s="620"/>
      <c r="AE1099" s="620"/>
      <c r="AF1099" s="471"/>
      <c r="AG1099" s="471"/>
      <c r="AH1099" s="471"/>
      <c r="AI1099" s="471"/>
      <c r="AJ1099" s="471"/>
      <c r="AK1099" s="425"/>
      <c r="AL1099" s="425"/>
      <c r="AM1099" s="425"/>
      <c r="AN1099" s="425"/>
      <c r="AO1099" s="425"/>
      <c r="AR1099" s="425"/>
      <c r="AU1099" s="425"/>
      <c r="AV1099" s="425"/>
    </row>
    <row r="1100" spans="1:48" s="393" customFormat="1" ht="22.25" customHeight="1">
      <c r="A1100" s="1017"/>
      <c r="B1100" s="1022"/>
      <c r="C1100" s="664"/>
      <c r="D1100" s="664"/>
      <c r="E1100" s="1019"/>
      <c r="F1100" s="947"/>
      <c r="G1100" s="1020"/>
      <c r="H1100" s="1021"/>
      <c r="I1100" s="1030" t="s">
        <v>696</v>
      </c>
      <c r="J1100" s="514"/>
      <c r="K1100" s="1029">
        <f>K1099*1.05</f>
        <v>76.57650000000001</v>
      </c>
      <c r="L1100" s="1029" t="s">
        <v>13</v>
      </c>
      <c r="M1100" s="725"/>
      <c r="N1100" s="725"/>
      <c r="O1100" s="725"/>
      <c r="P1100" s="725"/>
      <c r="Q1100" s="618"/>
      <c r="R1100" s="618"/>
      <c r="S1100" s="618"/>
      <c r="T1100" s="618"/>
      <c r="U1100" s="618"/>
      <c r="V1100" s="641"/>
      <c r="W1100" s="641"/>
      <c r="X1100" s="641"/>
      <c r="Y1100" s="618"/>
      <c r="Z1100" s="618"/>
      <c r="AA1100" s="618"/>
      <c r="AB1100" s="618"/>
      <c r="AC1100" s="620"/>
      <c r="AD1100" s="620"/>
      <c r="AE1100" s="620"/>
      <c r="AF1100" s="471"/>
      <c r="AG1100" s="471"/>
      <c r="AH1100" s="471"/>
      <c r="AI1100" s="471"/>
      <c r="AJ1100" s="471"/>
      <c r="AK1100" s="425"/>
      <c r="AL1100" s="425"/>
      <c r="AM1100" s="425"/>
      <c r="AN1100" s="425"/>
      <c r="AO1100" s="425"/>
      <c r="AR1100" s="425"/>
      <c r="AU1100" s="425"/>
      <c r="AV1100" s="425"/>
    </row>
    <row r="1101" spans="1:48" s="393" customFormat="1" ht="22.25" customHeight="1">
      <c r="A1101" s="1017"/>
      <c r="B1101" s="1022"/>
      <c r="C1101" s="664"/>
      <c r="D1101" s="664"/>
      <c r="E1101" s="1019"/>
      <c r="F1101" s="947"/>
      <c r="G1101" s="1020"/>
      <c r="H1101" s="1021"/>
      <c r="I1101" s="1019"/>
      <c r="J1101" s="514"/>
      <c r="K1101" s="1029">
        <f>K1100/3.281</f>
        <v>23.339378238341972</v>
      </c>
      <c r="L1101" s="1029" t="s">
        <v>46</v>
      </c>
      <c r="M1101" s="725"/>
      <c r="N1101" s="725"/>
      <c r="O1101" s="725"/>
      <c r="P1101" s="725"/>
      <c r="Q1101" s="618"/>
      <c r="R1101" s="618"/>
      <c r="S1101" s="618"/>
      <c r="T1101" s="618"/>
      <c r="U1101" s="618"/>
      <c r="V1101" s="641"/>
      <c r="W1101" s="641"/>
      <c r="X1101" s="641"/>
      <c r="Y1101" s="618"/>
      <c r="Z1101" s="618"/>
      <c r="AA1101" s="618"/>
      <c r="AB1101" s="618"/>
      <c r="AC1101" s="620"/>
      <c r="AD1101" s="620"/>
      <c r="AE1101" s="620"/>
      <c r="AF1101" s="471"/>
      <c r="AG1101" s="471"/>
      <c r="AH1101" s="471"/>
      <c r="AI1101" s="471"/>
      <c r="AJ1101" s="471"/>
      <c r="AK1101" s="425"/>
      <c r="AL1101" s="425"/>
      <c r="AM1101" s="425"/>
      <c r="AN1101" s="425"/>
      <c r="AO1101" s="425"/>
      <c r="AR1101" s="425"/>
      <c r="AU1101" s="425"/>
      <c r="AV1101" s="425"/>
    </row>
    <row r="1102" spans="1:48" s="393" customFormat="1" ht="22.25" customHeight="1">
      <c r="A1102" s="1017"/>
      <c r="B1102" s="1022"/>
      <c r="C1102" s="664"/>
      <c r="D1102" s="664"/>
      <c r="E1102" s="1019"/>
      <c r="F1102" s="947"/>
      <c r="G1102" s="1020"/>
      <c r="H1102" s="1021"/>
      <c r="I1102" s="1019"/>
      <c r="J1102" s="514"/>
      <c r="K1102" s="1029">
        <f>K1101/12</f>
        <v>1.9449481865284977</v>
      </c>
      <c r="L1102" s="1029" t="s">
        <v>304</v>
      </c>
      <c r="M1102" s="725"/>
      <c r="N1102" s="725"/>
      <c r="O1102" s="725"/>
      <c r="P1102" s="725"/>
      <c r="Q1102" s="618"/>
      <c r="R1102" s="618"/>
      <c r="S1102" s="618"/>
      <c r="T1102" s="618"/>
      <c r="U1102" s="618"/>
      <c r="V1102" s="641"/>
      <c r="W1102" s="641"/>
      <c r="X1102" s="641"/>
      <c r="Y1102" s="618"/>
      <c r="Z1102" s="618"/>
      <c r="AA1102" s="618"/>
      <c r="AB1102" s="618"/>
      <c r="AC1102" s="620"/>
      <c r="AD1102" s="620"/>
      <c r="AE1102" s="620"/>
      <c r="AF1102" s="471"/>
      <c r="AG1102" s="471"/>
      <c r="AH1102" s="471"/>
      <c r="AI1102" s="471"/>
      <c r="AJ1102" s="471"/>
      <c r="AK1102" s="425"/>
      <c r="AL1102" s="425"/>
      <c r="AM1102" s="425"/>
      <c r="AN1102" s="425"/>
      <c r="AO1102" s="425"/>
      <c r="AR1102" s="425"/>
      <c r="AU1102" s="425"/>
      <c r="AV1102" s="425"/>
    </row>
    <row r="1103" spans="1:48" s="393" customFormat="1" ht="22.25" customHeight="1">
      <c r="A1103" s="1017"/>
      <c r="B1103" s="1022"/>
      <c r="C1103" s="664"/>
      <c r="D1103" s="664"/>
      <c r="E1103" s="1019"/>
      <c r="F1103" s="947"/>
      <c r="G1103" s="1020"/>
      <c r="H1103" s="1021"/>
      <c r="I1103" s="1019"/>
      <c r="J1103" s="514"/>
      <c r="K1103" s="1029"/>
      <c r="L1103" s="1029"/>
      <c r="M1103" s="725"/>
      <c r="N1103" s="725"/>
      <c r="O1103" s="725"/>
      <c r="P1103" s="725"/>
      <c r="Q1103" s="618"/>
      <c r="R1103" s="618"/>
      <c r="S1103" s="618"/>
      <c r="T1103" s="618"/>
      <c r="U1103" s="618"/>
      <c r="V1103" s="641"/>
      <c r="W1103" s="641"/>
      <c r="X1103" s="641"/>
      <c r="Y1103" s="618"/>
      <c r="Z1103" s="618"/>
      <c r="AA1103" s="618"/>
      <c r="AB1103" s="618"/>
      <c r="AC1103" s="620"/>
      <c r="AD1103" s="620"/>
      <c r="AE1103" s="620"/>
      <c r="AF1103" s="471"/>
      <c r="AG1103" s="471"/>
      <c r="AH1103" s="471"/>
      <c r="AI1103" s="471"/>
      <c r="AJ1103" s="471"/>
      <c r="AK1103" s="425"/>
      <c r="AL1103" s="425"/>
      <c r="AM1103" s="425"/>
      <c r="AN1103" s="425"/>
      <c r="AO1103" s="425"/>
      <c r="AR1103" s="425"/>
      <c r="AU1103" s="425"/>
      <c r="AV1103" s="425"/>
    </row>
    <row r="1104" spans="1:48" s="393" customFormat="1" ht="22.25" customHeight="1">
      <c r="A1104" s="1017" t="s">
        <v>703</v>
      </c>
      <c r="B1104" s="946" t="s">
        <v>704</v>
      </c>
      <c r="C1104" s="664"/>
      <c r="D1104" s="664">
        <v>1</v>
      </c>
      <c r="E1104" s="1019">
        <f>ROUND(J1064*1.5/100,0)</f>
        <v>24</v>
      </c>
      <c r="F1104" s="947"/>
      <c r="G1104" s="1020"/>
      <c r="H1104" s="1021"/>
      <c r="I1104" s="1019"/>
      <c r="J1104" s="507">
        <f>IF(I1104=0,1,I1104)*IF(H1104=0,1,H1104)*IF(G1104=0,1,G1104)*IF(F1104=0,1,F1104)*IF(E1104=0,1,E1104)*IF(D1104=0,1,D1104)*IF(C1104=0,1,C1104)</f>
        <v>24</v>
      </c>
      <c r="K1104" s="514"/>
      <c r="L1104" s="514"/>
      <c r="M1104" s="725"/>
      <c r="N1104" s="725"/>
      <c r="O1104" s="725"/>
      <c r="P1104" s="725"/>
      <c r="Q1104" s="618"/>
      <c r="R1104" s="618"/>
      <c r="S1104" s="618"/>
      <c r="T1104" s="618"/>
      <c r="U1104" s="618"/>
      <c r="V1104" s="641"/>
      <c r="W1104" s="641"/>
      <c r="X1104" s="641"/>
      <c r="Y1104" s="618"/>
      <c r="Z1104" s="618"/>
      <c r="AA1104" s="618"/>
      <c r="AB1104" s="618"/>
      <c r="AC1104" s="620"/>
      <c r="AD1104" s="620"/>
      <c r="AE1104" s="620"/>
      <c r="AF1104" s="471"/>
      <c r="AG1104" s="471"/>
      <c r="AH1104" s="471"/>
      <c r="AI1104" s="471"/>
      <c r="AJ1104" s="471"/>
      <c r="AK1104" s="425"/>
      <c r="AL1104" s="425"/>
      <c r="AM1104" s="425"/>
      <c r="AN1104" s="425"/>
      <c r="AO1104" s="425"/>
      <c r="AR1104" s="425"/>
      <c r="AU1104" s="425"/>
      <c r="AV1104" s="425"/>
    </row>
    <row r="1105" spans="1:48" s="393" customFormat="1" ht="22.25" customHeight="1">
      <c r="A1105" s="1017"/>
      <c r="B1105" s="1022"/>
      <c r="C1105" s="664"/>
      <c r="D1105" s="664"/>
      <c r="E1105" s="1019"/>
      <c r="F1105" s="947"/>
      <c r="G1105" s="1020"/>
      <c r="H1105" s="1021"/>
      <c r="I1105" s="1019"/>
      <c r="J1105" s="507"/>
      <c r="K1105" s="514">
        <f>SUM(J1104:J1105)</f>
        <v>24</v>
      </c>
      <c r="L1105" s="514" t="s">
        <v>709</v>
      </c>
      <c r="M1105" s="725"/>
      <c r="N1105" s="725"/>
      <c r="O1105" s="725"/>
      <c r="P1105" s="725"/>
      <c r="Q1105" s="618"/>
      <c r="R1105" s="618"/>
      <c r="S1105" s="618"/>
      <c r="T1105" s="618"/>
      <c r="U1105" s="618"/>
      <c r="V1105" s="641"/>
      <c r="W1105" s="641"/>
      <c r="X1105" s="641"/>
      <c r="Y1105" s="618"/>
      <c r="Z1105" s="618"/>
      <c r="AA1105" s="618"/>
      <c r="AB1105" s="618"/>
      <c r="AC1105" s="620"/>
      <c r="AD1105" s="620"/>
      <c r="AE1105" s="620"/>
      <c r="AF1105" s="471"/>
      <c r="AG1105" s="471"/>
      <c r="AH1105" s="471"/>
      <c r="AI1105" s="471"/>
      <c r="AJ1105" s="471"/>
      <c r="AK1105" s="425"/>
      <c r="AL1105" s="425"/>
      <c r="AM1105" s="425"/>
      <c r="AN1105" s="425"/>
      <c r="AO1105" s="425"/>
      <c r="AR1105" s="425"/>
      <c r="AU1105" s="425"/>
      <c r="AV1105" s="425"/>
    </row>
    <row r="1106" spans="1:48" s="393" customFormat="1" ht="22.25" customHeight="1">
      <c r="A1106" s="1017"/>
      <c r="B1106" s="1022"/>
      <c r="C1106" s="664"/>
      <c r="D1106" s="664"/>
      <c r="E1106" s="1019"/>
      <c r="F1106" s="947"/>
      <c r="G1106" s="1020"/>
      <c r="H1106" s="1021"/>
      <c r="I1106" s="1019"/>
      <c r="J1106" s="514"/>
      <c r="K1106" s="514"/>
      <c r="L1106" s="514"/>
      <c r="M1106" s="725"/>
      <c r="N1106" s="725"/>
      <c r="O1106" s="725"/>
      <c r="P1106" s="725"/>
      <c r="Q1106" s="618"/>
      <c r="R1106" s="618"/>
      <c r="S1106" s="618"/>
      <c r="T1106" s="618"/>
      <c r="U1106" s="618"/>
      <c r="V1106" s="641"/>
      <c r="W1106" s="641"/>
      <c r="X1106" s="641"/>
      <c r="Y1106" s="618"/>
      <c r="Z1106" s="618"/>
      <c r="AA1106" s="618"/>
      <c r="AB1106" s="618"/>
      <c r="AC1106" s="620"/>
      <c r="AD1106" s="620"/>
      <c r="AE1106" s="620"/>
      <c r="AF1106" s="471"/>
      <c r="AG1106" s="471"/>
      <c r="AH1106" s="471"/>
      <c r="AI1106" s="471"/>
      <c r="AJ1106" s="471"/>
      <c r="AK1106" s="425"/>
      <c r="AL1106" s="425"/>
      <c r="AM1106" s="425"/>
      <c r="AN1106" s="425"/>
      <c r="AO1106" s="425"/>
      <c r="AR1106" s="425"/>
      <c r="AU1106" s="425"/>
      <c r="AV1106" s="425"/>
    </row>
    <row r="1107" spans="1:48" s="393" customFormat="1" ht="22.25" customHeight="1">
      <c r="A1107" s="1017" t="s">
        <v>708</v>
      </c>
      <c r="B1107" s="946" t="s">
        <v>710</v>
      </c>
      <c r="C1107" s="664"/>
      <c r="D1107" s="664">
        <v>1</v>
      </c>
      <c r="E1107" s="1019">
        <f>ROUND(((K1080+K1088+K1099)/15),0)</f>
        <v>156</v>
      </c>
      <c r="F1107" s="947"/>
      <c r="G1107" s="1020"/>
      <c r="H1107" s="1021"/>
      <c r="I1107" s="1019"/>
      <c r="J1107" s="507">
        <f>IF(I1107=0,1,I1107)*IF(H1107=0,1,H1107)*IF(G1107=0,1,G1107)*IF(F1107=0,1,F1107)*IF(E1107=0,1,E1107)*IF(D1107=0,1,D1107)*IF(C1107=0,1,C1107)</f>
        <v>156</v>
      </c>
      <c r="K1107" s="514"/>
      <c r="L1107" s="514"/>
      <c r="M1107" s="725"/>
      <c r="N1107" s="725"/>
      <c r="O1107" s="725"/>
      <c r="P1107" s="725"/>
      <c r="Q1107" s="618"/>
      <c r="R1107" s="618"/>
      <c r="S1107" s="618"/>
      <c r="T1107" s="618"/>
      <c r="U1107" s="618"/>
      <c r="V1107" s="641"/>
      <c r="W1107" s="641"/>
      <c r="X1107" s="641"/>
      <c r="Y1107" s="618"/>
      <c r="Z1107" s="618"/>
      <c r="AA1107" s="618"/>
      <c r="AB1107" s="618"/>
      <c r="AC1107" s="620"/>
      <c r="AD1107" s="620"/>
      <c r="AE1107" s="620"/>
      <c r="AF1107" s="471"/>
      <c r="AG1107" s="471"/>
      <c r="AH1107" s="471"/>
      <c r="AI1107" s="471"/>
      <c r="AJ1107" s="471"/>
      <c r="AK1107" s="425"/>
      <c r="AL1107" s="425"/>
      <c r="AM1107" s="425"/>
      <c r="AN1107" s="425"/>
      <c r="AO1107" s="425"/>
      <c r="AR1107" s="425"/>
      <c r="AU1107" s="425"/>
      <c r="AV1107" s="425"/>
    </row>
    <row r="1108" spans="1:48" s="393" customFormat="1" ht="22.25" customHeight="1">
      <c r="A1108" s="1017"/>
      <c r="B1108" s="1022"/>
      <c r="C1108" s="664"/>
      <c r="D1108" s="664"/>
      <c r="E1108" s="1019"/>
      <c r="F1108" s="947"/>
      <c r="G1108" s="1020"/>
      <c r="H1108" s="1021"/>
      <c r="I1108" s="1019"/>
      <c r="J1108" s="507"/>
      <c r="K1108" s="514">
        <f>SUM(J1107:J1108)</f>
        <v>156</v>
      </c>
      <c r="L1108" s="514" t="s">
        <v>30</v>
      </c>
      <c r="M1108" s="725"/>
      <c r="N1108" s="725"/>
      <c r="O1108" s="725"/>
      <c r="P1108" s="725"/>
      <c r="Q1108" s="618"/>
      <c r="R1108" s="618"/>
      <c r="S1108" s="618"/>
      <c r="T1108" s="618"/>
      <c r="U1108" s="618"/>
      <c r="V1108" s="641"/>
      <c r="W1108" s="641"/>
      <c r="X1108" s="641"/>
      <c r="Y1108" s="618"/>
      <c r="Z1108" s="618"/>
      <c r="AA1108" s="618"/>
      <c r="AB1108" s="618"/>
      <c r="AC1108" s="620"/>
      <c r="AD1108" s="620"/>
      <c r="AE1108" s="620"/>
      <c r="AF1108" s="471"/>
      <c r="AG1108" s="471"/>
      <c r="AH1108" s="471"/>
      <c r="AI1108" s="471"/>
      <c r="AJ1108" s="471"/>
      <c r="AK1108" s="425"/>
      <c r="AL1108" s="425"/>
      <c r="AM1108" s="425"/>
      <c r="AN1108" s="425"/>
      <c r="AO1108" s="425"/>
      <c r="AR1108" s="425"/>
      <c r="AU1108" s="425"/>
      <c r="AV1108" s="425"/>
    </row>
    <row r="1109" spans="1:48" s="393" customFormat="1" ht="22.25" customHeight="1">
      <c r="A1109" s="1017"/>
      <c r="B1109" s="1022"/>
      <c r="C1109" s="664"/>
      <c r="D1109" s="664"/>
      <c r="E1109" s="1019"/>
      <c r="F1109" s="947"/>
      <c r="G1109" s="1020"/>
      <c r="H1109" s="1021"/>
      <c r="I1109" s="1019"/>
      <c r="J1109" s="507"/>
      <c r="K1109" s="514">
        <f>ROUNDUP(K1108/25,0)</f>
        <v>7</v>
      </c>
      <c r="L1109" s="514" t="s">
        <v>657</v>
      </c>
      <c r="M1109" s="725" t="s">
        <v>937</v>
      </c>
      <c r="N1109" s="725"/>
      <c r="O1109" s="725"/>
      <c r="P1109" s="725"/>
      <c r="Q1109" s="618"/>
      <c r="R1109" s="618"/>
      <c r="S1109" s="618"/>
      <c r="T1109" s="618"/>
      <c r="U1109" s="618"/>
      <c r="V1109" s="641"/>
      <c r="W1109" s="641"/>
      <c r="X1109" s="641"/>
      <c r="Y1109" s="618"/>
      <c r="Z1109" s="618"/>
      <c r="AA1109" s="618"/>
      <c r="AB1109" s="618"/>
      <c r="AC1109" s="620"/>
      <c r="AD1109" s="620"/>
      <c r="AE1109" s="620"/>
      <c r="AF1109" s="471"/>
      <c r="AG1109" s="471"/>
      <c r="AH1109" s="471"/>
      <c r="AI1109" s="471"/>
      <c r="AJ1109" s="471"/>
      <c r="AK1109" s="425"/>
      <c r="AL1109" s="425"/>
      <c r="AM1109" s="425"/>
      <c r="AN1109" s="425"/>
      <c r="AO1109" s="425"/>
      <c r="AR1109" s="425"/>
      <c r="AU1109" s="425"/>
      <c r="AV1109" s="425"/>
    </row>
    <row r="1110" spans="1:48" s="393" customFormat="1" ht="22.25" customHeight="1">
      <c r="A1110" s="1017"/>
      <c r="B1110" s="1022"/>
      <c r="C1110" s="664"/>
      <c r="D1110" s="664"/>
      <c r="E1110" s="1019"/>
      <c r="F1110" s="947"/>
      <c r="G1110" s="1020"/>
      <c r="H1110" s="1021"/>
      <c r="I1110" s="1019"/>
      <c r="J1110" s="514"/>
      <c r="K1110" s="514"/>
      <c r="L1110" s="514"/>
      <c r="M1110" s="725"/>
      <c r="N1110" s="725"/>
      <c r="O1110" s="725"/>
      <c r="P1110" s="725"/>
      <c r="Q1110" s="618"/>
      <c r="R1110" s="618"/>
      <c r="S1110" s="618"/>
      <c r="T1110" s="618"/>
      <c r="U1110" s="618"/>
      <c r="V1110" s="641"/>
      <c r="W1110" s="641"/>
      <c r="X1110" s="641"/>
      <c r="Y1110" s="618"/>
      <c r="Z1110" s="618"/>
      <c r="AA1110" s="618"/>
      <c r="AB1110" s="618"/>
      <c r="AC1110" s="620"/>
      <c r="AD1110" s="620"/>
      <c r="AE1110" s="620"/>
      <c r="AF1110" s="471"/>
      <c r="AG1110" s="471"/>
      <c r="AH1110" s="471"/>
      <c r="AI1110" s="471"/>
      <c r="AJ1110" s="471"/>
      <c r="AK1110" s="425"/>
      <c r="AL1110" s="425"/>
      <c r="AM1110" s="425"/>
      <c r="AN1110" s="425"/>
      <c r="AO1110" s="425"/>
      <c r="AR1110" s="425"/>
      <c r="AU1110" s="425"/>
      <c r="AV1110" s="425"/>
    </row>
    <row r="1111" spans="1:48" s="393" customFormat="1" ht="22.25" customHeight="1">
      <c r="A1111" s="1017" t="s">
        <v>938</v>
      </c>
      <c r="B1111" s="946" t="s">
        <v>939</v>
      </c>
      <c r="C1111" s="664"/>
      <c r="D1111" s="664">
        <v>1</v>
      </c>
      <c r="E1111" s="1019">
        <f>ROUND((K1108/10),0)</f>
        <v>16</v>
      </c>
      <c r="F1111" s="947"/>
      <c r="G1111" s="1020"/>
      <c r="H1111" s="1021"/>
      <c r="I1111" s="1019"/>
      <c r="J1111" s="507">
        <f>IF(I1111=0,1,I1111)*IF(H1111=0,1,H1111)*IF(G1111=0,1,G1111)*IF(F1111=0,1,F1111)*IF(E1111=0,1,E1111)*IF(D1111=0,1,D1111)*IF(C1111=0,1,C1111)</f>
        <v>16</v>
      </c>
      <c r="K1111" s="514"/>
      <c r="L1111" s="514"/>
      <c r="M1111" s="725"/>
      <c r="N1111" s="725"/>
      <c r="O1111" s="725"/>
      <c r="P1111" s="725"/>
      <c r="Q1111" s="618"/>
      <c r="R1111" s="618"/>
      <c r="S1111" s="618"/>
      <c r="T1111" s="618"/>
      <c r="U1111" s="618"/>
      <c r="V1111" s="641"/>
      <c r="W1111" s="641"/>
      <c r="X1111" s="641"/>
      <c r="Y1111" s="618"/>
      <c r="Z1111" s="618"/>
      <c r="AA1111" s="618"/>
      <c r="AB1111" s="618"/>
      <c r="AC1111" s="620"/>
      <c r="AD1111" s="620"/>
      <c r="AE1111" s="620"/>
      <c r="AF1111" s="471"/>
      <c r="AG1111" s="471"/>
      <c r="AH1111" s="471"/>
      <c r="AI1111" s="471"/>
      <c r="AJ1111" s="471"/>
      <c r="AK1111" s="425"/>
      <c r="AL1111" s="425"/>
      <c r="AM1111" s="425"/>
      <c r="AN1111" s="425"/>
      <c r="AO1111" s="425"/>
      <c r="AR1111" s="425"/>
      <c r="AU1111" s="425"/>
      <c r="AV1111" s="425"/>
    </row>
    <row r="1112" spans="1:48" s="393" customFormat="1" ht="22.25" customHeight="1">
      <c r="A1112" s="1017"/>
      <c r="B1112" s="1022"/>
      <c r="C1112" s="664"/>
      <c r="D1112" s="664"/>
      <c r="E1112" s="1019"/>
      <c r="F1112" s="947"/>
      <c r="G1112" s="1020"/>
      <c r="H1112" s="1021"/>
      <c r="I1112" s="1019"/>
      <c r="J1112" s="507"/>
      <c r="K1112" s="514">
        <f>SUM(J1111:J1112)</f>
        <v>16</v>
      </c>
      <c r="L1112" s="514" t="s">
        <v>30</v>
      </c>
      <c r="M1112" s="725"/>
      <c r="N1112" s="725"/>
      <c r="O1112" s="725"/>
      <c r="P1112" s="725"/>
      <c r="Q1112" s="618"/>
      <c r="R1112" s="618"/>
      <c r="S1112" s="618"/>
      <c r="T1112" s="618"/>
      <c r="U1112" s="618"/>
      <c r="V1112" s="641"/>
      <c r="W1112" s="641"/>
      <c r="X1112" s="641"/>
      <c r="Y1112" s="618"/>
      <c r="Z1112" s="618"/>
      <c r="AA1112" s="618"/>
      <c r="AB1112" s="618"/>
      <c r="AC1112" s="620"/>
      <c r="AD1112" s="620"/>
      <c r="AE1112" s="620"/>
      <c r="AF1112" s="471"/>
      <c r="AG1112" s="471"/>
      <c r="AH1112" s="471"/>
      <c r="AI1112" s="471"/>
      <c r="AJ1112" s="471"/>
      <c r="AK1112" s="425"/>
      <c r="AL1112" s="425"/>
      <c r="AM1112" s="425"/>
      <c r="AN1112" s="425"/>
      <c r="AO1112" s="425"/>
      <c r="AR1112" s="425"/>
      <c r="AU1112" s="425"/>
      <c r="AV1112" s="425"/>
    </row>
    <row r="1113" spans="1:48" s="393" customFormat="1" ht="22.25" customHeight="1">
      <c r="A1113" s="1017"/>
      <c r="B1113" s="1022"/>
      <c r="C1113" s="664"/>
      <c r="D1113" s="664"/>
      <c r="E1113" s="1019"/>
      <c r="F1113" s="947"/>
      <c r="G1113" s="1020"/>
      <c r="H1113" s="1021"/>
      <c r="I1113" s="1019"/>
      <c r="J1113" s="507"/>
      <c r="K1113" s="514">
        <f>ROUNDUP(K1112/25,0)</f>
        <v>1</v>
      </c>
      <c r="L1113" s="514" t="s">
        <v>657</v>
      </c>
      <c r="M1113" s="725" t="s">
        <v>940</v>
      </c>
      <c r="N1113" s="725"/>
      <c r="O1113" s="725"/>
      <c r="P1113" s="725"/>
      <c r="Q1113" s="618"/>
      <c r="R1113" s="618"/>
      <c r="S1113" s="618"/>
      <c r="T1113" s="618"/>
      <c r="U1113" s="618"/>
      <c r="V1113" s="641"/>
      <c r="W1113" s="641"/>
      <c r="X1113" s="641"/>
      <c r="Y1113" s="618"/>
      <c r="Z1113" s="618"/>
      <c r="AA1113" s="618"/>
      <c r="AB1113" s="618"/>
      <c r="AC1113" s="620"/>
      <c r="AD1113" s="620"/>
      <c r="AE1113" s="620"/>
      <c r="AF1113" s="471"/>
      <c r="AG1113" s="471"/>
      <c r="AH1113" s="471"/>
      <c r="AI1113" s="471"/>
      <c r="AJ1113" s="471"/>
      <c r="AK1113" s="425"/>
      <c r="AL1113" s="425"/>
      <c r="AM1113" s="425"/>
      <c r="AN1113" s="425"/>
      <c r="AO1113" s="425"/>
      <c r="AR1113" s="425"/>
      <c r="AU1113" s="425"/>
      <c r="AV1113" s="425"/>
    </row>
    <row r="1114" spans="1:48" s="393" customFormat="1" ht="22.25" customHeight="1">
      <c r="A1114" s="1017"/>
      <c r="B1114" s="1022"/>
      <c r="C1114" s="664"/>
      <c r="D1114" s="664"/>
      <c r="E1114" s="1019"/>
      <c r="F1114" s="947"/>
      <c r="G1114" s="1020"/>
      <c r="H1114" s="1021"/>
      <c r="I1114" s="1019"/>
      <c r="J1114" s="514"/>
      <c r="K1114" s="514"/>
      <c r="L1114" s="514"/>
      <c r="M1114" s="725"/>
      <c r="N1114" s="725"/>
      <c r="O1114" s="725"/>
      <c r="P1114" s="725"/>
      <c r="Q1114" s="618"/>
      <c r="R1114" s="618"/>
      <c r="S1114" s="618"/>
      <c r="T1114" s="618"/>
      <c r="U1114" s="618"/>
      <c r="V1114" s="641"/>
      <c r="W1114" s="641"/>
      <c r="X1114" s="641"/>
      <c r="Y1114" s="618"/>
      <c r="Z1114" s="618"/>
      <c r="AA1114" s="618"/>
      <c r="AB1114" s="618"/>
      <c r="AC1114" s="620"/>
      <c r="AD1114" s="620"/>
      <c r="AE1114" s="620"/>
      <c r="AF1114" s="471"/>
      <c r="AG1114" s="471"/>
      <c r="AH1114" s="471"/>
      <c r="AI1114" s="471"/>
      <c r="AJ1114" s="471"/>
      <c r="AK1114" s="425"/>
      <c r="AL1114" s="425"/>
      <c r="AM1114" s="425"/>
      <c r="AN1114" s="425"/>
      <c r="AO1114" s="425"/>
      <c r="AR1114" s="425"/>
      <c r="AU1114" s="425"/>
      <c r="AV1114" s="425"/>
    </row>
    <row r="1115" spans="1:48" s="885" customFormat="1" ht="22.25" customHeight="1">
      <c r="A1115" s="788">
        <v>21</v>
      </c>
      <c r="B1115" s="958" t="s">
        <v>705</v>
      </c>
      <c r="C1115" s="940"/>
      <c r="D1115" s="940"/>
      <c r="E1115" s="940"/>
      <c r="F1115" s="1031"/>
      <c r="G1115" s="1032"/>
      <c r="H1115" s="1033"/>
      <c r="I1115" s="1005"/>
      <c r="J1115" s="970"/>
      <c r="K1115" s="970"/>
      <c r="L1115" s="802"/>
      <c r="M1115" s="971"/>
      <c r="N1115" s="971"/>
      <c r="O1115" s="971"/>
      <c r="P1115" s="971"/>
      <c r="Q1115" s="618"/>
      <c r="R1115" s="618"/>
      <c r="S1115" s="618"/>
      <c r="T1115" s="618"/>
      <c r="U1115" s="618"/>
      <c r="V1115" s="641"/>
      <c r="W1115" s="641"/>
      <c r="X1115" s="641"/>
      <c r="Y1115" s="618"/>
      <c r="Z1115" s="618"/>
      <c r="AA1115" s="618"/>
      <c r="AB1115" s="618"/>
      <c r="AC1115" s="620"/>
      <c r="AD1115" s="620"/>
      <c r="AE1115" s="620"/>
      <c r="AF1115" s="966"/>
      <c r="AG1115" s="966"/>
      <c r="AH1115" s="966"/>
      <c r="AI1115" s="966"/>
      <c r="AJ1115" s="966"/>
      <c r="AK1115" s="966"/>
      <c r="AL1115" s="966"/>
      <c r="AM1115" s="966"/>
      <c r="AN1115" s="944"/>
      <c r="AO1115" s="944"/>
      <c r="AR1115" s="886"/>
      <c r="AU1115" s="886"/>
      <c r="AV1115" s="886"/>
    </row>
    <row r="1116" spans="1:48" s="885" customFormat="1" ht="26" customHeight="1">
      <c r="A1116" s="969"/>
      <c r="B1116" s="962" t="str">
        <f>B1065</f>
        <v>4"x2" Hollow (1.4mm thk;)</v>
      </c>
      <c r="C1116" s="940"/>
      <c r="D1116" s="940"/>
      <c r="E1116" s="940">
        <v>1</v>
      </c>
      <c r="F1116" s="941">
        <f>0.33*2+0.17*2</f>
        <v>1</v>
      </c>
      <c r="G1116" s="942">
        <f>K1080</f>
        <v>1021.5600000000001</v>
      </c>
      <c r="H1116" s="1033"/>
      <c r="I1116" s="1005"/>
      <c r="J1116" s="507">
        <f>IF(I1116=0,1,I1116)*IF(H1116=0,1,H1116)*IF(G1116=0,1,G1116)*IF(F1116=0,1,F1116)*IF(E1116=0,1,E1116)*IF(D1116=0,1,D1116)*IF(C1116=0,1,C1116)</f>
        <v>1021.5600000000001</v>
      </c>
      <c r="K1116" s="970"/>
      <c r="L1116" s="802"/>
      <c r="M1116" s="971"/>
      <c r="N1116" s="971"/>
      <c r="O1116" s="971"/>
      <c r="P1116" s="971"/>
      <c r="Q1116" s="618"/>
      <c r="R1116" s="618"/>
      <c r="S1116" s="618"/>
      <c r="T1116" s="618"/>
      <c r="U1116" s="618"/>
      <c r="V1116" s="641"/>
      <c r="W1116" s="641"/>
      <c r="X1116" s="641"/>
      <c r="Y1116" s="618"/>
      <c r="Z1116" s="618"/>
      <c r="AA1116" s="618"/>
      <c r="AB1116" s="618"/>
      <c r="AC1116" s="620"/>
      <c r="AD1116" s="620"/>
      <c r="AE1116" s="620"/>
      <c r="AF1116" s="966"/>
      <c r="AG1116" s="966"/>
      <c r="AH1116" s="966"/>
      <c r="AI1116" s="966"/>
      <c r="AJ1116" s="966"/>
      <c r="AK1116" s="966"/>
      <c r="AL1116" s="966"/>
      <c r="AM1116" s="966"/>
      <c r="AN1116" s="944"/>
      <c r="AO1116" s="944"/>
      <c r="AR1116" s="886"/>
      <c r="AU1116" s="886"/>
      <c r="AV1116" s="886"/>
    </row>
    <row r="1117" spans="1:48" s="885" customFormat="1" ht="22.25" customHeight="1">
      <c r="A1117" s="969"/>
      <c r="B1117" s="962" t="str">
        <f>B1085</f>
        <v>3"x1½" Lip Channel (1.2mm thk;)</v>
      </c>
      <c r="C1117" s="940"/>
      <c r="D1117" s="940"/>
      <c r="E1117" s="940">
        <v>1</v>
      </c>
      <c r="F1117" s="941">
        <f>0.33*2+0.125*4</f>
        <v>1.1600000000000001</v>
      </c>
      <c r="G1117" s="942">
        <f>K1088</f>
        <v>1250</v>
      </c>
      <c r="H1117" s="1033"/>
      <c r="I1117" s="1005"/>
      <c r="J1117" s="507">
        <f>IF(I1117=0,1,I1117)*IF(H1117=0,1,H1117)*IF(G1117=0,1,G1117)*IF(F1117=0,1,F1117)*IF(E1117=0,1,E1117)*IF(D1117=0,1,D1117)*IF(C1117=0,1,C1117)</f>
        <v>1450.0000000000002</v>
      </c>
      <c r="K1117" s="970"/>
      <c r="L1117" s="802"/>
      <c r="M1117" s="971">
        <f>1.5/12</f>
        <v>0.125</v>
      </c>
      <c r="N1117" s="971"/>
      <c r="O1117" s="971"/>
      <c r="P1117" s="971"/>
      <c r="Q1117" s="618"/>
      <c r="R1117" s="618"/>
      <c r="S1117" s="618"/>
      <c r="T1117" s="618"/>
      <c r="U1117" s="618"/>
      <c r="V1117" s="641"/>
      <c r="W1117" s="641"/>
      <c r="X1117" s="641"/>
      <c r="Y1117" s="618"/>
      <c r="Z1117" s="618"/>
      <c r="AA1117" s="618"/>
      <c r="AB1117" s="618"/>
      <c r="AC1117" s="620"/>
      <c r="AD1117" s="620"/>
      <c r="AE1117" s="620"/>
      <c r="AF1117" s="966"/>
      <c r="AG1117" s="966"/>
      <c r="AH1117" s="966"/>
      <c r="AI1117" s="966"/>
      <c r="AJ1117" s="966"/>
      <c r="AK1117" s="966"/>
      <c r="AL1117" s="966"/>
      <c r="AM1117" s="966"/>
      <c r="AN1117" s="944"/>
      <c r="AO1117" s="944"/>
      <c r="AR1117" s="886"/>
      <c r="AU1117" s="886"/>
      <c r="AV1117" s="886"/>
    </row>
    <row r="1118" spans="1:48" s="885" customFormat="1" ht="26" customHeight="1">
      <c r="A1118" s="969"/>
      <c r="B1118" s="962" t="str">
        <f>B1093</f>
        <v>Purlin Cleat</v>
      </c>
      <c r="C1118" s="940"/>
      <c r="D1118" s="940"/>
      <c r="E1118" s="940">
        <f>K1098</f>
        <v>429</v>
      </c>
      <c r="F1118" s="941">
        <f>0.17*4</f>
        <v>0.68</v>
      </c>
      <c r="G1118" s="942">
        <v>0.17</v>
      </c>
      <c r="H1118" s="1033"/>
      <c r="I1118" s="1005"/>
      <c r="J1118" s="507">
        <f>IF(I1118=0,1,I1118)*IF(H1118=0,1,H1118)*IF(G1118=0,1,G1118)*IF(F1118=0,1,F1118)*IF(E1118=0,1,E1118)*IF(D1118=0,1,D1118)*IF(C1118=0,1,C1118)</f>
        <v>49.592400000000012</v>
      </c>
      <c r="K1118" s="970"/>
      <c r="L1118" s="802"/>
      <c r="M1118" s="971"/>
      <c r="N1118" s="971"/>
      <c r="O1118" s="971"/>
      <c r="P1118" s="971"/>
      <c r="Q1118" s="618"/>
      <c r="R1118" s="618"/>
      <c r="S1118" s="618"/>
      <c r="T1118" s="618"/>
      <c r="U1118" s="618"/>
      <c r="V1118" s="641"/>
      <c r="W1118" s="641"/>
      <c r="X1118" s="641"/>
      <c r="Y1118" s="618"/>
      <c r="Z1118" s="618"/>
      <c r="AA1118" s="618"/>
      <c r="AB1118" s="618"/>
      <c r="AC1118" s="620"/>
      <c r="AD1118" s="620"/>
      <c r="AE1118" s="620"/>
      <c r="AF1118" s="966"/>
      <c r="AG1118" s="966"/>
      <c r="AH1118" s="966"/>
      <c r="AI1118" s="966"/>
      <c r="AJ1118" s="966"/>
      <c r="AK1118" s="966"/>
      <c r="AL1118" s="966"/>
      <c r="AM1118" s="966"/>
      <c r="AN1118" s="944"/>
      <c r="AO1118" s="944"/>
      <c r="AR1118" s="886"/>
      <c r="AU1118" s="886"/>
      <c r="AV1118" s="886"/>
    </row>
    <row r="1119" spans="1:48" s="885" customFormat="1" ht="22.25" customHeight="1">
      <c r="A1119" s="969"/>
      <c r="B1119" s="962"/>
      <c r="C1119" s="940"/>
      <c r="D1119" s="940"/>
      <c r="E1119" s="940"/>
      <c r="F1119" s="1031"/>
      <c r="G1119" s="1032"/>
      <c r="H1119" s="1033"/>
      <c r="I1119" s="1005"/>
      <c r="J1119" s="970"/>
      <c r="K1119" s="1034">
        <f>SUM(J1115:J1119)</f>
        <v>2521.1524000000004</v>
      </c>
      <c r="L1119" s="791" t="s">
        <v>45</v>
      </c>
      <c r="M1119" s="964"/>
      <c r="N1119" s="964"/>
      <c r="O1119" s="964"/>
      <c r="P1119" s="964"/>
      <c r="Q1119" s="618"/>
      <c r="R1119" s="618"/>
      <c r="S1119" s="618"/>
      <c r="T1119" s="618"/>
      <c r="U1119" s="618"/>
      <c r="V1119" s="641"/>
      <c r="W1119" s="641"/>
      <c r="X1119" s="641"/>
      <c r="Y1119" s="618"/>
      <c r="Z1119" s="618"/>
      <c r="AA1119" s="618"/>
      <c r="AB1119" s="618"/>
      <c r="AC1119" s="620"/>
      <c r="AD1119" s="620"/>
      <c r="AE1119" s="620"/>
      <c r="AF1119" s="966"/>
      <c r="AG1119" s="966"/>
      <c r="AH1119" s="966"/>
      <c r="AI1119" s="966"/>
      <c r="AJ1119" s="966"/>
      <c r="AK1119" s="966"/>
      <c r="AL1119" s="966"/>
      <c r="AM1119" s="966"/>
      <c r="AN1119" s="944"/>
      <c r="AO1119" s="944"/>
      <c r="AR1119" s="886"/>
      <c r="AU1119" s="886"/>
      <c r="AV1119" s="886"/>
    </row>
    <row r="1120" spans="1:48" s="885" customFormat="1" ht="22.25" customHeight="1">
      <c r="A1120" s="969"/>
      <c r="B1120" s="962"/>
      <c r="C1120" s="940"/>
      <c r="D1120" s="940"/>
      <c r="E1120" s="940"/>
      <c r="F1120" s="1031"/>
      <c r="G1120" s="1032"/>
      <c r="H1120" s="1033"/>
      <c r="I1120" s="1005"/>
      <c r="J1120" s="970"/>
      <c r="K1120" s="1034">
        <f>K1119/100</f>
        <v>25.211524000000004</v>
      </c>
      <c r="L1120" s="791" t="s">
        <v>315</v>
      </c>
      <c r="M1120" s="971"/>
      <c r="N1120" s="971"/>
      <c r="O1120" s="971"/>
      <c r="P1120" s="971"/>
      <c r="Q1120" s="618"/>
      <c r="R1120" s="618"/>
      <c r="S1120" s="618"/>
      <c r="T1120" s="618"/>
      <c r="U1120" s="618"/>
      <c r="V1120" s="641"/>
      <c r="W1120" s="641"/>
      <c r="X1120" s="641"/>
      <c r="Y1120" s="618"/>
      <c r="Z1120" s="618"/>
      <c r="AA1120" s="618"/>
      <c r="AB1120" s="618"/>
      <c r="AC1120" s="620"/>
      <c r="AD1120" s="620"/>
      <c r="AE1120" s="620"/>
      <c r="AF1120" s="966"/>
      <c r="AG1120" s="966"/>
      <c r="AH1120" s="966"/>
      <c r="AI1120" s="966"/>
      <c r="AJ1120" s="966"/>
      <c r="AK1120" s="966"/>
      <c r="AL1120" s="966"/>
      <c r="AM1120" s="966"/>
      <c r="AN1120" s="944"/>
      <c r="AO1120" s="944"/>
      <c r="AR1120" s="886"/>
      <c r="AU1120" s="886"/>
      <c r="AV1120" s="886"/>
    </row>
    <row r="1121" spans="1:48" s="885" customFormat="1" ht="22.25" customHeight="1">
      <c r="A1121" s="969"/>
      <c r="B1121" s="962"/>
      <c r="C1121" s="940"/>
      <c r="D1121" s="940"/>
      <c r="E1121" s="940"/>
      <c r="F1121" s="1031"/>
      <c r="G1121" s="1032"/>
      <c r="H1121" s="1033"/>
      <c r="I1121" s="1005"/>
      <c r="J1121" s="970"/>
      <c r="K1121" s="970"/>
      <c r="L1121" s="802"/>
      <c r="M1121" s="971"/>
      <c r="N1121" s="971"/>
      <c r="O1121" s="971"/>
      <c r="P1121" s="971"/>
      <c r="Q1121" s="618"/>
      <c r="R1121" s="618"/>
      <c r="S1121" s="618"/>
      <c r="T1121" s="618"/>
      <c r="U1121" s="618"/>
      <c r="V1121" s="641"/>
      <c r="W1121" s="641"/>
      <c r="X1121" s="641"/>
      <c r="Y1121" s="618"/>
      <c r="Z1121" s="618"/>
      <c r="AA1121" s="618"/>
      <c r="AB1121" s="618"/>
      <c r="AC1121" s="620"/>
      <c r="AD1121" s="620"/>
      <c r="AE1121" s="620"/>
      <c r="AF1121" s="966"/>
      <c r="AG1121" s="966"/>
      <c r="AH1121" s="966"/>
      <c r="AI1121" s="966"/>
      <c r="AJ1121" s="966"/>
      <c r="AK1121" s="966"/>
      <c r="AL1121" s="966"/>
      <c r="AM1121" s="966"/>
      <c r="AN1121" s="944"/>
      <c r="AO1121" s="944"/>
      <c r="AR1121" s="886"/>
      <c r="AU1121" s="886"/>
      <c r="AV1121" s="886"/>
    </row>
    <row r="1122" spans="1:48" s="776" customFormat="1" ht="22.25" hidden="1" customHeight="1">
      <c r="A1122" s="769">
        <v>20</v>
      </c>
      <c r="B1122" s="770" t="s">
        <v>706</v>
      </c>
      <c r="C1122" s="771"/>
      <c r="D1122" s="771"/>
      <c r="E1122" s="771"/>
      <c r="F1122" s="933"/>
      <c r="G1122" s="934"/>
      <c r="H1122" s="935"/>
      <c r="I1122" s="932"/>
      <c r="J1122" s="930"/>
      <c r="K1122" s="930"/>
      <c r="L1122" s="774"/>
      <c r="M1122" s="781"/>
      <c r="N1122" s="781"/>
      <c r="O1122" s="781"/>
      <c r="P1122" s="781"/>
      <c r="Q1122" s="755"/>
      <c r="R1122" s="755"/>
      <c r="S1122" s="755"/>
      <c r="T1122" s="755"/>
      <c r="U1122" s="755"/>
      <c r="V1122" s="766"/>
      <c r="W1122" s="766"/>
      <c r="X1122" s="766"/>
      <c r="Y1122" s="755"/>
      <c r="Z1122" s="755"/>
      <c r="AA1122" s="755"/>
      <c r="AB1122" s="755"/>
      <c r="AC1122" s="783"/>
      <c r="AD1122" s="783"/>
      <c r="AE1122" s="783"/>
      <c r="AF1122" s="929"/>
      <c r="AG1122" s="929"/>
      <c r="AH1122" s="929"/>
      <c r="AI1122" s="929"/>
      <c r="AJ1122" s="929"/>
      <c r="AK1122" s="929"/>
      <c r="AL1122" s="929"/>
      <c r="AM1122" s="929"/>
      <c r="AN1122" s="775"/>
      <c r="AO1122" s="775"/>
      <c r="AR1122" s="777"/>
      <c r="AU1122" s="777"/>
      <c r="AV1122" s="777"/>
    </row>
    <row r="1123" spans="1:48" s="776" customFormat="1" ht="22.25" hidden="1" customHeight="1">
      <c r="A1123" s="938"/>
      <c r="B1123" s="778" t="s">
        <v>711</v>
      </c>
      <c r="C1123" s="771"/>
      <c r="D1123" s="771"/>
      <c r="E1123" s="771">
        <v>1</v>
      </c>
      <c r="F1123" s="922">
        <f>K1119</f>
        <v>2521.1524000000004</v>
      </c>
      <c r="G1123" s="923"/>
      <c r="H1123" s="935"/>
      <c r="I1123" s="932"/>
      <c r="J1123" s="930">
        <f>F1123*E1123</f>
        <v>2521.1524000000004</v>
      </c>
      <c r="K1123" s="930"/>
      <c r="L1123" s="774"/>
      <c r="M1123" s="928"/>
      <c r="N1123" s="928"/>
      <c r="O1123" s="928"/>
      <c r="P1123" s="928"/>
      <c r="Q1123" s="755"/>
      <c r="R1123" s="755"/>
      <c r="S1123" s="755"/>
      <c r="T1123" s="755"/>
      <c r="U1123" s="755"/>
      <c r="V1123" s="766"/>
      <c r="W1123" s="766"/>
      <c r="X1123" s="766"/>
      <c r="Y1123" s="755"/>
      <c r="Z1123" s="755"/>
      <c r="AA1123" s="755"/>
      <c r="AB1123" s="755"/>
      <c r="AC1123" s="783"/>
      <c r="AD1123" s="783"/>
      <c r="AE1123" s="783"/>
      <c r="AF1123" s="929"/>
      <c r="AG1123" s="929"/>
      <c r="AH1123" s="929"/>
      <c r="AI1123" s="929"/>
      <c r="AJ1123" s="929"/>
      <c r="AK1123" s="929"/>
      <c r="AL1123" s="929"/>
      <c r="AM1123" s="929"/>
      <c r="AN1123" s="775"/>
      <c r="AO1123" s="775"/>
      <c r="AR1123" s="777"/>
      <c r="AU1123" s="777"/>
      <c r="AV1123" s="777"/>
    </row>
    <row r="1124" spans="1:48" s="776" customFormat="1" ht="22.25" hidden="1" customHeight="1">
      <c r="A1124" s="938"/>
      <c r="B1124" s="778"/>
      <c r="C1124" s="771"/>
      <c r="D1124" s="771"/>
      <c r="E1124" s="771"/>
      <c r="F1124" s="933"/>
      <c r="G1124" s="934"/>
      <c r="H1124" s="935"/>
      <c r="I1124" s="932"/>
      <c r="J1124" s="930"/>
      <c r="K1124" s="936"/>
      <c r="L1124" s="927" t="s">
        <v>45</v>
      </c>
      <c r="M1124" s="928"/>
      <c r="N1124" s="928"/>
      <c r="O1124" s="928"/>
      <c r="P1124" s="928"/>
      <c r="Q1124" s="755"/>
      <c r="R1124" s="755"/>
      <c r="S1124" s="755"/>
      <c r="T1124" s="755"/>
      <c r="U1124" s="755"/>
      <c r="V1124" s="766"/>
      <c r="W1124" s="766"/>
      <c r="X1124" s="766"/>
      <c r="Y1124" s="755"/>
      <c r="Z1124" s="755"/>
      <c r="AA1124" s="755"/>
      <c r="AB1124" s="755"/>
      <c r="AC1124" s="783"/>
      <c r="AD1124" s="783"/>
      <c r="AE1124" s="783"/>
      <c r="AF1124" s="929"/>
      <c r="AG1124" s="929"/>
      <c r="AH1124" s="929"/>
      <c r="AI1124" s="929"/>
      <c r="AJ1124" s="929"/>
      <c r="AK1124" s="929"/>
      <c r="AL1124" s="929"/>
      <c r="AM1124" s="929"/>
      <c r="AN1124" s="775"/>
      <c r="AO1124" s="775"/>
      <c r="AR1124" s="777"/>
      <c r="AU1124" s="777"/>
      <c r="AV1124" s="777"/>
    </row>
    <row r="1125" spans="1:48" s="776" customFormat="1" ht="22.25" hidden="1" customHeight="1">
      <c r="A1125" s="938"/>
      <c r="B1125" s="778"/>
      <c r="C1125" s="771"/>
      <c r="D1125" s="771"/>
      <c r="E1125" s="771"/>
      <c r="F1125" s="933"/>
      <c r="G1125" s="934"/>
      <c r="H1125" s="935"/>
      <c r="I1125" s="932"/>
      <c r="J1125" s="930"/>
      <c r="K1125" s="936">
        <f>K1124/100</f>
        <v>0</v>
      </c>
      <c r="L1125" s="927" t="s">
        <v>315</v>
      </c>
      <c r="M1125" s="781"/>
      <c r="N1125" s="781"/>
      <c r="O1125" s="781"/>
      <c r="P1125" s="781"/>
      <c r="Q1125" s="755"/>
      <c r="R1125" s="755"/>
      <c r="S1125" s="755"/>
      <c r="T1125" s="755"/>
      <c r="U1125" s="755"/>
      <c r="V1125" s="766"/>
      <c r="W1125" s="766"/>
      <c r="X1125" s="766"/>
      <c r="Y1125" s="755"/>
      <c r="Z1125" s="755"/>
      <c r="AA1125" s="755"/>
      <c r="AB1125" s="755"/>
      <c r="AC1125" s="783"/>
      <c r="AD1125" s="783"/>
      <c r="AE1125" s="783"/>
      <c r="AF1125" s="929"/>
      <c r="AG1125" s="929"/>
      <c r="AH1125" s="929"/>
      <c r="AI1125" s="929"/>
      <c r="AJ1125" s="929"/>
      <c r="AK1125" s="929"/>
      <c r="AL1125" s="929"/>
      <c r="AM1125" s="929"/>
      <c r="AN1125" s="775"/>
      <c r="AO1125" s="775"/>
      <c r="AR1125" s="777"/>
      <c r="AU1125" s="777"/>
      <c r="AV1125" s="777"/>
    </row>
    <row r="1126" spans="1:48" s="776" customFormat="1" ht="22.25" hidden="1" customHeight="1">
      <c r="A1126" s="938"/>
      <c r="B1126" s="778"/>
      <c r="C1126" s="771"/>
      <c r="D1126" s="771"/>
      <c r="E1126" s="771"/>
      <c r="F1126" s="933"/>
      <c r="G1126" s="934"/>
      <c r="H1126" s="935"/>
      <c r="I1126" s="932"/>
      <c r="J1126" s="930"/>
      <c r="K1126" s="930"/>
      <c r="L1126" s="774"/>
      <c r="M1126" s="781"/>
      <c r="N1126" s="781"/>
      <c r="O1126" s="781"/>
      <c r="P1126" s="781"/>
      <c r="Q1126" s="755"/>
      <c r="R1126" s="755"/>
      <c r="S1126" s="755"/>
      <c r="T1126" s="755"/>
      <c r="U1126" s="755"/>
      <c r="V1126" s="766"/>
      <c r="W1126" s="766"/>
      <c r="X1126" s="766"/>
      <c r="Y1126" s="755"/>
      <c r="Z1126" s="755"/>
      <c r="AA1126" s="755"/>
      <c r="AB1126" s="755"/>
      <c r="AC1126" s="783"/>
      <c r="AD1126" s="783"/>
      <c r="AE1126" s="783"/>
      <c r="AF1126" s="929"/>
      <c r="AG1126" s="929"/>
      <c r="AH1126" s="929"/>
      <c r="AI1126" s="929"/>
      <c r="AJ1126" s="929"/>
      <c r="AK1126" s="929"/>
      <c r="AL1126" s="929"/>
      <c r="AM1126" s="929"/>
      <c r="AN1126" s="775"/>
      <c r="AO1126" s="775"/>
      <c r="AR1126" s="777"/>
      <c r="AU1126" s="777"/>
      <c r="AV1126" s="777"/>
    </row>
    <row r="1127" spans="1:48" s="393" customFormat="1" ht="22.25" customHeight="1">
      <c r="A1127" s="1017">
        <v>22</v>
      </c>
      <c r="B1127" s="946" t="s">
        <v>701</v>
      </c>
      <c r="C1127" s="664"/>
      <c r="D1127" s="664"/>
      <c r="E1127" s="1019"/>
      <c r="F1127" s="947"/>
      <c r="G1127" s="1020"/>
      <c r="H1127" s="1021"/>
      <c r="I1127" s="1019"/>
      <c r="J1127" s="514"/>
      <c r="K1127" s="514"/>
      <c r="L1127" s="514"/>
      <c r="M1127" s="725"/>
      <c r="N1127" s="725"/>
      <c r="O1127" s="725"/>
      <c r="P1127" s="725"/>
      <c r="Q1127" s="618"/>
      <c r="R1127" s="618"/>
      <c r="S1127" s="618"/>
      <c r="T1127" s="618"/>
      <c r="U1127" s="618"/>
      <c r="V1127" s="641"/>
      <c r="W1127" s="641"/>
      <c r="X1127" s="641"/>
      <c r="Y1127" s="618"/>
      <c r="Z1127" s="618"/>
      <c r="AA1127" s="618"/>
      <c r="AB1127" s="618"/>
      <c r="AC1127" s="620"/>
      <c r="AD1127" s="620"/>
      <c r="AE1127" s="620"/>
      <c r="AF1127" s="471"/>
      <c r="AG1127" s="471"/>
      <c r="AH1127" s="471"/>
      <c r="AI1127" s="471"/>
      <c r="AJ1127" s="471"/>
      <c r="AK1127" s="425"/>
      <c r="AL1127" s="425"/>
      <c r="AM1127" s="425"/>
      <c r="AN1127" s="425"/>
      <c r="AO1127" s="425"/>
      <c r="AR1127" s="425"/>
      <c r="AU1127" s="425"/>
      <c r="AV1127" s="425"/>
    </row>
    <row r="1128" spans="1:48" s="393" customFormat="1" ht="22.25" customHeight="1">
      <c r="A1128" s="1017"/>
      <c r="B1128" s="1022"/>
      <c r="C1128" s="664"/>
      <c r="D1128" s="664"/>
      <c r="E1128" s="1019">
        <v>2</v>
      </c>
      <c r="F1128" s="947">
        <f>(10+18.5)</f>
        <v>28.5</v>
      </c>
      <c r="G1128" s="1020"/>
      <c r="H1128" s="1021">
        <v>21</v>
      </c>
      <c r="I1128" s="1019"/>
      <c r="J1128" s="507">
        <f>IF(I1128=0,1,I1128)*IF(H1128=0,1,H1128)*IF(G1128=0,1,G1128)*IF(F1128=0,1,F1128)*IF(E1128=0,1,E1128)*IF(D1128=0,1,D1128)*IF(C1128=0,1,C1128)</f>
        <v>1197</v>
      </c>
      <c r="K1128" s="514"/>
      <c r="L1128" s="514"/>
      <c r="M1128" s="725"/>
      <c r="N1128" s="725"/>
      <c r="O1128" s="725"/>
      <c r="P1128" s="725"/>
      <c r="Q1128" s="618"/>
      <c r="R1128" s="618"/>
      <c r="S1128" s="618"/>
      <c r="T1128" s="618"/>
      <c r="U1128" s="618"/>
      <c r="V1128" s="641"/>
      <c r="W1128" s="641"/>
      <c r="X1128" s="641"/>
      <c r="Y1128" s="618"/>
      <c r="Z1128" s="618"/>
      <c r="AA1128" s="618"/>
      <c r="AB1128" s="618"/>
      <c r="AC1128" s="620"/>
      <c r="AD1128" s="620"/>
      <c r="AE1128" s="620"/>
      <c r="AF1128" s="471"/>
      <c r="AG1128" s="471"/>
      <c r="AH1128" s="471"/>
      <c r="AI1128" s="471"/>
      <c r="AJ1128" s="471"/>
      <c r="AK1128" s="425"/>
      <c r="AL1128" s="425"/>
      <c r="AM1128" s="425"/>
      <c r="AN1128" s="425"/>
      <c r="AO1128" s="425"/>
      <c r="AR1128" s="425"/>
      <c r="AU1128" s="425"/>
      <c r="AV1128" s="425"/>
    </row>
    <row r="1129" spans="1:48" s="393" customFormat="1" ht="22.25" customHeight="1">
      <c r="A1129" s="1017"/>
      <c r="B1129" s="1022"/>
      <c r="C1129" s="664"/>
      <c r="D1129" s="664"/>
      <c r="E1129" s="1019">
        <v>2</v>
      </c>
      <c r="F1129" s="947">
        <v>18.5</v>
      </c>
      <c r="G1129" s="1020"/>
      <c r="H1129" s="1021">
        <v>21</v>
      </c>
      <c r="I1129" s="1019"/>
      <c r="J1129" s="507">
        <f>IF(I1129=0,1,I1129)*IF(H1129=0,1,H1129)*IF(G1129=0,1,G1129)*IF(F1129=0,1,F1129)*IF(E1129=0,1,E1129)*IF(D1129=0,1,D1129)*IF(C1129=0,1,C1129)</f>
        <v>777</v>
      </c>
      <c r="K1129" s="514"/>
      <c r="L1129" s="514"/>
      <c r="M1129" s="725"/>
      <c r="N1129" s="725"/>
      <c r="O1129" s="725"/>
      <c r="P1129" s="725"/>
      <c r="Q1129" s="618"/>
      <c r="R1129" s="618"/>
      <c r="S1129" s="618"/>
      <c r="T1129" s="618"/>
      <c r="U1129" s="618"/>
      <c r="V1129" s="641"/>
      <c r="W1129" s="641"/>
      <c r="X1129" s="641"/>
      <c r="Y1129" s="618"/>
      <c r="Z1129" s="618"/>
      <c r="AA1129" s="618"/>
      <c r="AB1129" s="618"/>
      <c r="AC1129" s="620"/>
      <c r="AD1129" s="620"/>
      <c r="AE1129" s="620"/>
      <c r="AF1129" s="471"/>
      <c r="AG1129" s="471"/>
      <c r="AH1129" s="471"/>
      <c r="AI1129" s="471"/>
      <c r="AJ1129" s="471"/>
      <c r="AK1129" s="425"/>
      <c r="AL1129" s="425"/>
      <c r="AM1129" s="425"/>
      <c r="AN1129" s="425"/>
      <c r="AO1129" s="425"/>
      <c r="AR1129" s="425"/>
      <c r="AU1129" s="425"/>
      <c r="AV1129" s="425"/>
    </row>
    <row r="1130" spans="1:48" s="393" customFormat="1" ht="22.25" customHeight="1">
      <c r="A1130" s="1017"/>
      <c r="B1130" s="1022"/>
      <c r="C1130" s="664"/>
      <c r="D1130" s="664"/>
      <c r="E1130" s="1019">
        <v>2</v>
      </c>
      <c r="F1130" s="947">
        <v>5</v>
      </c>
      <c r="G1130" s="1020"/>
      <c r="H1130" s="1021">
        <v>8</v>
      </c>
      <c r="I1130" s="1019"/>
      <c r="J1130" s="507">
        <f>IF(I1130=0,1,I1130)*IF(H1130=0,1,H1130)*IF(G1130=0,1,G1130)*IF(F1130=0,1,F1130)*IF(E1130=0,1,E1130)*IF(D1130=0,1,D1130)*IF(C1130=0,1,C1130)</f>
        <v>80</v>
      </c>
      <c r="K1130" s="514"/>
      <c r="L1130" s="514"/>
      <c r="M1130" s="725"/>
      <c r="N1130" s="725"/>
      <c r="O1130" s="725"/>
      <c r="P1130" s="725"/>
      <c r="Q1130" s="618"/>
      <c r="R1130" s="618"/>
      <c r="S1130" s="618"/>
      <c r="T1130" s="618"/>
      <c r="U1130" s="618"/>
      <c r="V1130" s="641"/>
      <c r="W1130" s="641"/>
      <c r="X1130" s="641"/>
      <c r="Y1130" s="618"/>
      <c r="Z1130" s="618"/>
      <c r="AA1130" s="618"/>
      <c r="AB1130" s="618"/>
      <c r="AC1130" s="620"/>
      <c r="AD1130" s="620"/>
      <c r="AE1130" s="620"/>
      <c r="AF1130" s="471"/>
      <c r="AG1130" s="471"/>
      <c r="AH1130" s="471"/>
      <c r="AI1130" s="471"/>
      <c r="AJ1130" s="471"/>
      <c r="AK1130" s="425"/>
      <c r="AL1130" s="425"/>
      <c r="AM1130" s="425"/>
      <c r="AN1130" s="425"/>
      <c r="AO1130" s="425"/>
      <c r="AR1130" s="425"/>
      <c r="AU1130" s="425"/>
      <c r="AV1130" s="425"/>
    </row>
    <row r="1131" spans="1:48" s="393" customFormat="1" ht="22.25" customHeight="1">
      <c r="A1131" s="1017"/>
      <c r="B1131" s="1022"/>
      <c r="C1131" s="664"/>
      <c r="D1131" s="664"/>
      <c r="E1131" s="1019">
        <v>2</v>
      </c>
      <c r="F1131" s="947">
        <v>5</v>
      </c>
      <c r="G1131" s="1020"/>
      <c r="H1131" s="1021">
        <v>7</v>
      </c>
      <c r="I1131" s="1019"/>
      <c r="J1131" s="507">
        <f>IF(I1131=0,1,I1131)*IF(H1131=0,1,H1131)*IF(G1131=0,1,G1131)*IF(F1131=0,1,F1131)*IF(E1131=0,1,E1131)*IF(D1131=0,1,D1131)*IF(C1131=0,1,C1131)</f>
        <v>70</v>
      </c>
      <c r="K1131" s="514"/>
      <c r="L1131" s="514"/>
      <c r="M1131" s="725"/>
      <c r="N1131" s="725"/>
      <c r="O1131" s="725"/>
      <c r="P1131" s="725"/>
      <c r="Q1131" s="618"/>
      <c r="R1131" s="618"/>
      <c r="S1131" s="618"/>
      <c r="T1131" s="618"/>
      <c r="U1131" s="618"/>
      <c r="V1131" s="641"/>
      <c r="W1131" s="641"/>
      <c r="X1131" s="641"/>
      <c r="Y1131" s="618"/>
      <c r="Z1131" s="618"/>
      <c r="AA1131" s="618"/>
      <c r="AB1131" s="618"/>
      <c r="AC1131" s="620"/>
      <c r="AD1131" s="620"/>
      <c r="AE1131" s="620"/>
      <c r="AF1131" s="471"/>
      <c r="AG1131" s="471"/>
      <c r="AH1131" s="471"/>
      <c r="AI1131" s="471"/>
      <c r="AJ1131" s="471"/>
      <c r="AK1131" s="425"/>
      <c r="AL1131" s="425"/>
      <c r="AM1131" s="425"/>
      <c r="AN1131" s="425"/>
      <c r="AO1131" s="425"/>
      <c r="AR1131" s="425"/>
      <c r="AU1131" s="425"/>
      <c r="AV1131" s="425"/>
    </row>
    <row r="1132" spans="1:48" s="393" customFormat="1" ht="22.25" customHeight="1">
      <c r="A1132" s="1017"/>
      <c r="B1132" s="1022"/>
      <c r="C1132" s="664"/>
      <c r="D1132" s="664"/>
      <c r="E1132" s="1019">
        <v>1</v>
      </c>
      <c r="F1132" s="947">
        <v>10</v>
      </c>
      <c r="G1132" s="1020"/>
      <c r="H1132" s="1021">
        <v>8.5</v>
      </c>
      <c r="I1132" s="1019"/>
      <c r="J1132" s="507">
        <f>IF(I1132=0,1,I1132)*IF(H1132=0,1,H1132)*IF(G1132=0,1,G1132)*IF(F1132=0,1,F1132)*IF(E1132=0,1,E1132)*IF(D1132=0,1,D1132)*IF(C1132=0,1,C1132)</f>
        <v>85</v>
      </c>
      <c r="K1132" s="514"/>
      <c r="L1132" s="514"/>
      <c r="M1132" s="725"/>
      <c r="N1132" s="725"/>
      <c r="O1132" s="725"/>
      <c r="P1132" s="725"/>
      <c r="Q1132" s="618"/>
      <c r="R1132" s="618"/>
      <c r="S1132" s="618"/>
      <c r="T1132" s="618"/>
      <c r="U1132" s="618"/>
      <c r="V1132" s="641"/>
      <c r="W1132" s="641"/>
      <c r="X1132" s="641"/>
      <c r="Y1132" s="618"/>
      <c r="Z1132" s="618"/>
      <c r="AA1132" s="618"/>
      <c r="AB1132" s="618"/>
      <c r="AC1132" s="620"/>
      <c r="AD1132" s="620"/>
      <c r="AE1132" s="620"/>
      <c r="AF1132" s="471"/>
      <c r="AG1132" s="471"/>
      <c r="AH1132" s="471"/>
      <c r="AI1132" s="471"/>
      <c r="AJ1132" s="471"/>
      <c r="AK1132" s="425"/>
      <c r="AL1132" s="425"/>
      <c r="AM1132" s="425"/>
      <c r="AN1132" s="425"/>
      <c r="AO1132" s="425"/>
      <c r="AR1132" s="425"/>
      <c r="AU1132" s="425"/>
      <c r="AV1132" s="425"/>
    </row>
    <row r="1133" spans="1:48" s="393" customFormat="1" ht="22.25" customHeight="1">
      <c r="A1133" s="1017"/>
      <c r="B1133" s="1022"/>
      <c r="C1133" s="664"/>
      <c r="D1133" s="664"/>
      <c r="E1133" s="1019"/>
      <c r="F1133" s="947"/>
      <c r="G1133" s="1020"/>
      <c r="H1133" s="1021"/>
      <c r="I1133" s="1019"/>
      <c r="J1133" s="514"/>
      <c r="K1133" s="1029">
        <f>SUM(J1127:J1133)</f>
        <v>2209</v>
      </c>
      <c r="L1133" s="1027" t="s">
        <v>45</v>
      </c>
      <c r="M1133" s="725"/>
      <c r="N1133" s="725"/>
      <c r="O1133" s="725"/>
      <c r="P1133" s="725"/>
      <c r="Q1133" s="618"/>
      <c r="R1133" s="618"/>
      <c r="S1133" s="618"/>
      <c r="T1133" s="618"/>
      <c r="U1133" s="618"/>
      <c r="V1133" s="641"/>
      <c r="W1133" s="641"/>
      <c r="X1133" s="641"/>
      <c r="Y1133" s="618"/>
      <c r="Z1133" s="618"/>
      <c r="AA1133" s="618"/>
      <c r="AB1133" s="618"/>
      <c r="AC1133" s="620"/>
      <c r="AD1133" s="620"/>
      <c r="AE1133" s="620"/>
      <c r="AF1133" s="471"/>
      <c r="AG1133" s="471"/>
      <c r="AH1133" s="471"/>
      <c r="AI1133" s="471"/>
      <c r="AJ1133" s="471"/>
      <c r="AK1133" s="425"/>
      <c r="AL1133" s="425"/>
      <c r="AM1133" s="425"/>
      <c r="AN1133" s="425"/>
      <c r="AO1133" s="425"/>
      <c r="AR1133" s="425"/>
      <c r="AU1133" s="425"/>
      <c r="AV1133" s="425"/>
    </row>
    <row r="1134" spans="1:48" s="393" customFormat="1" ht="22.25" customHeight="1">
      <c r="A1134" s="1017"/>
      <c r="B1134" s="1022"/>
      <c r="C1134" s="664"/>
      <c r="D1134" s="664"/>
      <c r="E1134" s="1019"/>
      <c r="F1134" s="947"/>
      <c r="G1134" s="1020"/>
      <c r="H1134" s="1021"/>
      <c r="I1134" s="1030" t="s">
        <v>936</v>
      </c>
      <c r="J1134" s="514"/>
      <c r="K1134" s="1029">
        <f>K1133*1.15</f>
        <v>2540.35</v>
      </c>
      <c r="L1134" s="1027" t="s">
        <v>45</v>
      </c>
      <c r="M1134" s="725"/>
      <c r="N1134" s="725"/>
      <c r="O1134" s="725"/>
      <c r="P1134" s="725"/>
      <c r="Q1134" s="618"/>
      <c r="R1134" s="618"/>
      <c r="S1134" s="618"/>
      <c r="T1134" s="618"/>
      <c r="U1134" s="618"/>
      <c r="V1134" s="641"/>
      <c r="W1134" s="641"/>
      <c r="X1134" s="641"/>
      <c r="Y1134" s="618"/>
      <c r="Z1134" s="618"/>
      <c r="AA1134" s="618"/>
      <c r="AB1134" s="618"/>
      <c r="AC1134" s="620"/>
      <c r="AD1134" s="620"/>
      <c r="AE1134" s="620"/>
      <c r="AF1134" s="471"/>
      <c r="AG1134" s="471"/>
      <c r="AH1134" s="471"/>
      <c r="AI1134" s="471"/>
      <c r="AJ1134" s="471"/>
      <c r="AK1134" s="425"/>
      <c r="AL1134" s="425"/>
      <c r="AM1134" s="425"/>
      <c r="AN1134" s="425"/>
      <c r="AO1134" s="425"/>
      <c r="AR1134" s="425"/>
      <c r="AU1134" s="425"/>
      <c r="AV1134" s="425"/>
    </row>
    <row r="1135" spans="1:48" s="393" customFormat="1" ht="22.25" customHeight="1">
      <c r="A1135" s="1017"/>
      <c r="B1135" s="1022"/>
      <c r="C1135" s="664"/>
      <c r="D1135" s="664"/>
      <c r="E1135" s="1019"/>
      <c r="F1135" s="947"/>
      <c r="G1135" s="1020"/>
      <c r="H1135" s="1021"/>
      <c r="I1135" s="1019"/>
      <c r="J1135" s="514"/>
      <c r="K1135" s="1029">
        <f>K1134/2.3</f>
        <v>1104.5</v>
      </c>
      <c r="L1135" s="1027" t="s">
        <v>13</v>
      </c>
      <c r="M1135" s="725"/>
      <c r="N1135" s="725"/>
      <c r="O1135" s="725"/>
      <c r="P1135" s="725"/>
      <c r="Q1135" s="618"/>
      <c r="R1135" s="618"/>
      <c r="S1135" s="618"/>
      <c r="T1135" s="618"/>
      <c r="U1135" s="618"/>
      <c r="V1135" s="641"/>
      <c r="W1135" s="641"/>
      <c r="X1135" s="641"/>
      <c r="Y1135" s="618"/>
      <c r="Z1135" s="618"/>
      <c r="AA1135" s="618"/>
      <c r="AB1135" s="618"/>
      <c r="AC1135" s="620"/>
      <c r="AD1135" s="620"/>
      <c r="AE1135" s="620"/>
      <c r="AF1135" s="471"/>
      <c r="AG1135" s="471"/>
      <c r="AH1135" s="471"/>
      <c r="AI1135" s="471"/>
      <c r="AJ1135" s="471"/>
      <c r="AK1135" s="425"/>
      <c r="AL1135" s="425"/>
      <c r="AM1135" s="425"/>
      <c r="AN1135" s="425"/>
      <c r="AO1135" s="425"/>
      <c r="AR1135" s="425"/>
      <c r="AU1135" s="425"/>
      <c r="AV1135" s="425"/>
    </row>
    <row r="1136" spans="1:48" s="393" customFormat="1" ht="22.25" customHeight="1">
      <c r="A1136" s="1017"/>
      <c r="B1136" s="1022"/>
      <c r="C1136" s="664"/>
      <c r="D1136" s="664"/>
      <c r="E1136" s="1019"/>
      <c r="F1136" s="947"/>
      <c r="G1136" s="1020"/>
      <c r="H1136" s="1021"/>
      <c r="I1136" s="1019"/>
      <c r="J1136" s="514"/>
      <c r="K1136" s="514"/>
      <c r="L1136" s="514"/>
      <c r="M1136" s="725"/>
      <c r="N1136" s="725"/>
      <c r="O1136" s="725"/>
      <c r="P1136" s="725"/>
      <c r="Q1136" s="618"/>
      <c r="R1136" s="618"/>
      <c r="S1136" s="618"/>
      <c r="T1136" s="618"/>
      <c r="U1136" s="618"/>
      <c r="V1136" s="641"/>
      <c r="W1136" s="641"/>
      <c r="X1136" s="641"/>
      <c r="Y1136" s="618"/>
      <c r="Z1136" s="618"/>
      <c r="AA1136" s="618"/>
      <c r="AB1136" s="618"/>
      <c r="AC1136" s="620"/>
      <c r="AD1136" s="620"/>
      <c r="AE1136" s="620"/>
      <c r="AF1136" s="471"/>
      <c r="AG1136" s="471"/>
      <c r="AH1136" s="471"/>
      <c r="AI1136" s="471"/>
      <c r="AJ1136" s="471"/>
      <c r="AK1136" s="425"/>
      <c r="AL1136" s="425"/>
      <c r="AM1136" s="425"/>
      <c r="AN1136" s="425"/>
      <c r="AO1136" s="425"/>
      <c r="AR1136" s="425"/>
      <c r="AU1136" s="425"/>
      <c r="AV1136" s="425"/>
    </row>
    <row r="1137" spans="1:48" s="885" customFormat="1" ht="22.25" customHeight="1">
      <c r="A1137" s="788">
        <v>23</v>
      </c>
      <c r="B1137" s="958" t="s">
        <v>707</v>
      </c>
      <c r="C1137" s="940"/>
      <c r="D1137" s="940"/>
      <c r="E1137" s="940"/>
      <c r="F1137" s="1031"/>
      <c r="G1137" s="1032"/>
      <c r="H1137" s="1033"/>
      <c r="I1137" s="1005"/>
      <c r="J1137" s="970"/>
      <c r="K1137" s="970"/>
      <c r="L1137" s="802"/>
      <c r="M1137" s="971"/>
      <c r="N1137" s="971"/>
      <c r="O1137" s="971"/>
      <c r="P1137" s="971"/>
      <c r="Q1137" s="618"/>
      <c r="R1137" s="618"/>
      <c r="S1137" s="618"/>
      <c r="T1137" s="618"/>
      <c r="U1137" s="618"/>
      <c r="V1137" s="641"/>
      <c r="W1137" s="641"/>
      <c r="X1137" s="641"/>
      <c r="Y1137" s="618"/>
      <c r="Z1137" s="618"/>
      <c r="AA1137" s="618"/>
      <c r="AB1137" s="618"/>
      <c r="AC1137" s="620"/>
      <c r="AD1137" s="620"/>
      <c r="AE1137" s="620"/>
      <c r="AF1137" s="966"/>
      <c r="AG1137" s="966"/>
      <c r="AH1137" s="966"/>
      <c r="AI1137" s="966"/>
      <c r="AJ1137" s="966"/>
      <c r="AK1137" s="966"/>
      <c r="AL1137" s="966"/>
      <c r="AM1137" s="966"/>
      <c r="AN1137" s="944"/>
      <c r="AO1137" s="944"/>
      <c r="AR1137" s="886"/>
      <c r="AU1137" s="886"/>
      <c r="AV1137" s="886"/>
    </row>
    <row r="1138" spans="1:48" s="885" customFormat="1" ht="22.25" customHeight="1">
      <c r="A1138" s="969"/>
      <c r="B1138" s="962"/>
      <c r="C1138" s="940"/>
      <c r="D1138" s="940"/>
      <c r="E1138" s="940">
        <v>1</v>
      </c>
      <c r="F1138" s="941">
        <v>204</v>
      </c>
      <c r="G1138" s="942"/>
      <c r="H1138" s="1033"/>
      <c r="I1138" s="1005"/>
      <c r="J1138" s="507">
        <f>IF(I1138=0,1,I1138)*IF(H1138=0,1,H1138)*IF(G1138=0,1,G1138)*IF(F1138=0,1,F1138)*IF(E1138=0,1,E1138)*IF(D1138=0,1,D1138)*IF(C1138=0,1,C1138)</f>
        <v>204</v>
      </c>
      <c r="K1138" s="970"/>
      <c r="L1138" s="802"/>
      <c r="M1138" s="971"/>
      <c r="N1138" s="971"/>
      <c r="O1138" s="971"/>
      <c r="P1138" s="971"/>
      <c r="Q1138" s="618"/>
      <c r="R1138" s="618"/>
      <c r="S1138" s="618"/>
      <c r="T1138" s="618"/>
      <c r="U1138" s="618"/>
      <c r="V1138" s="641"/>
      <c r="W1138" s="641"/>
      <c r="X1138" s="641"/>
      <c r="Y1138" s="618"/>
      <c r="Z1138" s="618"/>
      <c r="AA1138" s="618"/>
      <c r="AB1138" s="618"/>
      <c r="AC1138" s="620"/>
      <c r="AD1138" s="620"/>
      <c r="AE1138" s="620"/>
      <c r="AF1138" s="966"/>
      <c r="AG1138" s="966"/>
      <c r="AH1138" s="966"/>
      <c r="AI1138" s="966"/>
      <c r="AJ1138" s="966"/>
      <c r="AK1138" s="966"/>
      <c r="AL1138" s="966"/>
      <c r="AM1138" s="966"/>
      <c r="AN1138" s="944"/>
      <c r="AO1138" s="944"/>
      <c r="AR1138" s="886"/>
      <c r="AU1138" s="886"/>
      <c r="AV1138" s="886"/>
    </row>
    <row r="1139" spans="1:48" s="885" customFormat="1" ht="22.25" customHeight="1">
      <c r="A1139" s="969"/>
      <c r="B1139" s="962"/>
      <c r="C1139" s="940"/>
      <c r="D1139" s="940"/>
      <c r="E1139" s="940"/>
      <c r="F1139" s="1031"/>
      <c r="G1139" s="1032"/>
      <c r="H1139" s="1033"/>
      <c r="I1139" s="1005"/>
      <c r="J1139" s="970"/>
      <c r="K1139" s="1034">
        <f>SUM(J1137:J1139)</f>
        <v>204</v>
      </c>
      <c r="L1139" s="791" t="s">
        <v>13</v>
      </c>
      <c r="M1139" s="964"/>
      <c r="N1139" s="964"/>
      <c r="O1139" s="964"/>
      <c r="P1139" s="964"/>
      <c r="Q1139" s="618"/>
      <c r="R1139" s="618"/>
      <c r="S1139" s="618"/>
      <c r="T1139" s="618"/>
      <c r="U1139" s="618"/>
      <c r="V1139" s="641"/>
      <c r="W1139" s="641"/>
      <c r="X1139" s="641"/>
      <c r="Y1139" s="618"/>
      <c r="Z1139" s="618"/>
      <c r="AA1139" s="618"/>
      <c r="AB1139" s="618"/>
      <c r="AC1139" s="620"/>
      <c r="AD1139" s="620"/>
      <c r="AE1139" s="620"/>
      <c r="AF1139" s="966">
        <f>800/7.5</f>
        <v>106.66666666666667</v>
      </c>
      <c r="AG1139" s="966"/>
      <c r="AH1139" s="966"/>
      <c r="AI1139" s="966"/>
      <c r="AJ1139" s="966"/>
      <c r="AK1139" s="966"/>
      <c r="AL1139" s="966"/>
      <c r="AM1139" s="966"/>
      <c r="AN1139" s="944"/>
      <c r="AO1139" s="944"/>
      <c r="AR1139" s="886"/>
      <c r="AU1139" s="886"/>
      <c r="AV1139" s="886"/>
    </row>
    <row r="1140" spans="1:48" s="885" customFormat="1" ht="22.25" customHeight="1">
      <c r="A1140" s="969"/>
      <c r="B1140" s="962"/>
      <c r="C1140" s="940"/>
      <c r="D1140" s="940"/>
      <c r="E1140" s="940"/>
      <c r="F1140" s="1031"/>
      <c r="G1140" s="1032"/>
      <c r="H1140" s="1033"/>
      <c r="I1140" s="1036" t="s">
        <v>696</v>
      </c>
      <c r="J1140" s="970"/>
      <c r="K1140" s="1034">
        <f>K1139*1.05</f>
        <v>214.20000000000002</v>
      </c>
      <c r="L1140" s="791" t="s">
        <v>13</v>
      </c>
      <c r="M1140" s="964"/>
      <c r="N1140" s="964"/>
      <c r="O1140" s="964"/>
      <c r="P1140" s="964"/>
      <c r="Q1140" s="618"/>
      <c r="R1140" s="618"/>
      <c r="S1140" s="618"/>
      <c r="T1140" s="618"/>
      <c r="U1140" s="618"/>
      <c r="V1140" s="641"/>
      <c r="W1140" s="641"/>
      <c r="X1140" s="641"/>
      <c r="Y1140" s="618"/>
      <c r="Z1140" s="618"/>
      <c r="AA1140" s="618"/>
      <c r="AB1140" s="618"/>
      <c r="AC1140" s="620"/>
      <c r="AD1140" s="620"/>
      <c r="AE1140" s="620"/>
      <c r="AF1140" s="966"/>
      <c r="AG1140" s="966"/>
      <c r="AH1140" s="966"/>
      <c r="AI1140" s="966"/>
      <c r="AJ1140" s="966"/>
      <c r="AK1140" s="966"/>
      <c r="AL1140" s="966"/>
      <c r="AM1140" s="966"/>
      <c r="AN1140" s="944"/>
      <c r="AO1140" s="944"/>
      <c r="AR1140" s="886"/>
      <c r="AU1140" s="886"/>
      <c r="AV1140" s="886"/>
    </row>
    <row r="1141" spans="1:48" s="885" customFormat="1" ht="22.25" customHeight="1">
      <c r="A1141" s="969"/>
      <c r="B1141" s="962"/>
      <c r="C1141" s="940"/>
      <c r="D1141" s="940"/>
      <c r="E1141" s="940"/>
      <c r="F1141" s="1031"/>
      <c r="G1141" s="1032"/>
      <c r="H1141" s="1033"/>
      <c r="I1141" s="1005"/>
      <c r="J1141" s="970"/>
      <c r="K1141" s="1034"/>
      <c r="L1141" s="791"/>
      <c r="M1141" s="971"/>
      <c r="N1141" s="971"/>
      <c r="O1141" s="971"/>
      <c r="P1141" s="971"/>
      <c r="Q1141" s="618"/>
      <c r="R1141" s="618"/>
      <c r="S1141" s="618"/>
      <c r="T1141" s="618"/>
      <c r="U1141" s="618"/>
      <c r="V1141" s="641"/>
      <c r="W1141" s="641"/>
      <c r="X1141" s="641"/>
      <c r="Y1141" s="618"/>
      <c r="Z1141" s="618"/>
      <c r="AA1141" s="618"/>
      <c r="AB1141" s="618"/>
      <c r="AC1141" s="620"/>
      <c r="AD1141" s="620"/>
      <c r="AE1141" s="620"/>
      <c r="AF1141" s="944">
        <f>11/12</f>
        <v>0.91666666666666663</v>
      </c>
      <c r="AG1141" s="1035"/>
      <c r="AH1141" s="944"/>
      <c r="AI1141" s="944"/>
      <c r="AJ1141" s="944"/>
      <c r="AM1141" s="886"/>
      <c r="AP1141" s="886"/>
      <c r="AQ1141" s="886"/>
    </row>
    <row r="1142" spans="1:48" s="885" customFormat="1" ht="22.25" customHeight="1">
      <c r="A1142" s="788">
        <v>24</v>
      </c>
      <c r="B1142" s="958" t="s">
        <v>48</v>
      </c>
      <c r="C1142" s="940"/>
      <c r="D1142" s="940"/>
      <c r="E1142" s="940"/>
      <c r="F1142" s="1031"/>
      <c r="G1142" s="1032"/>
      <c r="H1142" s="1033"/>
      <c r="I1142" s="1005"/>
      <c r="J1142" s="970"/>
      <c r="K1142" s="970"/>
      <c r="L1142" s="802"/>
      <c r="M1142" s="971"/>
      <c r="N1142" s="971"/>
      <c r="O1142" s="971"/>
      <c r="P1142" s="971"/>
      <c r="Q1142" s="618"/>
      <c r="R1142" s="618"/>
      <c r="S1142" s="618"/>
      <c r="T1142" s="618"/>
      <c r="U1142" s="618"/>
      <c r="V1142" s="641"/>
      <c r="W1142" s="641"/>
      <c r="X1142" s="641"/>
      <c r="Y1142" s="618"/>
      <c r="Z1142" s="618"/>
      <c r="AA1142" s="618"/>
      <c r="AB1142" s="618"/>
      <c r="AC1142" s="620"/>
      <c r="AD1142" s="620"/>
      <c r="AE1142" s="620"/>
      <c r="AF1142" s="944"/>
      <c r="AG1142" s="1035"/>
      <c r="AH1142" s="944"/>
      <c r="AI1142" s="944"/>
      <c r="AJ1142" s="944"/>
      <c r="AM1142" s="886"/>
      <c r="AP1142" s="886"/>
      <c r="AQ1142" s="886"/>
    </row>
    <row r="1143" spans="1:48" s="885" customFormat="1" ht="22.25" customHeight="1">
      <c r="A1143" s="969"/>
      <c r="B1143" s="962"/>
      <c r="C1143" s="940"/>
      <c r="D1143" s="940"/>
      <c r="E1143" s="940">
        <v>1</v>
      </c>
      <c r="F1143" s="941">
        <v>10</v>
      </c>
      <c r="G1143" s="942"/>
      <c r="H1143" s="1033"/>
      <c r="I1143" s="1005"/>
      <c r="J1143" s="507">
        <f>IF(I1143=0,1,I1143)*IF(H1143=0,1,H1143)*IF(G1143=0,1,G1143)*IF(F1143=0,1,F1143)*IF(E1143=0,1,E1143)*IF(D1143=0,1,D1143)*IF(C1143=0,1,C1143)</f>
        <v>10</v>
      </c>
      <c r="K1143" s="970"/>
      <c r="L1143" s="802"/>
      <c r="M1143" s="964"/>
      <c r="N1143" s="964"/>
      <c r="O1143" s="964"/>
      <c r="P1143" s="964"/>
      <c r="Q1143" s="618"/>
      <c r="R1143" s="618"/>
      <c r="S1143" s="618"/>
      <c r="T1143" s="618"/>
      <c r="U1143" s="618"/>
      <c r="V1143" s="641"/>
      <c r="W1143" s="641"/>
      <c r="X1143" s="641"/>
      <c r="Y1143" s="618"/>
      <c r="Z1143" s="618"/>
      <c r="AA1143" s="618"/>
      <c r="AB1143" s="618"/>
      <c r="AC1143" s="620"/>
      <c r="AD1143" s="620"/>
      <c r="AE1143" s="620"/>
      <c r="AF1143" s="944"/>
      <c r="AG1143" s="1035"/>
      <c r="AH1143" s="944"/>
      <c r="AI1143" s="944"/>
      <c r="AJ1143" s="944"/>
      <c r="AM1143" s="886"/>
      <c r="AP1143" s="886"/>
      <c r="AQ1143" s="886"/>
    </row>
    <row r="1144" spans="1:48" s="885" customFormat="1" ht="22.25" customHeight="1">
      <c r="A1144" s="969"/>
      <c r="B1144" s="962"/>
      <c r="C1144" s="940"/>
      <c r="D1144" s="940"/>
      <c r="E1144" s="940">
        <v>4</v>
      </c>
      <c r="F1144" s="941">
        <v>28</v>
      </c>
      <c r="G1144" s="942"/>
      <c r="H1144" s="1033"/>
      <c r="I1144" s="1005"/>
      <c r="J1144" s="507">
        <f>IF(I1144=0,1,I1144)*IF(H1144=0,1,H1144)*IF(G1144=0,1,G1144)*IF(F1144=0,1,F1144)*IF(E1144=0,1,E1144)*IF(D1144=0,1,D1144)*IF(C1144=0,1,C1144)</f>
        <v>112</v>
      </c>
      <c r="K1144" s="970"/>
      <c r="L1144" s="802"/>
      <c r="M1144" s="964"/>
      <c r="N1144" s="964"/>
      <c r="O1144" s="964"/>
      <c r="P1144" s="964"/>
      <c r="Q1144" s="618"/>
      <c r="R1144" s="618"/>
      <c r="S1144" s="618"/>
      <c r="T1144" s="618"/>
      <c r="U1144" s="618"/>
      <c r="V1144" s="641"/>
      <c r="W1144" s="641"/>
      <c r="X1144" s="641"/>
      <c r="Y1144" s="618"/>
      <c r="Z1144" s="618"/>
      <c r="AA1144" s="618"/>
      <c r="AB1144" s="618"/>
      <c r="AC1144" s="620"/>
      <c r="AD1144" s="620"/>
      <c r="AE1144" s="620"/>
      <c r="AF1144" s="944"/>
      <c r="AG1144" s="1035"/>
      <c r="AH1144" s="944"/>
      <c r="AI1144" s="944"/>
      <c r="AJ1144" s="944"/>
      <c r="AM1144" s="886"/>
      <c r="AP1144" s="886"/>
      <c r="AQ1144" s="886"/>
    </row>
    <row r="1145" spans="1:48" s="885" customFormat="1" ht="22.25" customHeight="1">
      <c r="A1145" s="969"/>
      <c r="B1145" s="962"/>
      <c r="C1145" s="940"/>
      <c r="D1145" s="940"/>
      <c r="E1145" s="940">
        <v>2</v>
      </c>
      <c r="F1145" s="941">
        <v>5</v>
      </c>
      <c r="G1145" s="942"/>
      <c r="H1145" s="1033"/>
      <c r="I1145" s="1005"/>
      <c r="J1145" s="507">
        <f>IF(I1145=0,1,I1145)*IF(H1145=0,1,H1145)*IF(G1145=0,1,G1145)*IF(F1145=0,1,F1145)*IF(E1145=0,1,E1145)*IF(D1145=0,1,D1145)*IF(C1145=0,1,C1145)</f>
        <v>10</v>
      </c>
      <c r="K1145" s="970"/>
      <c r="L1145" s="802"/>
      <c r="M1145" s="964"/>
      <c r="N1145" s="964"/>
      <c r="O1145" s="964"/>
      <c r="P1145" s="964"/>
      <c r="Q1145" s="618"/>
      <c r="R1145" s="618"/>
      <c r="S1145" s="618"/>
      <c r="T1145" s="618"/>
      <c r="U1145" s="618"/>
      <c r="V1145" s="641"/>
      <c r="W1145" s="641"/>
      <c r="X1145" s="641"/>
      <c r="Y1145" s="618"/>
      <c r="Z1145" s="618"/>
      <c r="AA1145" s="618"/>
      <c r="AB1145" s="618"/>
      <c r="AC1145" s="620"/>
      <c r="AD1145" s="620"/>
      <c r="AE1145" s="620"/>
      <c r="AF1145" s="944"/>
      <c r="AG1145" s="1035"/>
      <c r="AH1145" s="944"/>
      <c r="AI1145" s="944"/>
      <c r="AJ1145" s="944"/>
      <c r="AM1145" s="886"/>
      <c r="AP1145" s="886"/>
      <c r="AQ1145" s="886"/>
    </row>
    <row r="1146" spans="1:48" s="885" customFormat="1" ht="22.25" customHeight="1">
      <c r="A1146" s="969"/>
      <c r="B1146" s="962"/>
      <c r="C1146" s="940"/>
      <c r="D1146" s="940"/>
      <c r="E1146" s="940">
        <v>4</v>
      </c>
      <c r="F1146" s="941">
        <v>8</v>
      </c>
      <c r="G1146" s="942"/>
      <c r="H1146" s="1033"/>
      <c r="I1146" s="1005"/>
      <c r="J1146" s="507">
        <f>IF(I1146=0,1,I1146)*IF(H1146=0,1,H1146)*IF(G1146=0,1,G1146)*IF(F1146=0,1,F1146)*IF(E1146=0,1,E1146)*IF(D1146=0,1,D1146)*IF(C1146=0,1,C1146)</f>
        <v>32</v>
      </c>
      <c r="K1146" s="970"/>
      <c r="L1146" s="802"/>
      <c r="M1146" s="964"/>
      <c r="N1146" s="964"/>
      <c r="O1146" s="964"/>
      <c r="P1146" s="964"/>
      <c r="Q1146" s="618"/>
      <c r="R1146" s="618"/>
      <c r="S1146" s="618"/>
      <c r="T1146" s="618"/>
      <c r="U1146" s="618"/>
      <c r="V1146" s="641"/>
      <c r="W1146" s="641"/>
      <c r="X1146" s="641"/>
      <c r="Y1146" s="618"/>
      <c r="Z1146" s="618"/>
      <c r="AA1146" s="618"/>
      <c r="AB1146" s="618"/>
      <c r="AC1146" s="620"/>
      <c r="AD1146" s="620"/>
      <c r="AE1146" s="620"/>
      <c r="AF1146" s="944"/>
      <c r="AG1146" s="1035"/>
      <c r="AH1146" s="944"/>
      <c r="AI1146" s="944"/>
      <c r="AJ1146" s="944"/>
      <c r="AM1146" s="886"/>
      <c r="AP1146" s="886"/>
      <c r="AQ1146" s="886"/>
    </row>
    <row r="1147" spans="1:48" s="885" customFormat="1" ht="22.25" customHeight="1">
      <c r="A1147" s="969"/>
      <c r="B1147" s="962"/>
      <c r="C1147" s="940"/>
      <c r="D1147" s="940"/>
      <c r="E1147" s="940">
        <v>4</v>
      </c>
      <c r="F1147" s="941">
        <v>7</v>
      </c>
      <c r="G1147" s="942"/>
      <c r="H1147" s="1033"/>
      <c r="I1147" s="1005"/>
      <c r="J1147" s="507">
        <f>IF(I1147=0,1,I1147)*IF(H1147=0,1,H1147)*IF(G1147=0,1,G1147)*IF(F1147=0,1,F1147)*IF(E1147=0,1,E1147)*IF(D1147=0,1,D1147)*IF(C1147=0,1,C1147)</f>
        <v>28</v>
      </c>
      <c r="K1147" s="970"/>
      <c r="L1147" s="802"/>
      <c r="M1147" s="964"/>
      <c r="N1147" s="964"/>
      <c r="O1147" s="964"/>
      <c r="P1147" s="964"/>
      <c r="Q1147" s="618"/>
      <c r="R1147" s="618"/>
      <c r="S1147" s="618"/>
      <c r="T1147" s="618"/>
      <c r="U1147" s="618"/>
      <c r="V1147" s="641"/>
      <c r="W1147" s="641"/>
      <c r="X1147" s="641"/>
      <c r="Y1147" s="618"/>
      <c r="Z1147" s="618"/>
      <c r="AA1147" s="618"/>
      <c r="AB1147" s="618"/>
      <c r="AC1147" s="620"/>
      <c r="AD1147" s="620"/>
      <c r="AE1147" s="620"/>
      <c r="AF1147" s="944"/>
      <c r="AG1147" s="1035"/>
      <c r="AH1147" s="944"/>
      <c r="AI1147" s="944"/>
      <c r="AJ1147" s="944"/>
      <c r="AM1147" s="886"/>
      <c r="AP1147" s="886"/>
      <c r="AQ1147" s="886"/>
    </row>
    <row r="1148" spans="1:48" s="885" customFormat="1" ht="22.25" customHeight="1">
      <c r="A1148" s="969"/>
      <c r="B1148" s="962"/>
      <c r="C1148" s="940"/>
      <c r="D1148" s="940"/>
      <c r="E1148" s="940"/>
      <c r="F1148" s="1031"/>
      <c r="G1148" s="1032"/>
      <c r="H1148" s="1033"/>
      <c r="I1148" s="1005"/>
      <c r="J1148" s="970"/>
      <c r="K1148" s="1034">
        <f>SUM(J1142:J1148)</f>
        <v>192</v>
      </c>
      <c r="L1148" s="791" t="s">
        <v>13</v>
      </c>
      <c r="M1148" s="964"/>
      <c r="N1148" s="964"/>
      <c r="O1148" s="964"/>
      <c r="P1148" s="964"/>
      <c r="Q1148" s="618"/>
      <c r="R1148" s="618"/>
      <c r="S1148" s="618"/>
      <c r="T1148" s="618"/>
      <c r="U1148" s="618"/>
      <c r="V1148" s="641"/>
      <c r="W1148" s="641"/>
      <c r="X1148" s="641"/>
      <c r="Y1148" s="618"/>
      <c r="Z1148" s="618"/>
      <c r="AA1148" s="618"/>
      <c r="AB1148" s="618"/>
      <c r="AC1148" s="620"/>
      <c r="AD1148" s="620"/>
      <c r="AE1148" s="620"/>
      <c r="AF1148" s="944"/>
      <c r="AG1148" s="1035"/>
      <c r="AH1148" s="944"/>
      <c r="AI1148" s="944"/>
      <c r="AJ1148" s="944"/>
      <c r="AM1148" s="886"/>
      <c r="AP1148" s="886"/>
      <c r="AQ1148" s="886"/>
    </row>
    <row r="1149" spans="1:48" s="885" customFormat="1" ht="22.25" customHeight="1">
      <c r="A1149" s="969"/>
      <c r="B1149" s="962"/>
      <c r="C1149" s="940"/>
      <c r="D1149" s="940"/>
      <c r="E1149" s="940"/>
      <c r="F1149" s="1031"/>
      <c r="G1149" s="1032"/>
      <c r="H1149" s="1033"/>
      <c r="I1149" s="1036" t="s">
        <v>723</v>
      </c>
      <c r="J1149" s="970"/>
      <c r="K1149" s="1034">
        <f>K1148*1.07</f>
        <v>205.44</v>
      </c>
      <c r="L1149" s="791" t="s">
        <v>13</v>
      </c>
      <c r="M1149" s="971"/>
      <c r="N1149" s="971"/>
      <c r="O1149" s="971"/>
      <c r="P1149" s="971"/>
      <c r="Q1149" s="618"/>
      <c r="R1149" s="618"/>
      <c r="S1149" s="618"/>
      <c r="T1149" s="618"/>
      <c r="U1149" s="618"/>
      <c r="V1149" s="641"/>
      <c r="W1149" s="641"/>
      <c r="X1149" s="641"/>
      <c r="Y1149" s="618"/>
      <c r="Z1149" s="618"/>
      <c r="AA1149" s="618"/>
      <c r="AB1149" s="618"/>
      <c r="AC1149" s="620"/>
      <c r="AD1149" s="620"/>
      <c r="AE1149" s="620"/>
      <c r="AF1149" s="966">
        <f>7.5*1.07</f>
        <v>8.0250000000000004</v>
      </c>
      <c r="AG1149" s="966"/>
      <c r="AH1149" s="966"/>
      <c r="AI1149" s="966"/>
      <c r="AJ1149" s="966"/>
      <c r="AK1149" s="966"/>
      <c r="AL1149" s="966"/>
      <c r="AM1149" s="966"/>
      <c r="AN1149" s="944"/>
      <c r="AO1149" s="944"/>
      <c r="AR1149" s="886"/>
      <c r="AU1149" s="886"/>
      <c r="AV1149" s="886"/>
    </row>
    <row r="1150" spans="1:48" s="393" customFormat="1" ht="22.25" customHeight="1">
      <c r="A1150" s="1017"/>
      <c r="B1150" s="1022"/>
      <c r="C1150" s="664"/>
      <c r="D1150" s="664"/>
      <c r="E1150" s="1019"/>
      <c r="F1150" s="947"/>
      <c r="G1150" s="1020"/>
      <c r="H1150" s="1021"/>
      <c r="I1150" s="1019"/>
      <c r="J1150" s="514"/>
      <c r="K1150" s="514"/>
      <c r="L1150" s="514"/>
      <c r="M1150" s="725"/>
      <c r="N1150" s="725"/>
      <c r="O1150" s="725"/>
      <c r="P1150" s="725"/>
      <c r="Q1150" s="618"/>
      <c r="R1150" s="618"/>
      <c r="S1150" s="618"/>
      <c r="T1150" s="618"/>
      <c r="U1150" s="618"/>
      <c r="V1150" s="641"/>
      <c r="W1150" s="641"/>
      <c r="X1150" s="641"/>
      <c r="Y1150" s="618"/>
      <c r="Z1150" s="618"/>
      <c r="AA1150" s="618"/>
      <c r="AB1150" s="618"/>
      <c r="AC1150" s="620"/>
      <c r="AD1150" s="620"/>
      <c r="AE1150" s="620"/>
      <c r="AF1150" s="471"/>
      <c r="AG1150" s="471"/>
      <c r="AH1150" s="471"/>
      <c r="AI1150" s="471"/>
      <c r="AJ1150" s="471"/>
      <c r="AK1150" s="425"/>
      <c r="AL1150" s="425"/>
      <c r="AM1150" s="425"/>
      <c r="AN1150" s="425"/>
      <c r="AO1150" s="425"/>
      <c r="AR1150" s="425"/>
      <c r="AU1150" s="425"/>
      <c r="AV1150" s="425"/>
    </row>
    <row r="1151" spans="1:48" s="393" customFormat="1" ht="22.25" customHeight="1">
      <c r="A1151" s="1017">
        <v>25</v>
      </c>
      <c r="B1151" s="946" t="s">
        <v>825</v>
      </c>
      <c r="C1151" s="664"/>
      <c r="D1151" s="664"/>
      <c r="E1151" s="1019"/>
      <c r="F1151" s="947"/>
      <c r="G1151" s="1020"/>
      <c r="H1151" s="1021"/>
      <c r="I1151" s="1019"/>
      <c r="J1151" s="514"/>
      <c r="K1151" s="514"/>
      <c r="L1151" s="514"/>
      <c r="M1151" s="725"/>
      <c r="N1151" s="725"/>
      <c r="O1151" s="725"/>
      <c r="P1151" s="725"/>
      <c r="Q1151" s="618"/>
      <c r="R1151" s="618"/>
      <c r="S1151" s="618"/>
      <c r="T1151" s="618"/>
      <c r="U1151" s="618"/>
      <c r="V1151" s="641"/>
      <c r="W1151" s="641"/>
      <c r="X1151" s="641"/>
      <c r="Y1151" s="618"/>
      <c r="Z1151" s="618"/>
      <c r="AA1151" s="618"/>
      <c r="AB1151" s="618"/>
      <c r="AC1151" s="620"/>
      <c r="AD1151" s="620"/>
      <c r="AE1151" s="620"/>
      <c r="AF1151" s="471"/>
      <c r="AG1151" s="471"/>
      <c r="AH1151" s="471"/>
      <c r="AI1151" s="471"/>
      <c r="AJ1151" s="471"/>
      <c r="AK1151" s="425"/>
      <c r="AL1151" s="425"/>
      <c r="AM1151" s="425"/>
      <c r="AN1151" s="425"/>
      <c r="AO1151" s="425"/>
      <c r="AR1151" s="425"/>
      <c r="AU1151" s="425"/>
      <c r="AV1151" s="425"/>
    </row>
    <row r="1152" spans="1:48" s="393" customFormat="1" ht="22.25" customHeight="1">
      <c r="A1152" s="1017"/>
      <c r="B1152" s="1023" t="s">
        <v>823</v>
      </c>
      <c r="C1152" s="664"/>
      <c r="D1152" s="664"/>
      <c r="E1152" s="1019"/>
      <c r="F1152" s="947"/>
      <c r="G1152" s="1020"/>
      <c r="H1152" s="1021"/>
      <c r="I1152" s="1019"/>
      <c r="J1152" s="514"/>
      <c r="K1152" s="514"/>
      <c r="L1152" s="514"/>
      <c r="M1152" s="725"/>
      <c r="N1152" s="725"/>
      <c r="O1152" s="725"/>
      <c r="P1152" s="725"/>
      <c r="Q1152" s="618"/>
      <c r="R1152" s="618"/>
      <c r="S1152" s="618"/>
      <c r="T1152" s="618"/>
      <c r="U1152" s="618"/>
      <c r="V1152" s="641"/>
      <c r="W1152" s="641"/>
      <c r="X1152" s="641"/>
      <c r="Y1152" s="618"/>
      <c r="Z1152" s="618"/>
      <c r="AA1152" s="618"/>
      <c r="AB1152" s="618"/>
      <c r="AC1152" s="620"/>
      <c r="AD1152" s="620"/>
      <c r="AE1152" s="620"/>
      <c r="AF1152" s="471"/>
      <c r="AG1152" s="471"/>
      <c r="AH1152" s="471"/>
      <c r="AI1152" s="471"/>
      <c r="AJ1152" s="471"/>
      <c r="AK1152" s="425"/>
      <c r="AL1152" s="425"/>
      <c r="AM1152" s="425"/>
      <c r="AN1152" s="425"/>
      <c r="AO1152" s="425"/>
      <c r="AR1152" s="425"/>
      <c r="AU1152" s="425"/>
      <c r="AV1152" s="425"/>
    </row>
    <row r="1153" spans="1:48" s="393" customFormat="1" ht="22.25" customHeight="1">
      <c r="A1153" s="1017"/>
      <c r="B1153" s="1022" t="s">
        <v>821</v>
      </c>
      <c r="C1153" s="664"/>
      <c r="D1153" s="664"/>
      <c r="E1153" s="1019">
        <v>1</v>
      </c>
      <c r="F1153" s="947">
        <v>35</v>
      </c>
      <c r="G1153" s="1020">
        <v>45</v>
      </c>
      <c r="H1153" s="1021"/>
      <c r="I1153" s="1019"/>
      <c r="J1153" s="507">
        <f>IF(I1153=0,1,I1153)*IF(H1153=0,1,H1153)*IF(G1153=0,1,G1153)*IF(F1153=0,1,F1153)*IF(E1153=0,1,E1153)*IF(D1153=0,1,D1153)*IF(C1153=0,1,C1153)</f>
        <v>1575</v>
      </c>
      <c r="K1153" s="514"/>
      <c r="L1153" s="514"/>
      <c r="M1153" s="725"/>
      <c r="N1153" s="725"/>
      <c r="O1153" s="725"/>
      <c r="P1153" s="725"/>
      <c r="Q1153" s="618"/>
      <c r="R1153" s="618"/>
      <c r="S1153" s="618"/>
      <c r="T1153" s="618"/>
      <c r="U1153" s="618"/>
      <c r="V1153" s="641"/>
      <c r="W1153" s="641"/>
      <c r="X1153" s="641"/>
      <c r="Y1153" s="618"/>
      <c r="Z1153" s="618"/>
      <c r="AA1153" s="618"/>
      <c r="AB1153" s="618"/>
      <c r="AC1153" s="620"/>
      <c r="AD1153" s="620"/>
      <c r="AE1153" s="620"/>
      <c r="AF1153" s="471"/>
      <c r="AG1153" s="471"/>
      <c r="AH1153" s="471"/>
      <c r="AI1153" s="471"/>
      <c r="AJ1153" s="471"/>
      <c r="AK1153" s="425"/>
      <c r="AL1153" s="425"/>
      <c r="AM1153" s="425"/>
      <c r="AN1153" s="425"/>
      <c r="AO1153" s="425"/>
      <c r="AR1153" s="425"/>
      <c r="AU1153" s="425"/>
      <c r="AV1153" s="425"/>
    </row>
    <row r="1154" spans="1:48" s="393" customFormat="1" ht="22.25" customHeight="1">
      <c r="A1154" s="1017"/>
      <c r="B1154" s="1022"/>
      <c r="C1154" s="664"/>
      <c r="D1154" s="664"/>
      <c r="E1154" s="1019"/>
      <c r="F1154" s="947"/>
      <c r="G1154" s="1020"/>
      <c r="H1154" s="1021"/>
      <c r="I1154" s="1019"/>
      <c r="J1154" s="514"/>
      <c r="K1154" s="1029">
        <f>SUM(J1149:J1154)</f>
        <v>1575</v>
      </c>
      <c r="L1154" s="1027" t="s">
        <v>45</v>
      </c>
      <c r="M1154" s="725"/>
      <c r="N1154" s="725"/>
      <c r="O1154" s="725"/>
      <c r="P1154" s="725"/>
      <c r="Q1154" s="618"/>
      <c r="R1154" s="618"/>
      <c r="S1154" s="618"/>
      <c r="T1154" s="618"/>
      <c r="U1154" s="618"/>
      <c r="V1154" s="641"/>
      <c r="W1154" s="641"/>
      <c r="X1154" s="641"/>
      <c r="Y1154" s="618"/>
      <c r="Z1154" s="618"/>
      <c r="AA1154" s="618"/>
      <c r="AB1154" s="618"/>
      <c r="AC1154" s="620"/>
      <c r="AD1154" s="620"/>
      <c r="AE1154" s="620"/>
      <c r="AF1154" s="471"/>
      <c r="AG1154" s="471"/>
      <c r="AH1154" s="471"/>
      <c r="AI1154" s="471"/>
      <c r="AJ1154" s="471"/>
      <c r="AK1154" s="425"/>
      <c r="AL1154" s="425"/>
      <c r="AM1154" s="425"/>
      <c r="AN1154" s="425"/>
      <c r="AO1154" s="425"/>
      <c r="AR1154" s="425"/>
      <c r="AU1154" s="425"/>
      <c r="AV1154" s="425"/>
    </row>
    <row r="1155" spans="1:48" s="393" customFormat="1" ht="22.25" customHeight="1">
      <c r="A1155" s="1017"/>
      <c r="B1155" s="1023" t="s">
        <v>824</v>
      </c>
      <c r="C1155" s="664"/>
      <c r="D1155" s="664"/>
      <c r="E1155" s="1019"/>
      <c r="F1155" s="947"/>
      <c r="G1155" s="1020"/>
      <c r="H1155" s="1021"/>
      <c r="I1155" s="1019"/>
      <c r="J1155" s="514"/>
      <c r="K1155" s="1029"/>
      <c r="L1155" s="1027"/>
      <c r="M1155" s="725"/>
      <c r="N1155" s="725"/>
      <c r="O1155" s="725"/>
      <c r="P1155" s="725"/>
      <c r="Q1155" s="618"/>
      <c r="R1155" s="618"/>
      <c r="S1155" s="618"/>
      <c r="T1155" s="618"/>
      <c r="U1155" s="618"/>
      <c r="V1155" s="641"/>
      <c r="W1155" s="641"/>
      <c r="X1155" s="641"/>
      <c r="Y1155" s="618"/>
      <c r="Z1155" s="618"/>
      <c r="AA1155" s="618"/>
      <c r="AB1155" s="618"/>
      <c r="AC1155" s="620"/>
      <c r="AD1155" s="620"/>
      <c r="AE1155" s="620"/>
      <c r="AF1155" s="471"/>
      <c r="AG1155" s="471"/>
      <c r="AH1155" s="471"/>
      <c r="AI1155" s="471"/>
      <c r="AJ1155" s="471"/>
      <c r="AK1155" s="425"/>
      <c r="AL1155" s="425"/>
      <c r="AM1155" s="425"/>
      <c r="AN1155" s="425"/>
      <c r="AO1155" s="425"/>
      <c r="AR1155" s="425"/>
      <c r="AU1155" s="425"/>
      <c r="AV1155" s="425"/>
    </row>
    <row r="1156" spans="1:48" s="393" customFormat="1" ht="22.25" customHeight="1">
      <c r="A1156" s="1017"/>
      <c r="B1156" s="1022" t="s">
        <v>822</v>
      </c>
      <c r="C1156" s="664"/>
      <c r="D1156" s="664"/>
      <c r="E1156" s="1019">
        <v>1</v>
      </c>
      <c r="F1156" s="947">
        <v>204</v>
      </c>
      <c r="G1156" s="1020">
        <v>3</v>
      </c>
      <c r="H1156" s="1021"/>
      <c r="I1156" s="1019"/>
      <c r="J1156" s="507">
        <f>IF(I1156=0,1,I1156)*IF(H1156=0,1,H1156)*IF(G1156=0,1,G1156)*IF(F1156=0,1,F1156)*IF(E1156=0,1,E1156)*IF(D1156=0,1,D1156)*IF(C1156=0,1,C1156)</f>
        <v>612</v>
      </c>
      <c r="K1156" s="514"/>
      <c r="L1156" s="514"/>
      <c r="M1156" s="725"/>
      <c r="N1156" s="725"/>
      <c r="O1156" s="725"/>
      <c r="P1156" s="725"/>
      <c r="Q1156" s="618"/>
      <c r="R1156" s="618"/>
      <c r="S1156" s="618"/>
      <c r="T1156" s="618"/>
      <c r="U1156" s="618"/>
      <c r="V1156" s="641"/>
      <c r="W1156" s="641"/>
      <c r="X1156" s="641"/>
      <c r="Y1156" s="618"/>
      <c r="Z1156" s="618"/>
      <c r="AA1156" s="618"/>
      <c r="AB1156" s="618"/>
      <c r="AC1156" s="620"/>
      <c r="AD1156" s="620"/>
      <c r="AE1156" s="620"/>
      <c r="AF1156" s="471"/>
      <c r="AG1156" s="471"/>
      <c r="AH1156" s="471"/>
      <c r="AI1156" s="471"/>
      <c r="AJ1156" s="471"/>
      <c r="AK1156" s="425"/>
      <c r="AL1156" s="425"/>
      <c r="AM1156" s="425"/>
      <c r="AN1156" s="425"/>
      <c r="AO1156" s="425"/>
      <c r="AR1156" s="425"/>
      <c r="AU1156" s="425"/>
      <c r="AV1156" s="425"/>
    </row>
    <row r="1157" spans="1:48" s="393" customFormat="1" ht="22.25" customHeight="1">
      <c r="A1157" s="1017"/>
      <c r="B1157" s="1022" t="s">
        <v>165</v>
      </c>
      <c r="C1157" s="664"/>
      <c r="D1157" s="664"/>
      <c r="E1157" s="1019">
        <v>2</v>
      </c>
      <c r="F1157" s="947">
        <v>8</v>
      </c>
      <c r="G1157" s="1020">
        <v>4.5</v>
      </c>
      <c r="H1157" s="1021"/>
      <c r="I1157" s="1019"/>
      <c r="J1157" s="507">
        <f>IF(I1157=0,1,I1157)*IF(H1157=0,1,H1157)*IF(G1157=0,1,G1157)*IF(F1157=0,1,F1157)*IF(E1157=0,1,E1157)*IF(D1157=0,1,D1157)*IF(C1157=0,1,C1157)</f>
        <v>72</v>
      </c>
      <c r="K1157" s="514"/>
      <c r="L1157" s="514"/>
      <c r="M1157" s="725"/>
      <c r="N1157" s="725"/>
      <c r="O1157" s="725"/>
      <c r="P1157" s="725"/>
      <c r="Q1157" s="618"/>
      <c r="R1157" s="618"/>
      <c r="S1157" s="618"/>
      <c r="T1157" s="618"/>
      <c r="U1157" s="618"/>
      <c r="V1157" s="641"/>
      <c r="W1157" s="641"/>
      <c r="X1157" s="641"/>
      <c r="Y1157" s="618"/>
      <c r="Z1157" s="618"/>
      <c r="AA1157" s="618"/>
      <c r="AB1157" s="618"/>
      <c r="AC1157" s="620"/>
      <c r="AD1157" s="620"/>
      <c r="AE1157" s="620"/>
      <c r="AF1157" s="471"/>
      <c r="AG1157" s="471"/>
      <c r="AH1157" s="471"/>
      <c r="AI1157" s="471"/>
      <c r="AJ1157" s="471"/>
      <c r="AK1157" s="425"/>
      <c r="AL1157" s="425"/>
      <c r="AM1157" s="425"/>
      <c r="AN1157" s="425"/>
      <c r="AO1157" s="425"/>
      <c r="AR1157" s="425"/>
      <c r="AU1157" s="425"/>
      <c r="AV1157" s="425"/>
    </row>
    <row r="1158" spans="1:48" s="393" customFormat="1" ht="22.25" customHeight="1">
      <c r="A1158" s="1017"/>
      <c r="B1158" s="1022"/>
      <c r="C1158" s="664"/>
      <c r="D1158" s="664"/>
      <c r="E1158" s="1019"/>
      <c r="F1158" s="947"/>
      <c r="G1158" s="1020"/>
      <c r="H1158" s="1021"/>
      <c r="I1158" s="1019"/>
      <c r="J1158" s="514"/>
      <c r="K1158" s="1029">
        <f>SUM(J1156:J1158)</f>
        <v>684</v>
      </c>
      <c r="L1158" s="1027" t="s">
        <v>45</v>
      </c>
      <c r="M1158" s="725"/>
      <c r="N1158" s="725"/>
      <c r="O1158" s="725"/>
      <c r="P1158" s="725"/>
      <c r="Q1158" s="618"/>
      <c r="R1158" s="618"/>
      <c r="S1158" s="618"/>
      <c r="T1158" s="618"/>
      <c r="U1158" s="618"/>
      <c r="V1158" s="641"/>
      <c r="W1158" s="641"/>
      <c r="X1158" s="641"/>
      <c r="Y1158" s="618"/>
      <c r="Z1158" s="618"/>
      <c r="AA1158" s="618"/>
      <c r="AB1158" s="618"/>
      <c r="AC1158" s="620"/>
      <c r="AD1158" s="620"/>
      <c r="AE1158" s="620"/>
      <c r="AF1158" s="471"/>
      <c r="AG1158" s="471"/>
      <c r="AH1158" s="471"/>
      <c r="AI1158" s="471"/>
      <c r="AJ1158" s="471"/>
      <c r="AK1158" s="425"/>
      <c r="AL1158" s="425"/>
      <c r="AM1158" s="425"/>
      <c r="AN1158" s="425"/>
      <c r="AO1158" s="425"/>
      <c r="AR1158" s="425"/>
      <c r="AU1158" s="425"/>
      <c r="AV1158" s="425"/>
    </row>
    <row r="1159" spans="1:48" s="393" customFormat="1" ht="22.25" customHeight="1">
      <c r="A1159" s="1017"/>
      <c r="B1159" s="1022"/>
      <c r="C1159" s="664"/>
      <c r="D1159" s="664"/>
      <c r="E1159" s="1019"/>
      <c r="F1159" s="947"/>
      <c r="G1159" s="1020"/>
      <c r="H1159" s="1021"/>
      <c r="I1159" s="1019"/>
      <c r="J1159" s="514"/>
      <c r="K1159" s="1029"/>
      <c r="L1159" s="1027"/>
      <c r="M1159" s="725"/>
      <c r="N1159" s="725"/>
      <c r="O1159" s="725"/>
      <c r="P1159" s="725"/>
      <c r="Q1159" s="618"/>
      <c r="R1159" s="618"/>
      <c r="S1159" s="618"/>
      <c r="T1159" s="618"/>
      <c r="U1159" s="618"/>
      <c r="V1159" s="641"/>
      <c r="W1159" s="641"/>
      <c r="X1159" s="641"/>
      <c r="Y1159" s="618"/>
      <c r="Z1159" s="618"/>
      <c r="AA1159" s="618"/>
      <c r="AB1159" s="618"/>
      <c r="AC1159" s="620"/>
      <c r="AD1159" s="620"/>
      <c r="AE1159" s="620"/>
      <c r="AF1159" s="471"/>
      <c r="AG1159" s="471"/>
      <c r="AH1159" s="471"/>
      <c r="AI1159" s="471"/>
      <c r="AJ1159" s="471"/>
      <c r="AK1159" s="425"/>
      <c r="AL1159" s="425"/>
      <c r="AM1159" s="425"/>
      <c r="AN1159" s="425"/>
      <c r="AO1159" s="425"/>
      <c r="AR1159" s="425"/>
      <c r="AU1159" s="425"/>
      <c r="AV1159" s="425"/>
    </row>
    <row r="1160" spans="1:48" s="393" customFormat="1" ht="22.25" customHeight="1">
      <c r="A1160" s="1017"/>
      <c r="B1160" s="1028" t="s">
        <v>851</v>
      </c>
      <c r="C1160" s="664"/>
      <c r="D1160" s="664"/>
      <c r="E1160" s="1019"/>
      <c r="F1160" s="947"/>
      <c r="G1160" s="1020"/>
      <c r="H1160" s="1021"/>
      <c r="I1160" s="1019"/>
      <c r="J1160" s="514"/>
      <c r="K1160" s="1029"/>
      <c r="L1160" s="1027"/>
      <c r="M1160" s="725"/>
      <c r="N1160" s="725"/>
      <c r="O1160" s="725"/>
      <c r="P1160" s="725"/>
      <c r="Q1160" s="618"/>
      <c r="R1160" s="618"/>
      <c r="S1160" s="618"/>
      <c r="T1160" s="618"/>
      <c r="U1160" s="618"/>
      <c r="V1160" s="641"/>
      <c r="W1160" s="641"/>
      <c r="X1160" s="641"/>
      <c r="Y1160" s="618"/>
      <c r="Z1160" s="618"/>
      <c r="AA1160" s="618"/>
      <c r="AB1160" s="618"/>
      <c r="AC1160" s="620"/>
      <c r="AD1160" s="620"/>
      <c r="AE1160" s="620"/>
      <c r="AF1160" s="471"/>
      <c r="AG1160" s="471"/>
      <c r="AH1160" s="471"/>
      <c r="AI1160" s="471"/>
      <c r="AJ1160" s="471"/>
      <c r="AK1160" s="425"/>
      <c r="AL1160" s="425"/>
      <c r="AM1160" s="425"/>
      <c r="AN1160" s="425"/>
      <c r="AO1160" s="425"/>
      <c r="AR1160" s="425"/>
      <c r="AU1160" s="425"/>
      <c r="AV1160" s="425"/>
    </row>
    <row r="1161" spans="1:48" s="393" customFormat="1" ht="22.25" customHeight="1">
      <c r="A1161" s="1017"/>
      <c r="B1161" s="1028" t="s">
        <v>821</v>
      </c>
      <c r="C1161" s="664"/>
      <c r="D1161" s="664"/>
      <c r="E1161" s="1019"/>
      <c r="F1161" s="947"/>
      <c r="G1161" s="1020"/>
      <c r="H1161" s="1021"/>
      <c r="I1161" s="1019"/>
      <c r="J1161" s="514"/>
      <c r="K1161" s="1029"/>
      <c r="L1161" s="1027"/>
      <c r="M1161" s="725"/>
      <c r="N1161" s="725"/>
      <c r="O1161" s="725"/>
      <c r="P1161" s="725"/>
      <c r="Q1161" s="618"/>
      <c r="R1161" s="618"/>
      <c r="S1161" s="618"/>
      <c r="T1161" s="618"/>
      <c r="U1161" s="618"/>
      <c r="V1161" s="641"/>
      <c r="W1161" s="641"/>
      <c r="X1161" s="641"/>
      <c r="Y1161" s="618"/>
      <c r="Z1161" s="618"/>
      <c r="AA1161" s="618"/>
      <c r="AB1161" s="618"/>
      <c r="AC1161" s="620"/>
      <c r="AD1161" s="620"/>
      <c r="AE1161" s="620"/>
      <c r="AF1161" s="471"/>
      <c r="AG1161" s="471"/>
      <c r="AH1161" s="471"/>
      <c r="AI1161" s="471"/>
      <c r="AJ1161" s="471"/>
      <c r="AK1161" s="425"/>
      <c r="AL1161" s="425"/>
      <c r="AM1161" s="425"/>
      <c r="AN1161" s="425"/>
      <c r="AO1161" s="425"/>
      <c r="AR1161" s="425"/>
      <c r="AU1161" s="425"/>
      <c r="AV1161" s="425"/>
    </row>
    <row r="1162" spans="1:48" s="393" customFormat="1" ht="22.25" customHeight="1">
      <c r="A1162" s="1017"/>
      <c r="B1162" s="1028" t="s">
        <v>853</v>
      </c>
      <c r="C1162" s="664"/>
      <c r="D1162" s="664"/>
      <c r="E1162" s="1019">
        <v>1</v>
      </c>
      <c r="F1162" s="947">
        <v>35</v>
      </c>
      <c r="G1162" s="1020">
        <v>15</v>
      </c>
      <c r="H1162" s="1021"/>
      <c r="I1162" s="1019"/>
      <c r="J1162" s="514"/>
      <c r="K1162" s="1029"/>
      <c r="L1162" s="1027"/>
      <c r="M1162" s="725"/>
      <c r="N1162" s="725"/>
      <c r="O1162" s="725"/>
      <c r="P1162" s="725"/>
      <c r="Q1162" s="618"/>
      <c r="R1162" s="618"/>
      <c r="S1162" s="618"/>
      <c r="T1162" s="618"/>
      <c r="U1162" s="618"/>
      <c r="V1162" s="641"/>
      <c r="W1162" s="641"/>
      <c r="X1162" s="641"/>
      <c r="Y1162" s="618"/>
      <c r="Z1162" s="618"/>
      <c r="AA1162" s="618"/>
      <c r="AB1162" s="618"/>
      <c r="AC1162" s="620"/>
      <c r="AD1162" s="620"/>
      <c r="AE1162" s="620"/>
      <c r="AF1162" s="471"/>
      <c r="AG1162" s="471"/>
      <c r="AH1162" s="471"/>
      <c r="AI1162" s="471"/>
      <c r="AJ1162" s="471"/>
      <c r="AK1162" s="425"/>
      <c r="AL1162" s="425"/>
      <c r="AM1162" s="425"/>
      <c r="AN1162" s="425"/>
      <c r="AO1162" s="425"/>
      <c r="AR1162" s="425"/>
      <c r="AU1162" s="425"/>
      <c r="AV1162" s="425"/>
    </row>
    <row r="1163" spans="1:48" s="393" customFormat="1" ht="22.25" customHeight="1">
      <c r="A1163" s="1017"/>
      <c r="B1163" s="1022" t="s">
        <v>852</v>
      </c>
      <c r="C1163" s="664"/>
      <c r="D1163" s="664">
        <f>ROUNDDOWN((G1162/1.17),0)+ROUNDDOWN(G1162/4,0)</f>
        <v>15</v>
      </c>
      <c r="E1163" s="1019">
        <f>E1162</f>
        <v>1</v>
      </c>
      <c r="F1163" s="947">
        <f>F1162</f>
        <v>35</v>
      </c>
      <c r="G1163" s="1020"/>
      <c r="H1163" s="1021"/>
      <c r="I1163" s="1019"/>
      <c r="J1163" s="507">
        <f>IF(I1163=0,1,I1163)*IF(H1163=0,1,H1163)*IF(G1163=0,1,G1163)*IF(F1163=0,1,F1163)*IF(E1163=0,1,E1163)*IF(D1163=0,1,D1163)*IF(C1163=0,1,C1163)</f>
        <v>525</v>
      </c>
      <c r="K1163" s="1029"/>
      <c r="L1163" s="1027"/>
      <c r="M1163" s="725"/>
      <c r="N1163" s="725"/>
      <c r="O1163" s="725"/>
      <c r="P1163" s="725"/>
      <c r="Q1163" s="618"/>
      <c r="R1163" s="618"/>
      <c r="S1163" s="618"/>
      <c r="T1163" s="618"/>
      <c r="U1163" s="618"/>
      <c r="V1163" s="641"/>
      <c r="W1163" s="641"/>
      <c r="X1163" s="641"/>
      <c r="Y1163" s="618"/>
      <c r="Z1163" s="618"/>
      <c r="AA1163" s="618"/>
      <c r="AB1163" s="618"/>
      <c r="AC1163" s="620"/>
      <c r="AD1163" s="620"/>
      <c r="AE1163" s="620"/>
      <c r="AF1163" s="471"/>
      <c r="AG1163" s="471"/>
      <c r="AH1163" s="471"/>
      <c r="AI1163" s="471"/>
      <c r="AJ1163" s="471"/>
      <c r="AK1163" s="425"/>
      <c r="AL1163" s="425"/>
      <c r="AM1163" s="425"/>
      <c r="AN1163" s="425"/>
      <c r="AO1163" s="425"/>
      <c r="AR1163" s="425"/>
      <c r="AU1163" s="425"/>
      <c r="AV1163" s="425"/>
    </row>
    <row r="1164" spans="1:48" s="393" customFormat="1" ht="22.25" customHeight="1">
      <c r="A1164" s="1017"/>
      <c r="B1164" s="1022"/>
      <c r="C1164" s="664"/>
      <c r="D1164" s="664">
        <f>ROUNDDOWN((F1162/2),0)+ROUNDDOWN(F1162/8,0)</f>
        <v>21</v>
      </c>
      <c r="E1164" s="1019">
        <f>E1163</f>
        <v>1</v>
      </c>
      <c r="F1164" s="947">
        <f>G1162</f>
        <v>15</v>
      </c>
      <c r="G1164" s="1020"/>
      <c r="H1164" s="1021"/>
      <c r="I1164" s="1019"/>
      <c r="J1164" s="507">
        <f>IF(I1164=0,1,I1164)*IF(H1164=0,1,H1164)*IF(G1164=0,1,G1164)*IF(F1164=0,1,F1164)*IF(E1164=0,1,E1164)*IF(D1164=0,1,D1164)*IF(C1164=0,1,C1164)</f>
        <v>315</v>
      </c>
      <c r="K1164" s="1029"/>
      <c r="L1164" s="1027"/>
      <c r="M1164" s="725"/>
      <c r="N1164" s="725"/>
      <c r="O1164" s="725"/>
      <c r="P1164" s="725"/>
      <c r="Q1164" s="618"/>
      <c r="R1164" s="618"/>
      <c r="S1164" s="618"/>
      <c r="T1164" s="618"/>
      <c r="U1164" s="618"/>
      <c r="V1164" s="641"/>
      <c r="W1164" s="641"/>
      <c r="X1164" s="641"/>
      <c r="Y1164" s="618"/>
      <c r="Z1164" s="618"/>
      <c r="AA1164" s="618"/>
      <c r="AB1164" s="618"/>
      <c r="AC1164" s="620"/>
      <c r="AD1164" s="620"/>
      <c r="AE1164" s="620"/>
      <c r="AF1164" s="471"/>
      <c r="AG1164" s="471"/>
      <c r="AH1164" s="471"/>
      <c r="AI1164" s="471"/>
      <c r="AJ1164" s="471"/>
      <c r="AK1164" s="425"/>
      <c r="AL1164" s="425"/>
      <c r="AM1164" s="425"/>
      <c r="AN1164" s="425"/>
      <c r="AO1164" s="425"/>
      <c r="AR1164" s="425"/>
      <c r="AU1164" s="425"/>
      <c r="AV1164" s="425"/>
    </row>
    <row r="1165" spans="1:48" s="393" customFormat="1" ht="22.25" customHeight="1">
      <c r="A1165" s="1017"/>
      <c r="B1165" s="1022" t="s">
        <v>859</v>
      </c>
      <c r="C1165" s="664">
        <f>D1163/2</f>
        <v>7.5</v>
      </c>
      <c r="D1165" s="664">
        <f>D1164/2</f>
        <v>10.5</v>
      </c>
      <c r="E1165" s="1019">
        <f>E1164</f>
        <v>1</v>
      </c>
      <c r="F1165" s="947">
        <f>(2+10)/2</f>
        <v>6</v>
      </c>
      <c r="G1165" s="1020"/>
      <c r="H1165" s="1021"/>
      <c r="I1165" s="1019"/>
      <c r="J1165" s="507">
        <f>IF(I1165=0,1,I1165)*IF(H1165=0,1,H1165)*IF(G1165=0,1,G1165)*IF(F1165=0,1,F1165)*IF(E1165=0,1,E1165)*IF(D1165=0,1,D1165)*IF(C1165=0,1,C1165)</f>
        <v>472.5</v>
      </c>
      <c r="K1165" s="1029"/>
      <c r="L1165" s="1027"/>
      <c r="M1165" s="725"/>
      <c r="N1165" s="725"/>
      <c r="O1165" s="725"/>
      <c r="P1165" s="725"/>
      <c r="Q1165" s="618"/>
      <c r="R1165" s="618"/>
      <c r="S1165" s="618"/>
      <c r="T1165" s="618"/>
      <c r="U1165" s="618"/>
      <c r="V1165" s="641"/>
      <c r="W1165" s="641"/>
      <c r="X1165" s="641"/>
      <c r="Y1165" s="618"/>
      <c r="Z1165" s="618"/>
      <c r="AA1165" s="618"/>
      <c r="AB1165" s="618"/>
      <c r="AC1165" s="620"/>
      <c r="AD1165" s="620"/>
      <c r="AE1165" s="620"/>
      <c r="AF1165" s="471"/>
      <c r="AG1165" s="471"/>
      <c r="AH1165" s="471"/>
      <c r="AI1165" s="471"/>
      <c r="AJ1165" s="471"/>
      <c r="AK1165" s="425"/>
      <c r="AL1165" s="425"/>
      <c r="AM1165" s="425"/>
      <c r="AN1165" s="425"/>
      <c r="AO1165" s="425"/>
      <c r="AR1165" s="425"/>
      <c r="AU1165" s="425"/>
      <c r="AV1165" s="425"/>
    </row>
    <row r="1166" spans="1:48" s="393" customFormat="1" ht="22.25" customHeight="1">
      <c r="A1166" s="1017"/>
      <c r="B1166" s="1028" t="s">
        <v>854</v>
      </c>
      <c r="C1166" s="664"/>
      <c r="D1166" s="664"/>
      <c r="E1166" s="1019">
        <v>1</v>
      </c>
      <c r="F1166" s="947">
        <v>30</v>
      </c>
      <c r="G1166" s="1020">
        <v>6</v>
      </c>
      <c r="H1166" s="1021"/>
      <c r="I1166" s="1019"/>
      <c r="J1166" s="514"/>
      <c r="K1166" s="1029"/>
      <c r="L1166" s="1027"/>
      <c r="M1166" s="725"/>
      <c r="N1166" s="725"/>
      <c r="O1166" s="725"/>
      <c r="P1166" s="725"/>
      <c r="Q1166" s="618"/>
      <c r="R1166" s="618"/>
      <c r="S1166" s="618"/>
      <c r="T1166" s="618"/>
      <c r="U1166" s="618"/>
      <c r="V1166" s="641"/>
      <c r="W1166" s="641"/>
      <c r="X1166" s="641"/>
      <c r="Y1166" s="618"/>
      <c r="Z1166" s="618"/>
      <c r="AA1166" s="618"/>
      <c r="AB1166" s="618"/>
      <c r="AC1166" s="620"/>
      <c r="AD1166" s="620"/>
      <c r="AE1166" s="620"/>
      <c r="AF1166" s="471"/>
      <c r="AG1166" s="471"/>
      <c r="AH1166" s="471"/>
      <c r="AI1166" s="471"/>
      <c r="AJ1166" s="471"/>
      <c r="AK1166" s="425"/>
      <c r="AL1166" s="425"/>
      <c r="AM1166" s="425"/>
      <c r="AN1166" s="425"/>
      <c r="AO1166" s="425"/>
      <c r="AR1166" s="425"/>
      <c r="AU1166" s="425"/>
      <c r="AV1166" s="425"/>
    </row>
    <row r="1167" spans="1:48" s="393" customFormat="1" ht="22.25" customHeight="1">
      <c r="A1167" s="1017"/>
      <c r="B1167" s="1022" t="s">
        <v>852</v>
      </c>
      <c r="C1167" s="664"/>
      <c r="D1167" s="664">
        <f>ROUNDDOWN((G1166/1.17),0)+ROUNDDOWN(G1166/4,0)</f>
        <v>6</v>
      </c>
      <c r="E1167" s="1019">
        <f>E1166</f>
        <v>1</v>
      </c>
      <c r="F1167" s="947">
        <f>F1166</f>
        <v>30</v>
      </c>
      <c r="G1167" s="1020"/>
      <c r="H1167" s="1021"/>
      <c r="I1167" s="1019"/>
      <c r="J1167" s="507">
        <f>IF(I1167=0,1,I1167)*IF(H1167=0,1,H1167)*IF(G1167=0,1,G1167)*IF(F1167=0,1,F1167)*IF(E1167=0,1,E1167)*IF(D1167=0,1,D1167)*IF(C1167=0,1,C1167)</f>
        <v>180</v>
      </c>
      <c r="K1167" s="1029"/>
      <c r="L1167" s="1027"/>
      <c r="M1167" s="725"/>
      <c r="N1167" s="725"/>
      <c r="O1167" s="725"/>
      <c r="P1167" s="725"/>
      <c r="Q1167" s="618"/>
      <c r="R1167" s="618"/>
      <c r="S1167" s="618"/>
      <c r="T1167" s="618"/>
      <c r="U1167" s="618"/>
      <c r="V1167" s="641"/>
      <c r="W1167" s="641"/>
      <c r="X1167" s="641"/>
      <c r="Y1167" s="618"/>
      <c r="Z1167" s="618"/>
      <c r="AA1167" s="618"/>
      <c r="AB1167" s="618"/>
      <c r="AC1167" s="620"/>
      <c r="AD1167" s="620"/>
      <c r="AE1167" s="620"/>
      <c r="AF1167" s="471"/>
      <c r="AG1167" s="471"/>
      <c r="AH1167" s="471"/>
      <c r="AI1167" s="471"/>
      <c r="AJ1167" s="471"/>
      <c r="AK1167" s="425"/>
      <c r="AL1167" s="425"/>
      <c r="AM1167" s="425"/>
      <c r="AN1167" s="425"/>
      <c r="AO1167" s="425"/>
      <c r="AR1167" s="425"/>
      <c r="AU1167" s="425"/>
      <c r="AV1167" s="425"/>
    </row>
    <row r="1168" spans="1:48" s="393" customFormat="1" ht="22.25" customHeight="1">
      <c r="A1168" s="1017"/>
      <c r="B1168" s="1022"/>
      <c r="C1168" s="664"/>
      <c r="D1168" s="664">
        <f>ROUNDDOWN((F1166/2),0)+ROUNDDOWN(F1166/8,0)</f>
        <v>18</v>
      </c>
      <c r="E1168" s="1019">
        <f>E1167</f>
        <v>1</v>
      </c>
      <c r="F1168" s="947">
        <f>G1166</f>
        <v>6</v>
      </c>
      <c r="G1168" s="1020"/>
      <c r="H1168" s="1021"/>
      <c r="I1168" s="1019"/>
      <c r="J1168" s="507">
        <f>IF(I1168=0,1,I1168)*IF(H1168=0,1,H1168)*IF(G1168=0,1,G1168)*IF(F1168=0,1,F1168)*IF(E1168=0,1,E1168)*IF(D1168=0,1,D1168)*IF(C1168=0,1,C1168)</f>
        <v>108</v>
      </c>
      <c r="K1168" s="1029"/>
      <c r="L1168" s="1027"/>
      <c r="M1168" s="725"/>
      <c r="N1168" s="725"/>
      <c r="O1168" s="725"/>
      <c r="P1168" s="725"/>
      <c r="Q1168" s="618"/>
      <c r="R1168" s="618"/>
      <c r="S1168" s="618"/>
      <c r="T1168" s="618"/>
      <c r="U1168" s="618"/>
      <c r="V1168" s="641"/>
      <c r="W1168" s="641"/>
      <c r="X1168" s="641"/>
      <c r="Y1168" s="618"/>
      <c r="Z1168" s="618"/>
      <c r="AA1168" s="618"/>
      <c r="AB1168" s="618"/>
      <c r="AC1168" s="620"/>
      <c r="AD1168" s="620"/>
      <c r="AE1168" s="620"/>
      <c r="AF1168" s="471"/>
      <c r="AG1168" s="471"/>
      <c r="AH1168" s="471"/>
      <c r="AI1168" s="471"/>
      <c r="AJ1168" s="471"/>
      <c r="AK1168" s="425"/>
      <c r="AL1168" s="425"/>
      <c r="AM1168" s="425"/>
      <c r="AN1168" s="425"/>
      <c r="AO1168" s="425"/>
      <c r="AR1168" s="425"/>
      <c r="AU1168" s="425"/>
      <c r="AV1168" s="425"/>
    </row>
    <row r="1169" spans="1:48" s="393" customFormat="1" ht="22.25" customHeight="1">
      <c r="A1169" s="1017"/>
      <c r="B1169" s="1022" t="s">
        <v>859</v>
      </c>
      <c r="C1169" s="664">
        <f>D1167/2</f>
        <v>3</v>
      </c>
      <c r="D1169" s="664">
        <f>D1168/2</f>
        <v>9</v>
      </c>
      <c r="E1169" s="1019">
        <f>E1168</f>
        <v>1</v>
      </c>
      <c r="F1169" s="947">
        <f>(2+10)/2</f>
        <v>6</v>
      </c>
      <c r="G1169" s="1020"/>
      <c r="H1169" s="1021"/>
      <c r="I1169" s="1019"/>
      <c r="J1169" s="507">
        <f>IF(I1169=0,1,I1169)*IF(H1169=0,1,H1169)*IF(G1169=0,1,G1169)*IF(F1169=0,1,F1169)*IF(E1169=0,1,E1169)*IF(D1169=0,1,D1169)*IF(C1169=0,1,C1169)</f>
        <v>162</v>
      </c>
      <c r="K1169" s="1029"/>
      <c r="L1169" s="1027"/>
      <c r="M1169" s="725"/>
      <c r="N1169" s="725"/>
      <c r="O1169" s="725"/>
      <c r="P1169" s="725"/>
      <c r="Q1169" s="618"/>
      <c r="R1169" s="618"/>
      <c r="S1169" s="618"/>
      <c r="T1169" s="618"/>
      <c r="U1169" s="618"/>
      <c r="V1169" s="641"/>
      <c r="W1169" s="641"/>
      <c r="X1169" s="641"/>
      <c r="Y1169" s="618"/>
      <c r="Z1169" s="618"/>
      <c r="AA1169" s="618"/>
      <c r="AB1169" s="618"/>
      <c r="AC1169" s="620"/>
      <c r="AD1169" s="620"/>
      <c r="AE1169" s="620"/>
      <c r="AF1169" s="471"/>
      <c r="AG1169" s="471"/>
      <c r="AH1169" s="471"/>
      <c r="AI1169" s="471"/>
      <c r="AJ1169" s="471"/>
      <c r="AK1169" s="425"/>
      <c r="AL1169" s="425"/>
      <c r="AM1169" s="425"/>
      <c r="AN1169" s="425"/>
      <c r="AO1169" s="425"/>
      <c r="AR1169" s="425"/>
      <c r="AU1169" s="425"/>
      <c r="AV1169" s="425"/>
    </row>
    <row r="1170" spans="1:48" s="393" customFormat="1" ht="22.25" customHeight="1">
      <c r="A1170" s="1017"/>
      <c r="B1170" s="1028" t="s">
        <v>855</v>
      </c>
      <c r="C1170" s="664"/>
      <c r="D1170" s="664"/>
      <c r="E1170" s="1019">
        <v>1</v>
      </c>
      <c r="F1170" s="947">
        <v>15</v>
      </c>
      <c r="G1170" s="1020">
        <v>6</v>
      </c>
      <c r="H1170" s="1021"/>
      <c r="I1170" s="1019"/>
      <c r="J1170" s="514"/>
      <c r="K1170" s="1029"/>
      <c r="L1170" s="1027"/>
      <c r="M1170" s="725"/>
      <c r="N1170" s="725"/>
      <c r="O1170" s="725"/>
      <c r="P1170" s="725"/>
      <c r="Q1170" s="618"/>
      <c r="R1170" s="618"/>
      <c r="S1170" s="618"/>
      <c r="T1170" s="618"/>
      <c r="U1170" s="618"/>
      <c r="V1170" s="641"/>
      <c r="W1170" s="641"/>
      <c r="X1170" s="641"/>
      <c r="Y1170" s="618"/>
      <c r="Z1170" s="618"/>
      <c r="AA1170" s="618"/>
      <c r="AB1170" s="618"/>
      <c r="AC1170" s="620"/>
      <c r="AD1170" s="620"/>
      <c r="AE1170" s="620"/>
      <c r="AF1170" s="471"/>
      <c r="AG1170" s="471"/>
      <c r="AH1170" s="471"/>
      <c r="AI1170" s="471"/>
      <c r="AJ1170" s="471"/>
      <c r="AK1170" s="425"/>
      <c r="AL1170" s="425"/>
      <c r="AM1170" s="425"/>
      <c r="AN1170" s="425"/>
      <c r="AO1170" s="425"/>
      <c r="AR1170" s="425"/>
      <c r="AU1170" s="425"/>
      <c r="AV1170" s="425"/>
    </row>
    <row r="1171" spans="1:48" s="393" customFormat="1" ht="22.25" customHeight="1">
      <c r="A1171" s="1017"/>
      <c r="B1171" s="1022" t="s">
        <v>852</v>
      </c>
      <c r="C1171" s="664"/>
      <c r="D1171" s="664">
        <f>ROUNDDOWN((G1170/1.17),0)+ROUNDDOWN(G1170/4,0)</f>
        <v>6</v>
      </c>
      <c r="E1171" s="1019">
        <f>E1170</f>
        <v>1</v>
      </c>
      <c r="F1171" s="947">
        <f>F1170</f>
        <v>15</v>
      </c>
      <c r="G1171" s="1020"/>
      <c r="H1171" s="1021"/>
      <c r="I1171" s="1019"/>
      <c r="J1171" s="507">
        <f>IF(I1171=0,1,I1171)*IF(H1171=0,1,H1171)*IF(G1171=0,1,G1171)*IF(F1171=0,1,F1171)*IF(E1171=0,1,E1171)*IF(D1171=0,1,D1171)*IF(C1171=0,1,C1171)</f>
        <v>90</v>
      </c>
      <c r="K1171" s="1029"/>
      <c r="L1171" s="1027"/>
      <c r="M1171" s="725"/>
      <c r="N1171" s="725"/>
      <c r="O1171" s="725"/>
      <c r="P1171" s="725"/>
      <c r="Q1171" s="618"/>
      <c r="R1171" s="618"/>
      <c r="S1171" s="618"/>
      <c r="T1171" s="618"/>
      <c r="U1171" s="618"/>
      <c r="V1171" s="641"/>
      <c r="W1171" s="641"/>
      <c r="X1171" s="641"/>
      <c r="Y1171" s="618"/>
      <c r="Z1171" s="618"/>
      <c r="AA1171" s="618"/>
      <c r="AB1171" s="618"/>
      <c r="AC1171" s="620"/>
      <c r="AD1171" s="620"/>
      <c r="AE1171" s="620"/>
      <c r="AF1171" s="471"/>
      <c r="AG1171" s="471"/>
      <c r="AH1171" s="471"/>
      <c r="AI1171" s="471"/>
      <c r="AJ1171" s="471"/>
      <c r="AK1171" s="425"/>
      <c r="AL1171" s="425"/>
      <c r="AM1171" s="425"/>
      <c r="AN1171" s="425"/>
      <c r="AO1171" s="425"/>
      <c r="AR1171" s="425"/>
      <c r="AU1171" s="425"/>
      <c r="AV1171" s="425"/>
    </row>
    <row r="1172" spans="1:48" s="393" customFormat="1" ht="22.25" customHeight="1">
      <c r="A1172" s="1017"/>
      <c r="B1172" s="1022"/>
      <c r="C1172" s="664"/>
      <c r="D1172" s="664">
        <f>ROUNDDOWN((F1170/2),0)+ROUNDDOWN(F1170/8,0)</f>
        <v>8</v>
      </c>
      <c r="E1172" s="1019">
        <f>E1171</f>
        <v>1</v>
      </c>
      <c r="F1172" s="947">
        <f>G1170</f>
        <v>6</v>
      </c>
      <c r="G1172" s="1020"/>
      <c r="H1172" s="1021"/>
      <c r="I1172" s="1019"/>
      <c r="J1172" s="507">
        <f>IF(I1172=0,1,I1172)*IF(H1172=0,1,H1172)*IF(G1172=0,1,G1172)*IF(F1172=0,1,F1172)*IF(E1172=0,1,E1172)*IF(D1172=0,1,D1172)*IF(C1172=0,1,C1172)</f>
        <v>48</v>
      </c>
      <c r="K1172" s="1029"/>
      <c r="L1172" s="1027"/>
      <c r="M1172" s="725"/>
      <c r="N1172" s="725"/>
      <c r="O1172" s="725"/>
      <c r="P1172" s="725"/>
      <c r="Q1172" s="618"/>
      <c r="R1172" s="618"/>
      <c r="S1172" s="618"/>
      <c r="T1172" s="618"/>
      <c r="U1172" s="618"/>
      <c r="V1172" s="641"/>
      <c r="W1172" s="641"/>
      <c r="X1172" s="641"/>
      <c r="Y1172" s="618"/>
      <c r="Z1172" s="618"/>
      <c r="AA1172" s="618"/>
      <c r="AB1172" s="618"/>
      <c r="AC1172" s="620"/>
      <c r="AD1172" s="620"/>
      <c r="AE1172" s="620"/>
      <c r="AF1172" s="471"/>
      <c r="AG1172" s="471"/>
      <c r="AH1172" s="471"/>
      <c r="AI1172" s="471"/>
      <c r="AJ1172" s="471"/>
      <c r="AK1172" s="425"/>
      <c r="AL1172" s="425"/>
      <c r="AM1172" s="425"/>
      <c r="AN1172" s="425"/>
      <c r="AO1172" s="425"/>
      <c r="AR1172" s="425"/>
      <c r="AU1172" s="425"/>
      <c r="AV1172" s="425"/>
    </row>
    <row r="1173" spans="1:48" s="393" customFormat="1" ht="22.25" customHeight="1">
      <c r="A1173" s="1017"/>
      <c r="B1173" s="1022" t="s">
        <v>859</v>
      </c>
      <c r="C1173" s="664">
        <f>D1171/2</f>
        <v>3</v>
      </c>
      <c r="D1173" s="664">
        <f>D1172/2</f>
        <v>4</v>
      </c>
      <c r="E1173" s="1019">
        <f>E1172</f>
        <v>1</v>
      </c>
      <c r="F1173" s="947">
        <f>(2+10)/2</f>
        <v>6</v>
      </c>
      <c r="G1173" s="1020"/>
      <c r="H1173" s="1021"/>
      <c r="I1173" s="1019"/>
      <c r="J1173" s="507">
        <f>IF(I1173=0,1,I1173)*IF(H1173=0,1,H1173)*IF(G1173=0,1,G1173)*IF(F1173=0,1,F1173)*IF(E1173=0,1,E1173)*IF(D1173=0,1,D1173)*IF(C1173=0,1,C1173)</f>
        <v>72</v>
      </c>
      <c r="K1173" s="1029"/>
      <c r="L1173" s="1027"/>
      <c r="M1173" s="725"/>
      <c r="N1173" s="725"/>
      <c r="O1173" s="725"/>
      <c r="P1173" s="725"/>
      <c r="Q1173" s="618"/>
      <c r="R1173" s="618"/>
      <c r="S1173" s="618"/>
      <c r="T1173" s="618"/>
      <c r="U1173" s="618"/>
      <c r="V1173" s="641"/>
      <c r="W1173" s="641"/>
      <c r="X1173" s="641"/>
      <c r="Y1173" s="618"/>
      <c r="Z1173" s="618"/>
      <c r="AA1173" s="618"/>
      <c r="AB1173" s="618"/>
      <c r="AC1173" s="620"/>
      <c r="AD1173" s="620"/>
      <c r="AE1173" s="620"/>
      <c r="AF1173" s="471"/>
      <c r="AG1173" s="471"/>
      <c r="AH1173" s="471"/>
      <c r="AI1173" s="471"/>
      <c r="AJ1173" s="471"/>
      <c r="AK1173" s="425"/>
      <c r="AL1173" s="425"/>
      <c r="AM1173" s="425"/>
      <c r="AN1173" s="425"/>
      <c r="AO1173" s="425"/>
      <c r="AR1173" s="425"/>
      <c r="AU1173" s="425"/>
      <c r="AV1173" s="425"/>
    </row>
    <row r="1174" spans="1:48" s="393" customFormat="1" ht="22.25" customHeight="1">
      <c r="A1174" s="1017"/>
      <c r="B1174" s="1028" t="s">
        <v>167</v>
      </c>
      <c r="C1174" s="664"/>
      <c r="D1174" s="664"/>
      <c r="E1174" s="1019">
        <v>1</v>
      </c>
      <c r="F1174" s="947">
        <v>15</v>
      </c>
      <c r="G1174" s="1020">
        <v>7.5</v>
      </c>
      <c r="H1174" s="1021"/>
      <c r="I1174" s="1019"/>
      <c r="J1174" s="514"/>
      <c r="K1174" s="1029"/>
      <c r="L1174" s="1027"/>
      <c r="M1174" s="725"/>
      <c r="N1174" s="725"/>
      <c r="O1174" s="725"/>
      <c r="P1174" s="725"/>
      <c r="Q1174" s="618"/>
      <c r="R1174" s="618"/>
      <c r="S1174" s="618"/>
      <c r="T1174" s="618"/>
      <c r="U1174" s="618"/>
      <c r="V1174" s="641"/>
      <c r="W1174" s="641"/>
      <c r="X1174" s="641"/>
      <c r="Y1174" s="618"/>
      <c r="Z1174" s="618"/>
      <c r="AA1174" s="618"/>
      <c r="AB1174" s="618"/>
      <c r="AC1174" s="620"/>
      <c r="AD1174" s="620"/>
      <c r="AE1174" s="620"/>
      <c r="AF1174" s="471"/>
      <c r="AG1174" s="471"/>
      <c r="AH1174" s="471"/>
      <c r="AI1174" s="471"/>
      <c r="AJ1174" s="471"/>
      <c r="AK1174" s="425"/>
      <c r="AL1174" s="425"/>
      <c r="AM1174" s="425"/>
      <c r="AN1174" s="425"/>
      <c r="AO1174" s="425"/>
      <c r="AR1174" s="425"/>
      <c r="AU1174" s="425"/>
      <c r="AV1174" s="425"/>
    </row>
    <row r="1175" spans="1:48" s="393" customFormat="1" ht="22.25" customHeight="1">
      <c r="A1175" s="1017"/>
      <c r="B1175" s="1022" t="s">
        <v>852</v>
      </c>
      <c r="C1175" s="664"/>
      <c r="D1175" s="664">
        <f>ROUNDDOWN((G1174/1.17),0)+ROUNDDOWN(G1174/4,0)</f>
        <v>7</v>
      </c>
      <c r="E1175" s="1019">
        <f>E1174</f>
        <v>1</v>
      </c>
      <c r="F1175" s="947">
        <f>F1174</f>
        <v>15</v>
      </c>
      <c r="G1175" s="1020"/>
      <c r="H1175" s="1021"/>
      <c r="I1175" s="1019"/>
      <c r="J1175" s="507">
        <f>IF(I1175=0,1,I1175)*IF(H1175=0,1,H1175)*IF(G1175=0,1,G1175)*IF(F1175=0,1,F1175)*IF(E1175=0,1,E1175)*IF(D1175=0,1,D1175)*IF(C1175=0,1,C1175)</f>
        <v>105</v>
      </c>
      <c r="K1175" s="1029"/>
      <c r="L1175" s="1027"/>
      <c r="M1175" s="725"/>
      <c r="N1175" s="725"/>
      <c r="O1175" s="725"/>
      <c r="P1175" s="725"/>
      <c r="Q1175" s="618"/>
      <c r="R1175" s="618"/>
      <c r="S1175" s="618"/>
      <c r="T1175" s="618"/>
      <c r="U1175" s="618"/>
      <c r="V1175" s="641"/>
      <c r="W1175" s="641"/>
      <c r="X1175" s="641"/>
      <c r="Y1175" s="618"/>
      <c r="Z1175" s="618"/>
      <c r="AA1175" s="618"/>
      <c r="AB1175" s="618"/>
      <c r="AC1175" s="620"/>
      <c r="AD1175" s="620"/>
      <c r="AE1175" s="620"/>
      <c r="AF1175" s="471"/>
      <c r="AG1175" s="471"/>
      <c r="AH1175" s="471"/>
      <c r="AI1175" s="471"/>
      <c r="AJ1175" s="471"/>
      <c r="AK1175" s="425"/>
      <c r="AL1175" s="425"/>
      <c r="AM1175" s="425"/>
      <c r="AN1175" s="425"/>
      <c r="AO1175" s="425"/>
      <c r="AR1175" s="425"/>
      <c r="AU1175" s="425"/>
      <c r="AV1175" s="425"/>
    </row>
    <row r="1176" spans="1:48" s="393" customFormat="1" ht="22.25" customHeight="1">
      <c r="A1176" s="1017"/>
      <c r="B1176" s="1022"/>
      <c r="C1176" s="664"/>
      <c r="D1176" s="664">
        <f>ROUNDDOWN((F1174/2),0)+ROUNDDOWN(F1174/8,0)</f>
        <v>8</v>
      </c>
      <c r="E1176" s="1019">
        <f>E1175</f>
        <v>1</v>
      </c>
      <c r="F1176" s="947">
        <f>G1174</f>
        <v>7.5</v>
      </c>
      <c r="G1176" s="1020"/>
      <c r="H1176" s="1021"/>
      <c r="I1176" s="1019"/>
      <c r="J1176" s="507">
        <f>IF(I1176=0,1,I1176)*IF(H1176=0,1,H1176)*IF(G1176=0,1,G1176)*IF(F1176=0,1,F1176)*IF(E1176=0,1,E1176)*IF(D1176=0,1,D1176)*IF(C1176=0,1,C1176)</f>
        <v>60</v>
      </c>
      <c r="K1176" s="1029"/>
      <c r="L1176" s="1027"/>
      <c r="M1176" s="725"/>
      <c r="N1176" s="725"/>
      <c r="O1176" s="725"/>
      <c r="P1176" s="725"/>
      <c r="Q1176" s="618"/>
      <c r="R1176" s="618"/>
      <c r="S1176" s="618"/>
      <c r="T1176" s="618"/>
      <c r="U1176" s="618"/>
      <c r="V1176" s="641"/>
      <c r="W1176" s="641"/>
      <c r="X1176" s="641"/>
      <c r="Y1176" s="618"/>
      <c r="Z1176" s="618"/>
      <c r="AA1176" s="618"/>
      <c r="AB1176" s="618"/>
      <c r="AC1176" s="620"/>
      <c r="AD1176" s="620"/>
      <c r="AE1176" s="620"/>
      <c r="AF1176" s="471"/>
      <c r="AG1176" s="471"/>
      <c r="AH1176" s="471"/>
      <c r="AI1176" s="471"/>
      <c r="AJ1176" s="471"/>
      <c r="AK1176" s="425"/>
      <c r="AL1176" s="425"/>
      <c r="AM1176" s="425"/>
      <c r="AN1176" s="425"/>
      <c r="AO1176" s="425"/>
      <c r="AR1176" s="425"/>
      <c r="AU1176" s="425"/>
      <c r="AV1176" s="425"/>
    </row>
    <row r="1177" spans="1:48" s="393" customFormat="1" ht="22.25" customHeight="1">
      <c r="A1177" s="1017"/>
      <c r="B1177" s="1022" t="s">
        <v>859</v>
      </c>
      <c r="C1177" s="664">
        <f>D1175/2</f>
        <v>3.5</v>
      </c>
      <c r="D1177" s="664">
        <f>D1176/2</f>
        <v>4</v>
      </c>
      <c r="E1177" s="1019">
        <f>E1176</f>
        <v>1</v>
      </c>
      <c r="F1177" s="947">
        <f>(2+10)/2</f>
        <v>6</v>
      </c>
      <c r="G1177" s="1020"/>
      <c r="H1177" s="1021"/>
      <c r="I1177" s="1019"/>
      <c r="J1177" s="507">
        <f>IF(I1177=0,1,I1177)*IF(H1177=0,1,H1177)*IF(G1177=0,1,G1177)*IF(F1177=0,1,F1177)*IF(E1177=0,1,E1177)*IF(D1177=0,1,D1177)*IF(C1177=0,1,C1177)</f>
        <v>84</v>
      </c>
      <c r="K1177" s="1029"/>
      <c r="L1177" s="1027"/>
      <c r="M1177" s="725"/>
      <c r="N1177" s="725"/>
      <c r="O1177" s="725"/>
      <c r="P1177" s="725"/>
      <c r="Q1177" s="618"/>
      <c r="R1177" s="618"/>
      <c r="S1177" s="618"/>
      <c r="T1177" s="618"/>
      <c r="U1177" s="618"/>
      <c r="V1177" s="641"/>
      <c r="W1177" s="641"/>
      <c r="X1177" s="641"/>
      <c r="Y1177" s="618"/>
      <c r="Z1177" s="618"/>
      <c r="AA1177" s="618"/>
      <c r="AB1177" s="618"/>
      <c r="AC1177" s="620"/>
      <c r="AD1177" s="620"/>
      <c r="AE1177" s="620"/>
      <c r="AF1177" s="471"/>
      <c r="AG1177" s="471"/>
      <c r="AH1177" s="471"/>
      <c r="AI1177" s="471"/>
      <c r="AJ1177" s="471"/>
      <c r="AK1177" s="425"/>
      <c r="AL1177" s="425"/>
      <c r="AM1177" s="425"/>
      <c r="AN1177" s="425"/>
      <c r="AO1177" s="425"/>
      <c r="AR1177" s="425"/>
      <c r="AU1177" s="425"/>
      <c r="AV1177" s="425"/>
    </row>
    <row r="1178" spans="1:48" s="393" customFormat="1" ht="22.25" customHeight="1">
      <c r="A1178" s="1017"/>
      <c r="B1178" s="1028" t="s">
        <v>856</v>
      </c>
      <c r="C1178" s="664"/>
      <c r="D1178" s="664"/>
      <c r="E1178" s="1019">
        <v>2</v>
      </c>
      <c r="F1178" s="947">
        <v>15</v>
      </c>
      <c r="G1178" s="1020">
        <v>14.5</v>
      </c>
      <c r="H1178" s="1021"/>
      <c r="I1178" s="1019"/>
      <c r="J1178" s="514"/>
      <c r="K1178" s="1029"/>
      <c r="L1178" s="1027"/>
      <c r="M1178" s="725"/>
      <c r="N1178" s="725"/>
      <c r="O1178" s="725"/>
      <c r="P1178" s="725"/>
      <c r="Q1178" s="618"/>
      <c r="R1178" s="618"/>
      <c r="S1178" s="618"/>
      <c r="T1178" s="618"/>
      <c r="U1178" s="618"/>
      <c r="V1178" s="641"/>
      <c r="W1178" s="641"/>
      <c r="X1178" s="641"/>
      <c r="Y1178" s="618"/>
      <c r="Z1178" s="618"/>
      <c r="AA1178" s="618"/>
      <c r="AB1178" s="618"/>
      <c r="AC1178" s="620"/>
      <c r="AD1178" s="620"/>
      <c r="AE1178" s="620"/>
      <c r="AF1178" s="471"/>
      <c r="AG1178" s="471"/>
      <c r="AH1178" s="471"/>
      <c r="AI1178" s="471"/>
      <c r="AJ1178" s="471"/>
      <c r="AK1178" s="425"/>
      <c r="AL1178" s="425"/>
      <c r="AM1178" s="425"/>
      <c r="AN1178" s="425"/>
      <c r="AO1178" s="425"/>
      <c r="AR1178" s="425"/>
      <c r="AU1178" s="425"/>
      <c r="AV1178" s="425"/>
    </row>
    <row r="1179" spans="1:48" s="393" customFormat="1" ht="22.25" customHeight="1">
      <c r="A1179" s="1017"/>
      <c r="B1179" s="1022" t="s">
        <v>852</v>
      </c>
      <c r="C1179" s="664"/>
      <c r="D1179" s="664">
        <f>ROUNDDOWN((G1178/1.17),0)+ROUNDDOWN(G1178/4,0)</f>
        <v>15</v>
      </c>
      <c r="E1179" s="1019">
        <f>E1178</f>
        <v>2</v>
      </c>
      <c r="F1179" s="947">
        <f>F1178</f>
        <v>15</v>
      </c>
      <c r="G1179" s="1020"/>
      <c r="H1179" s="1021"/>
      <c r="I1179" s="1019"/>
      <c r="J1179" s="507">
        <f>IF(I1179=0,1,I1179)*IF(H1179=0,1,H1179)*IF(G1179=0,1,G1179)*IF(F1179=0,1,F1179)*IF(E1179=0,1,E1179)*IF(D1179=0,1,D1179)*IF(C1179=0,1,C1179)</f>
        <v>450</v>
      </c>
      <c r="K1179" s="1029"/>
      <c r="L1179" s="1027"/>
      <c r="M1179" s="725"/>
      <c r="N1179" s="725"/>
      <c r="O1179" s="725"/>
      <c r="P1179" s="725"/>
      <c r="Q1179" s="618"/>
      <c r="R1179" s="618"/>
      <c r="S1179" s="618"/>
      <c r="T1179" s="618"/>
      <c r="U1179" s="618"/>
      <c r="V1179" s="641"/>
      <c r="W1179" s="641"/>
      <c r="X1179" s="641"/>
      <c r="Y1179" s="618"/>
      <c r="Z1179" s="618"/>
      <c r="AA1179" s="618"/>
      <c r="AB1179" s="618"/>
      <c r="AC1179" s="620"/>
      <c r="AD1179" s="620"/>
      <c r="AE1179" s="620"/>
      <c r="AF1179" s="471"/>
      <c r="AG1179" s="471"/>
      <c r="AH1179" s="471"/>
      <c r="AI1179" s="471"/>
      <c r="AJ1179" s="471"/>
      <c r="AK1179" s="425"/>
      <c r="AL1179" s="425"/>
      <c r="AM1179" s="425"/>
      <c r="AN1179" s="425"/>
      <c r="AO1179" s="425"/>
      <c r="AR1179" s="425"/>
      <c r="AU1179" s="425"/>
      <c r="AV1179" s="425"/>
    </row>
    <row r="1180" spans="1:48" s="393" customFormat="1" ht="22.25" customHeight="1">
      <c r="A1180" s="1017"/>
      <c r="B1180" s="1022"/>
      <c r="C1180" s="664"/>
      <c r="D1180" s="664">
        <f>ROUNDDOWN((F1178/2),0)+ROUNDDOWN(F1178/8,0)</f>
        <v>8</v>
      </c>
      <c r="E1180" s="1019">
        <f>E1179</f>
        <v>2</v>
      </c>
      <c r="F1180" s="947">
        <f>G1178</f>
        <v>14.5</v>
      </c>
      <c r="G1180" s="1020"/>
      <c r="H1180" s="1021"/>
      <c r="I1180" s="1019"/>
      <c r="J1180" s="507">
        <f>IF(I1180=0,1,I1180)*IF(H1180=0,1,H1180)*IF(G1180=0,1,G1180)*IF(F1180=0,1,F1180)*IF(E1180=0,1,E1180)*IF(D1180=0,1,D1180)*IF(C1180=0,1,C1180)</f>
        <v>232</v>
      </c>
      <c r="K1180" s="1029"/>
      <c r="L1180" s="1027"/>
      <c r="M1180" s="725"/>
      <c r="N1180" s="725"/>
      <c r="O1180" s="725"/>
      <c r="P1180" s="725"/>
      <c r="Q1180" s="618"/>
      <c r="R1180" s="618"/>
      <c r="S1180" s="618"/>
      <c r="T1180" s="618"/>
      <c r="U1180" s="618"/>
      <c r="V1180" s="641"/>
      <c r="W1180" s="641"/>
      <c r="X1180" s="641"/>
      <c r="Y1180" s="618"/>
      <c r="Z1180" s="618"/>
      <c r="AA1180" s="618"/>
      <c r="AB1180" s="618"/>
      <c r="AC1180" s="620"/>
      <c r="AD1180" s="620"/>
      <c r="AE1180" s="620"/>
      <c r="AF1180" s="471"/>
      <c r="AG1180" s="471"/>
      <c r="AH1180" s="471"/>
      <c r="AI1180" s="471"/>
      <c r="AJ1180" s="471"/>
      <c r="AK1180" s="425"/>
      <c r="AL1180" s="425"/>
      <c r="AM1180" s="425"/>
      <c r="AN1180" s="425"/>
      <c r="AO1180" s="425"/>
      <c r="AR1180" s="425"/>
      <c r="AU1180" s="425"/>
      <c r="AV1180" s="425"/>
    </row>
    <row r="1181" spans="1:48" s="393" customFormat="1" ht="22.25" customHeight="1">
      <c r="A1181" s="1017"/>
      <c r="B1181" s="1022" t="s">
        <v>859</v>
      </c>
      <c r="C1181" s="664">
        <f>D1179/2</f>
        <v>7.5</v>
      </c>
      <c r="D1181" s="664">
        <f>D1180/2</f>
        <v>4</v>
      </c>
      <c r="E1181" s="1019">
        <f>E1180</f>
        <v>2</v>
      </c>
      <c r="F1181" s="947">
        <f>(2+10)/2</f>
        <v>6</v>
      </c>
      <c r="G1181" s="1020"/>
      <c r="H1181" s="1021"/>
      <c r="I1181" s="1019"/>
      <c r="J1181" s="507">
        <f>IF(I1181=0,1,I1181)*IF(H1181=0,1,H1181)*IF(G1181=0,1,G1181)*IF(F1181=0,1,F1181)*IF(E1181=0,1,E1181)*IF(D1181=0,1,D1181)*IF(C1181=0,1,C1181)</f>
        <v>360</v>
      </c>
      <c r="K1181" s="1029"/>
      <c r="L1181" s="1027"/>
      <c r="M1181" s="725"/>
      <c r="N1181" s="725"/>
      <c r="O1181" s="725"/>
      <c r="P1181" s="725"/>
      <c r="Q1181" s="618"/>
      <c r="R1181" s="618"/>
      <c r="S1181" s="618"/>
      <c r="T1181" s="618"/>
      <c r="U1181" s="618"/>
      <c r="V1181" s="641"/>
      <c r="W1181" s="641"/>
      <c r="X1181" s="641"/>
      <c r="Y1181" s="618"/>
      <c r="Z1181" s="618"/>
      <c r="AA1181" s="618"/>
      <c r="AB1181" s="618"/>
      <c r="AC1181" s="620"/>
      <c r="AD1181" s="620"/>
      <c r="AE1181" s="620"/>
      <c r="AF1181" s="471"/>
      <c r="AG1181" s="471"/>
      <c r="AH1181" s="471"/>
      <c r="AI1181" s="471"/>
      <c r="AJ1181" s="471"/>
      <c r="AK1181" s="425"/>
      <c r="AL1181" s="425"/>
      <c r="AM1181" s="425"/>
      <c r="AN1181" s="425"/>
      <c r="AO1181" s="425"/>
      <c r="AR1181" s="425"/>
      <c r="AU1181" s="425"/>
      <c r="AV1181" s="425"/>
    </row>
    <row r="1182" spans="1:48" s="393" customFormat="1" ht="22.25" customHeight="1">
      <c r="A1182" s="1017"/>
      <c r="B1182" s="1028" t="s">
        <v>857</v>
      </c>
      <c r="C1182" s="664"/>
      <c r="D1182" s="664"/>
      <c r="E1182" s="1019">
        <v>1</v>
      </c>
      <c r="F1182" s="947">
        <v>15</v>
      </c>
      <c r="G1182" s="1020">
        <v>14.5</v>
      </c>
      <c r="H1182" s="1021"/>
      <c r="I1182" s="1019"/>
      <c r="J1182" s="514"/>
      <c r="K1182" s="1029"/>
      <c r="L1182" s="1027"/>
      <c r="M1182" s="725"/>
      <c r="N1182" s="725"/>
      <c r="O1182" s="725"/>
      <c r="P1182" s="725"/>
      <c r="Q1182" s="618"/>
      <c r="R1182" s="618"/>
      <c r="S1182" s="618"/>
      <c r="T1182" s="618"/>
      <c r="U1182" s="618"/>
      <c r="V1182" s="641"/>
      <c r="W1182" s="641"/>
      <c r="X1182" s="641"/>
      <c r="Y1182" s="618"/>
      <c r="Z1182" s="618"/>
      <c r="AA1182" s="618"/>
      <c r="AB1182" s="618"/>
      <c r="AC1182" s="620"/>
      <c r="AD1182" s="620"/>
      <c r="AE1182" s="620"/>
      <c r="AF1182" s="471"/>
      <c r="AG1182" s="471"/>
      <c r="AH1182" s="471"/>
      <c r="AI1182" s="471"/>
      <c r="AJ1182" s="471"/>
      <c r="AK1182" s="425"/>
      <c r="AL1182" s="425"/>
      <c r="AM1182" s="425"/>
      <c r="AN1182" s="425"/>
      <c r="AO1182" s="425"/>
      <c r="AR1182" s="425"/>
      <c r="AU1182" s="425"/>
      <c r="AV1182" s="425"/>
    </row>
    <row r="1183" spans="1:48" s="393" customFormat="1" ht="22.25" customHeight="1">
      <c r="A1183" s="1017"/>
      <c r="B1183" s="1022" t="s">
        <v>852</v>
      </c>
      <c r="C1183" s="664"/>
      <c r="D1183" s="664">
        <f>ROUNDDOWN((G1182/1.17),0)+ROUNDDOWN(G1182/4,0)</f>
        <v>15</v>
      </c>
      <c r="E1183" s="1019">
        <f>E1182</f>
        <v>1</v>
      </c>
      <c r="F1183" s="947">
        <f>F1182</f>
        <v>15</v>
      </c>
      <c r="G1183" s="1020"/>
      <c r="H1183" s="1021"/>
      <c r="I1183" s="1019"/>
      <c r="J1183" s="507">
        <f>IF(I1183=0,1,I1183)*IF(H1183=0,1,H1183)*IF(G1183=0,1,G1183)*IF(F1183=0,1,F1183)*IF(E1183=0,1,E1183)*IF(D1183=0,1,D1183)*IF(C1183=0,1,C1183)</f>
        <v>225</v>
      </c>
      <c r="K1183" s="1029"/>
      <c r="L1183" s="1027"/>
      <c r="M1183" s="725"/>
      <c r="N1183" s="725"/>
      <c r="O1183" s="725"/>
      <c r="P1183" s="725"/>
      <c r="Q1183" s="618"/>
      <c r="R1183" s="618"/>
      <c r="S1183" s="618"/>
      <c r="T1183" s="618"/>
      <c r="U1183" s="618"/>
      <c r="V1183" s="641"/>
      <c r="W1183" s="641"/>
      <c r="X1183" s="641"/>
      <c r="Y1183" s="618"/>
      <c r="Z1183" s="618"/>
      <c r="AA1183" s="618"/>
      <c r="AB1183" s="618"/>
      <c r="AC1183" s="620"/>
      <c r="AD1183" s="620"/>
      <c r="AE1183" s="620"/>
      <c r="AF1183" s="471"/>
      <c r="AG1183" s="471"/>
      <c r="AH1183" s="471"/>
      <c r="AI1183" s="471"/>
      <c r="AJ1183" s="471"/>
      <c r="AK1183" s="425"/>
      <c r="AL1183" s="425"/>
      <c r="AM1183" s="425"/>
      <c r="AN1183" s="425"/>
      <c r="AO1183" s="425"/>
      <c r="AR1183" s="425"/>
      <c r="AU1183" s="425"/>
      <c r="AV1183" s="425"/>
    </row>
    <row r="1184" spans="1:48" s="393" customFormat="1" ht="22.25" customHeight="1">
      <c r="A1184" s="1017"/>
      <c r="B1184" s="1022"/>
      <c r="C1184" s="664"/>
      <c r="D1184" s="664">
        <f>ROUNDDOWN((F1182/2),0)+ROUNDDOWN(F1182/8,0)</f>
        <v>8</v>
      </c>
      <c r="E1184" s="1019">
        <f>E1183</f>
        <v>1</v>
      </c>
      <c r="F1184" s="947">
        <f>G1182</f>
        <v>14.5</v>
      </c>
      <c r="G1184" s="1020"/>
      <c r="H1184" s="1021"/>
      <c r="I1184" s="1019"/>
      <c r="J1184" s="507">
        <f>IF(I1184=0,1,I1184)*IF(H1184=0,1,H1184)*IF(G1184=0,1,G1184)*IF(F1184=0,1,F1184)*IF(E1184=0,1,E1184)*IF(D1184=0,1,D1184)*IF(C1184=0,1,C1184)</f>
        <v>116</v>
      </c>
      <c r="K1184" s="1029"/>
      <c r="L1184" s="1027"/>
      <c r="M1184" s="725"/>
      <c r="N1184" s="725"/>
      <c r="O1184" s="725"/>
      <c r="P1184" s="725"/>
      <c r="Q1184" s="618"/>
      <c r="R1184" s="618"/>
      <c r="S1184" s="618"/>
      <c r="T1184" s="618"/>
      <c r="U1184" s="618"/>
      <c r="V1184" s="641"/>
      <c r="W1184" s="641"/>
      <c r="X1184" s="641"/>
      <c r="Y1184" s="618"/>
      <c r="Z1184" s="618"/>
      <c r="AA1184" s="618"/>
      <c r="AB1184" s="618"/>
      <c r="AC1184" s="620"/>
      <c r="AD1184" s="620"/>
      <c r="AE1184" s="620"/>
      <c r="AF1184" s="471"/>
      <c r="AG1184" s="471"/>
      <c r="AH1184" s="471"/>
      <c r="AI1184" s="471"/>
      <c r="AJ1184" s="471"/>
      <c r="AK1184" s="425"/>
      <c r="AL1184" s="425"/>
      <c r="AM1184" s="425"/>
      <c r="AN1184" s="425"/>
      <c r="AO1184" s="425"/>
      <c r="AR1184" s="425"/>
      <c r="AU1184" s="425"/>
      <c r="AV1184" s="425"/>
    </row>
    <row r="1185" spans="1:48" s="393" customFormat="1" ht="22.25" customHeight="1">
      <c r="A1185" s="1017"/>
      <c r="B1185" s="1022" t="s">
        <v>859</v>
      </c>
      <c r="C1185" s="664">
        <f>D1183/2</f>
        <v>7.5</v>
      </c>
      <c r="D1185" s="664">
        <f>D1184/2</f>
        <v>4</v>
      </c>
      <c r="E1185" s="1019">
        <f>E1184</f>
        <v>1</v>
      </c>
      <c r="F1185" s="947">
        <f>(2+10)/2</f>
        <v>6</v>
      </c>
      <c r="G1185" s="1020"/>
      <c r="H1185" s="1021"/>
      <c r="I1185" s="1019"/>
      <c r="J1185" s="507">
        <f>IF(I1185=0,1,I1185)*IF(H1185=0,1,H1185)*IF(G1185=0,1,G1185)*IF(F1185=0,1,F1185)*IF(E1185=0,1,E1185)*IF(D1185=0,1,D1185)*IF(C1185=0,1,C1185)</f>
        <v>180</v>
      </c>
      <c r="K1185" s="1029"/>
      <c r="L1185" s="1027"/>
      <c r="M1185" s="725"/>
      <c r="N1185" s="725"/>
      <c r="O1185" s="725"/>
      <c r="P1185" s="725"/>
      <c r="Q1185" s="618"/>
      <c r="R1185" s="618"/>
      <c r="S1185" s="618"/>
      <c r="T1185" s="618"/>
      <c r="U1185" s="618"/>
      <c r="V1185" s="641"/>
      <c r="W1185" s="641"/>
      <c r="X1185" s="641"/>
      <c r="Y1185" s="618"/>
      <c r="Z1185" s="618"/>
      <c r="AA1185" s="618"/>
      <c r="AB1185" s="618"/>
      <c r="AC1185" s="620"/>
      <c r="AD1185" s="620"/>
      <c r="AE1185" s="620"/>
      <c r="AF1185" s="471"/>
      <c r="AG1185" s="471"/>
      <c r="AH1185" s="471"/>
      <c r="AI1185" s="471"/>
      <c r="AJ1185" s="471"/>
      <c r="AK1185" s="425"/>
      <c r="AL1185" s="425"/>
      <c r="AM1185" s="425"/>
      <c r="AN1185" s="425"/>
      <c r="AO1185" s="425"/>
      <c r="AR1185" s="425"/>
      <c r="AU1185" s="425"/>
      <c r="AV1185" s="425"/>
    </row>
    <row r="1186" spans="1:48" s="393" customFormat="1" ht="22.25" customHeight="1">
      <c r="A1186" s="1017"/>
      <c r="B1186" s="1028" t="s">
        <v>858</v>
      </c>
      <c r="C1186" s="664"/>
      <c r="D1186" s="664"/>
      <c r="E1186" s="1019">
        <v>1</v>
      </c>
      <c r="F1186" s="947">
        <v>9.5</v>
      </c>
      <c r="G1186" s="1020">
        <v>5</v>
      </c>
      <c r="H1186" s="1021"/>
      <c r="I1186" s="1019"/>
      <c r="J1186" s="514"/>
      <c r="K1186" s="1029"/>
      <c r="L1186" s="1027"/>
      <c r="M1186" s="725"/>
      <c r="N1186" s="725"/>
      <c r="O1186" s="725"/>
      <c r="P1186" s="725"/>
      <c r="Q1186" s="618"/>
      <c r="R1186" s="618"/>
      <c r="S1186" s="618"/>
      <c r="T1186" s="618"/>
      <c r="U1186" s="618"/>
      <c r="V1186" s="641"/>
      <c r="W1186" s="641"/>
      <c r="X1186" s="641"/>
      <c r="Y1186" s="618"/>
      <c r="Z1186" s="618"/>
      <c r="AA1186" s="618"/>
      <c r="AB1186" s="618"/>
      <c r="AC1186" s="620"/>
      <c r="AD1186" s="620"/>
      <c r="AE1186" s="620"/>
      <c r="AF1186" s="471"/>
      <c r="AG1186" s="471"/>
      <c r="AH1186" s="471"/>
      <c r="AI1186" s="471"/>
      <c r="AJ1186" s="471"/>
      <c r="AK1186" s="425"/>
      <c r="AL1186" s="425"/>
      <c r="AM1186" s="425"/>
      <c r="AN1186" s="425"/>
      <c r="AO1186" s="425"/>
      <c r="AR1186" s="425"/>
      <c r="AU1186" s="425"/>
      <c r="AV1186" s="425"/>
    </row>
    <row r="1187" spans="1:48" s="393" customFormat="1" ht="22.25" customHeight="1">
      <c r="A1187" s="1017"/>
      <c r="B1187" s="1022" t="s">
        <v>852</v>
      </c>
      <c r="C1187" s="664"/>
      <c r="D1187" s="664">
        <f>ROUNDDOWN((G1186/1.17),0)+ROUNDDOWN(G1186/4,0)</f>
        <v>5</v>
      </c>
      <c r="E1187" s="1019">
        <f>E1186</f>
        <v>1</v>
      </c>
      <c r="F1187" s="947">
        <f>F1186</f>
        <v>9.5</v>
      </c>
      <c r="G1187" s="1020"/>
      <c r="H1187" s="1021"/>
      <c r="I1187" s="1019"/>
      <c r="J1187" s="507">
        <f>IF(I1187=0,1,I1187)*IF(H1187=0,1,H1187)*IF(G1187=0,1,G1187)*IF(F1187=0,1,F1187)*IF(E1187=0,1,E1187)*IF(D1187=0,1,D1187)*IF(C1187=0,1,C1187)</f>
        <v>47.5</v>
      </c>
      <c r="K1187" s="1029"/>
      <c r="L1187" s="1027"/>
      <c r="M1187" s="725"/>
      <c r="N1187" s="725"/>
      <c r="O1187" s="725"/>
      <c r="P1187" s="725"/>
      <c r="Q1187" s="618"/>
      <c r="R1187" s="618"/>
      <c r="S1187" s="618"/>
      <c r="T1187" s="618"/>
      <c r="U1187" s="618"/>
      <c r="V1187" s="641"/>
      <c r="W1187" s="641"/>
      <c r="X1187" s="641"/>
      <c r="Y1187" s="618"/>
      <c r="Z1187" s="618"/>
      <c r="AA1187" s="618"/>
      <c r="AB1187" s="618"/>
      <c r="AC1187" s="620"/>
      <c r="AD1187" s="620"/>
      <c r="AE1187" s="620"/>
      <c r="AF1187" s="471"/>
      <c r="AG1187" s="471"/>
      <c r="AH1187" s="471"/>
      <c r="AI1187" s="471"/>
      <c r="AJ1187" s="471"/>
      <c r="AK1187" s="425"/>
      <c r="AL1187" s="425"/>
      <c r="AM1187" s="425"/>
      <c r="AN1187" s="425"/>
      <c r="AO1187" s="425"/>
      <c r="AR1187" s="425"/>
      <c r="AU1187" s="425"/>
      <c r="AV1187" s="425"/>
    </row>
    <row r="1188" spans="1:48" s="393" customFormat="1" ht="22.25" customHeight="1">
      <c r="A1188" s="1017"/>
      <c r="B1188" s="1022"/>
      <c r="C1188" s="664"/>
      <c r="D1188" s="664">
        <f>ROUNDDOWN((F1186/2),0)+ROUNDDOWN(F1186/8,0)</f>
        <v>5</v>
      </c>
      <c r="E1188" s="1019">
        <f>E1187</f>
        <v>1</v>
      </c>
      <c r="F1188" s="947">
        <f>G1186</f>
        <v>5</v>
      </c>
      <c r="G1188" s="1020"/>
      <c r="H1188" s="1021"/>
      <c r="I1188" s="1019"/>
      <c r="J1188" s="507">
        <f>IF(I1188=0,1,I1188)*IF(H1188=0,1,H1188)*IF(G1188=0,1,G1188)*IF(F1188=0,1,F1188)*IF(E1188=0,1,E1188)*IF(D1188=0,1,D1188)*IF(C1188=0,1,C1188)</f>
        <v>25</v>
      </c>
      <c r="K1188" s="1029"/>
      <c r="L1188" s="1027"/>
      <c r="M1188" s="725"/>
      <c r="N1188" s="725"/>
      <c r="O1188" s="725"/>
      <c r="P1188" s="725"/>
      <c r="Q1188" s="618"/>
      <c r="R1188" s="618"/>
      <c r="S1188" s="618"/>
      <c r="T1188" s="618"/>
      <c r="U1188" s="618"/>
      <c r="V1188" s="641"/>
      <c r="W1188" s="641"/>
      <c r="X1188" s="641"/>
      <c r="Y1188" s="618"/>
      <c r="Z1188" s="618"/>
      <c r="AA1188" s="618"/>
      <c r="AB1188" s="618"/>
      <c r="AC1188" s="620"/>
      <c r="AD1188" s="620"/>
      <c r="AE1188" s="620"/>
      <c r="AF1188" s="471"/>
      <c r="AG1188" s="471"/>
      <c r="AH1188" s="471"/>
      <c r="AI1188" s="471"/>
      <c r="AJ1188" s="471"/>
      <c r="AK1188" s="425"/>
      <c r="AL1188" s="425"/>
      <c r="AM1188" s="425"/>
      <c r="AN1188" s="425"/>
      <c r="AO1188" s="425"/>
      <c r="AR1188" s="425"/>
      <c r="AU1188" s="425"/>
      <c r="AV1188" s="425"/>
    </row>
    <row r="1189" spans="1:48" s="393" customFormat="1" ht="22.25" customHeight="1">
      <c r="A1189" s="1017"/>
      <c r="B1189" s="1022" t="s">
        <v>859</v>
      </c>
      <c r="C1189" s="664">
        <f>D1187/2</f>
        <v>2.5</v>
      </c>
      <c r="D1189" s="664">
        <f>D1188/2</f>
        <v>2.5</v>
      </c>
      <c r="E1189" s="1019">
        <f>E1188</f>
        <v>1</v>
      </c>
      <c r="F1189" s="947">
        <f>(2+10)/2</f>
        <v>6</v>
      </c>
      <c r="G1189" s="1020"/>
      <c r="H1189" s="1021"/>
      <c r="I1189" s="1019"/>
      <c r="J1189" s="507">
        <f>IF(I1189=0,1,I1189)*IF(H1189=0,1,H1189)*IF(G1189=0,1,G1189)*IF(F1189=0,1,F1189)*IF(E1189=0,1,E1189)*IF(D1189=0,1,D1189)*IF(C1189=0,1,C1189)</f>
        <v>37.5</v>
      </c>
      <c r="K1189" s="1029"/>
      <c r="L1189" s="1027"/>
      <c r="M1189" s="725"/>
      <c r="N1189" s="725"/>
      <c r="O1189" s="725"/>
      <c r="P1189" s="725"/>
      <c r="Q1189" s="618"/>
      <c r="R1189" s="618"/>
      <c r="S1189" s="618"/>
      <c r="T1189" s="618"/>
      <c r="U1189" s="618"/>
      <c r="V1189" s="641"/>
      <c r="W1189" s="641"/>
      <c r="X1189" s="641"/>
      <c r="Y1189" s="618"/>
      <c r="Z1189" s="618"/>
      <c r="AA1189" s="618"/>
      <c r="AB1189" s="618"/>
      <c r="AC1189" s="620"/>
      <c r="AD1189" s="620"/>
      <c r="AE1189" s="620"/>
      <c r="AF1189" s="471"/>
      <c r="AG1189" s="471"/>
      <c r="AH1189" s="471"/>
      <c r="AI1189" s="471"/>
      <c r="AJ1189" s="471"/>
      <c r="AK1189" s="425"/>
      <c r="AL1189" s="425"/>
      <c r="AM1189" s="425"/>
      <c r="AN1189" s="425"/>
      <c r="AO1189" s="425"/>
      <c r="AR1189" s="425"/>
      <c r="AU1189" s="425"/>
      <c r="AV1189" s="425"/>
    </row>
    <row r="1190" spans="1:48" s="393" customFormat="1" ht="22.25" customHeight="1">
      <c r="A1190" s="1017"/>
      <c r="B1190" s="1028" t="s">
        <v>822</v>
      </c>
      <c r="C1190" s="664"/>
      <c r="D1190" s="664"/>
      <c r="E1190" s="1019">
        <v>1</v>
      </c>
      <c r="F1190" s="947">
        <v>204</v>
      </c>
      <c r="G1190" s="1020">
        <v>3</v>
      </c>
      <c r="H1190" s="1021"/>
      <c r="I1190" s="1019"/>
      <c r="J1190" s="514"/>
      <c r="K1190" s="1029"/>
      <c r="L1190" s="1027"/>
      <c r="M1190" s="725"/>
      <c r="N1190" s="725"/>
      <c r="O1190" s="725"/>
      <c r="P1190" s="725"/>
      <c r="Q1190" s="618"/>
      <c r="R1190" s="618"/>
      <c r="S1190" s="618"/>
      <c r="T1190" s="618"/>
      <c r="U1190" s="618"/>
      <c r="V1190" s="641"/>
      <c r="W1190" s="641"/>
      <c r="X1190" s="641"/>
      <c r="Y1190" s="618"/>
      <c r="Z1190" s="618"/>
      <c r="AA1190" s="618"/>
      <c r="AB1190" s="618"/>
      <c r="AC1190" s="620"/>
      <c r="AD1190" s="620"/>
      <c r="AE1190" s="620"/>
      <c r="AF1190" s="471"/>
      <c r="AG1190" s="471"/>
      <c r="AH1190" s="471"/>
      <c r="AI1190" s="471"/>
      <c r="AJ1190" s="471"/>
      <c r="AK1190" s="425"/>
      <c r="AL1190" s="425"/>
      <c r="AM1190" s="425"/>
      <c r="AN1190" s="425"/>
      <c r="AO1190" s="425"/>
      <c r="AR1190" s="425"/>
      <c r="AU1190" s="425"/>
      <c r="AV1190" s="425"/>
    </row>
    <row r="1191" spans="1:48" s="393" customFormat="1" ht="22.25" customHeight="1">
      <c r="A1191" s="1017"/>
      <c r="B1191" s="1022" t="s">
        <v>852</v>
      </c>
      <c r="C1191" s="664"/>
      <c r="D1191" s="664">
        <v>1</v>
      </c>
      <c r="E1191" s="1019">
        <f>E1190</f>
        <v>1</v>
      </c>
      <c r="F1191" s="947">
        <f>F1190</f>
        <v>204</v>
      </c>
      <c r="G1191" s="1020"/>
      <c r="H1191" s="1021"/>
      <c r="I1191" s="1019"/>
      <c r="J1191" s="507">
        <f>IF(I1191=0,1,I1191)*IF(H1191=0,1,H1191)*IF(G1191=0,1,G1191)*IF(F1191=0,1,F1191)*IF(E1191=0,1,E1191)*IF(D1191=0,1,D1191)*IF(C1191=0,1,C1191)</f>
        <v>204</v>
      </c>
      <c r="K1191" s="1029"/>
      <c r="L1191" s="1027"/>
      <c r="M1191" s="725"/>
      <c r="N1191" s="725"/>
      <c r="O1191" s="725"/>
      <c r="P1191" s="725"/>
      <c r="Q1191" s="618"/>
      <c r="R1191" s="618"/>
      <c r="S1191" s="618"/>
      <c r="T1191" s="618"/>
      <c r="U1191" s="618"/>
      <c r="V1191" s="641"/>
      <c r="W1191" s="641"/>
      <c r="X1191" s="641"/>
      <c r="Y1191" s="618"/>
      <c r="Z1191" s="618"/>
      <c r="AA1191" s="618"/>
      <c r="AB1191" s="618"/>
      <c r="AC1191" s="620"/>
      <c r="AD1191" s="620"/>
      <c r="AE1191" s="620"/>
      <c r="AF1191" s="471"/>
      <c r="AG1191" s="471"/>
      <c r="AH1191" s="471"/>
      <c r="AI1191" s="471"/>
      <c r="AJ1191" s="471"/>
      <c r="AK1191" s="425"/>
      <c r="AL1191" s="425"/>
      <c r="AM1191" s="425"/>
      <c r="AN1191" s="425"/>
      <c r="AO1191" s="425"/>
      <c r="AR1191" s="425"/>
      <c r="AU1191" s="425"/>
      <c r="AV1191" s="425"/>
    </row>
    <row r="1192" spans="1:48" s="393" customFormat="1" ht="22.25" customHeight="1">
      <c r="A1192" s="1017"/>
      <c r="B1192" s="1022"/>
      <c r="C1192" s="664"/>
      <c r="D1192" s="664">
        <f>ROUNDDOWN((F1190/2),0)+ROUNDDOWN(F1190/8,0)</f>
        <v>127</v>
      </c>
      <c r="E1192" s="1019">
        <f>E1191</f>
        <v>1</v>
      </c>
      <c r="F1192" s="947">
        <f>G1190</f>
        <v>3</v>
      </c>
      <c r="G1192" s="1020"/>
      <c r="H1192" s="1021"/>
      <c r="I1192" s="1019"/>
      <c r="J1192" s="507">
        <f>IF(I1192=0,1,I1192)*IF(H1192=0,1,H1192)*IF(G1192=0,1,G1192)*IF(F1192=0,1,F1192)*IF(E1192=0,1,E1192)*IF(D1192=0,1,D1192)*IF(C1192=0,1,C1192)</f>
        <v>381</v>
      </c>
      <c r="K1192" s="1029"/>
      <c r="L1192" s="1027"/>
      <c r="M1192" s="725"/>
      <c r="N1192" s="725"/>
      <c r="O1192" s="725"/>
      <c r="P1192" s="725"/>
      <c r="Q1192" s="618"/>
      <c r="R1192" s="618"/>
      <c r="S1192" s="618"/>
      <c r="T1192" s="618"/>
      <c r="U1192" s="618"/>
      <c r="V1192" s="641"/>
      <c r="W1192" s="641"/>
      <c r="X1192" s="641"/>
      <c r="Y1192" s="618"/>
      <c r="Z1192" s="618"/>
      <c r="AA1192" s="618"/>
      <c r="AB1192" s="618"/>
      <c r="AC1192" s="620"/>
      <c r="AD1192" s="620"/>
      <c r="AE1192" s="620"/>
      <c r="AF1192" s="471"/>
      <c r="AG1192" s="471"/>
      <c r="AH1192" s="471"/>
      <c r="AI1192" s="471"/>
      <c r="AJ1192" s="471"/>
      <c r="AK1192" s="425"/>
      <c r="AL1192" s="425"/>
      <c r="AM1192" s="425"/>
      <c r="AN1192" s="425"/>
      <c r="AO1192" s="425"/>
      <c r="AR1192" s="425"/>
      <c r="AU1192" s="425"/>
      <c r="AV1192" s="425"/>
    </row>
    <row r="1193" spans="1:48" s="393" customFormat="1" ht="22.25" customHeight="1">
      <c r="A1193" s="1017"/>
      <c r="B1193" s="1022" t="s">
        <v>859</v>
      </c>
      <c r="C1193" s="664">
        <f>D1191/2</f>
        <v>0.5</v>
      </c>
      <c r="D1193" s="664">
        <f>D1192/2</f>
        <v>63.5</v>
      </c>
      <c r="E1193" s="1019">
        <f>E1192</f>
        <v>1</v>
      </c>
      <c r="F1193" s="947">
        <v>1</v>
      </c>
      <c r="G1193" s="1020"/>
      <c r="H1193" s="1021"/>
      <c r="I1193" s="1019"/>
      <c r="J1193" s="507">
        <f>IF(I1193=0,1,I1193)*IF(H1193=0,1,H1193)*IF(G1193=0,1,G1193)*IF(F1193=0,1,F1193)*IF(E1193=0,1,E1193)*IF(D1193=0,1,D1193)*IF(C1193=0,1,C1193)</f>
        <v>31.75</v>
      </c>
      <c r="K1193" s="1029"/>
      <c r="L1193" s="1027"/>
      <c r="M1193" s="725"/>
      <c r="N1193" s="725"/>
      <c r="O1193" s="725"/>
      <c r="P1193" s="725"/>
      <c r="Q1193" s="618"/>
      <c r="R1193" s="618"/>
      <c r="S1193" s="618"/>
      <c r="T1193" s="618"/>
      <c r="U1193" s="618"/>
      <c r="V1193" s="641"/>
      <c r="W1193" s="641"/>
      <c r="X1193" s="641"/>
      <c r="Y1193" s="618"/>
      <c r="Z1193" s="618"/>
      <c r="AA1193" s="618"/>
      <c r="AB1193" s="618"/>
      <c r="AC1193" s="620"/>
      <c r="AD1193" s="620"/>
      <c r="AE1193" s="620"/>
      <c r="AF1193" s="471"/>
      <c r="AG1193" s="471"/>
      <c r="AH1193" s="471"/>
      <c r="AI1193" s="471"/>
      <c r="AJ1193" s="471"/>
      <c r="AK1193" s="425"/>
      <c r="AL1193" s="425"/>
      <c r="AM1193" s="425"/>
      <c r="AN1193" s="425"/>
      <c r="AO1193" s="425"/>
      <c r="AR1193" s="425"/>
      <c r="AU1193" s="425"/>
      <c r="AV1193" s="425"/>
    </row>
    <row r="1194" spans="1:48" s="393" customFormat="1" ht="22.25" customHeight="1">
      <c r="A1194" s="1017"/>
      <c r="B1194" s="1022"/>
      <c r="C1194" s="664"/>
      <c r="D1194" s="664"/>
      <c r="E1194" s="1019"/>
      <c r="F1194" s="947"/>
      <c r="G1194" s="1020"/>
      <c r="H1194" s="1021"/>
      <c r="I1194" s="1019"/>
      <c r="J1194" s="514"/>
      <c r="K1194" s="1029">
        <f>SUM(J1162:J1194)</f>
        <v>4511.25</v>
      </c>
      <c r="L1194" s="1027" t="s">
        <v>13</v>
      </c>
      <c r="M1194" s="725"/>
      <c r="N1194" s="725"/>
      <c r="O1194" s="725"/>
      <c r="P1194" s="725"/>
      <c r="Q1194" s="618"/>
      <c r="R1194" s="618"/>
      <c r="S1194" s="618"/>
      <c r="T1194" s="618"/>
      <c r="U1194" s="618"/>
      <c r="V1194" s="641"/>
      <c r="W1194" s="641"/>
      <c r="X1194" s="641"/>
      <c r="Y1194" s="618"/>
      <c r="Z1194" s="618"/>
      <c r="AA1194" s="618"/>
      <c r="AB1194" s="618"/>
      <c r="AC1194" s="620"/>
      <c r="AD1194" s="620"/>
      <c r="AE1194" s="620"/>
      <c r="AF1194" s="471"/>
      <c r="AG1194" s="471"/>
      <c r="AH1194" s="471"/>
      <c r="AI1194" s="471"/>
      <c r="AJ1194" s="471"/>
      <c r="AK1194" s="425"/>
      <c r="AL1194" s="425"/>
      <c r="AM1194" s="425"/>
      <c r="AN1194" s="425"/>
      <c r="AO1194" s="425"/>
      <c r="AR1194" s="425"/>
      <c r="AU1194" s="425"/>
      <c r="AV1194" s="425"/>
    </row>
    <row r="1195" spans="1:48" s="393" customFormat="1" ht="22.25" customHeight="1">
      <c r="A1195" s="1017"/>
      <c r="B1195" s="1022"/>
      <c r="C1195" s="664"/>
      <c r="D1195" s="664"/>
      <c r="E1195" s="1019"/>
      <c r="F1195" s="947"/>
      <c r="G1195" s="1020"/>
      <c r="H1195" s="1044"/>
      <c r="I1195" s="1044" t="s">
        <v>696</v>
      </c>
      <c r="J1195" s="514"/>
      <c r="K1195" s="1029">
        <f>K1194*1.05</f>
        <v>4736.8125</v>
      </c>
      <c r="L1195" s="1027" t="s">
        <v>13</v>
      </c>
      <c r="M1195" s="725"/>
      <c r="N1195" s="725"/>
      <c r="O1195" s="725"/>
      <c r="P1195" s="725"/>
      <c r="Q1195" s="618"/>
      <c r="R1195" s="618"/>
      <c r="S1195" s="618"/>
      <c r="T1195" s="618"/>
      <c r="U1195" s="618"/>
      <c r="V1195" s="641"/>
      <c r="W1195" s="641"/>
      <c r="X1195" s="641"/>
      <c r="Y1195" s="618"/>
      <c r="Z1195" s="618"/>
      <c r="AA1195" s="618"/>
      <c r="AB1195" s="618"/>
      <c r="AC1195" s="620"/>
      <c r="AD1195" s="620"/>
      <c r="AE1195" s="620"/>
      <c r="AF1195" s="471"/>
      <c r="AG1195" s="471"/>
      <c r="AH1195" s="471"/>
      <c r="AI1195" s="471"/>
      <c r="AJ1195" s="471"/>
      <c r="AK1195" s="425"/>
      <c r="AL1195" s="425"/>
      <c r="AM1195" s="425"/>
      <c r="AN1195" s="425"/>
      <c r="AO1195" s="425"/>
      <c r="AR1195" s="425"/>
      <c r="AU1195" s="425"/>
      <c r="AV1195" s="425"/>
    </row>
    <row r="1196" spans="1:48" s="393" customFormat="1" ht="22.25" customHeight="1">
      <c r="A1196" s="1017"/>
      <c r="B1196" s="1022"/>
      <c r="C1196" s="664"/>
      <c r="D1196" s="664"/>
      <c r="E1196" s="1019"/>
      <c r="F1196" s="947"/>
      <c r="G1196" s="1020"/>
      <c r="H1196" s="1021"/>
      <c r="I1196" s="1019"/>
      <c r="J1196" s="514"/>
      <c r="K1196" s="1029">
        <f>ROUNDUP(K1195/10,0)</f>
        <v>474</v>
      </c>
      <c r="L1196" s="1027" t="s">
        <v>304</v>
      </c>
      <c r="M1196" s="725"/>
      <c r="N1196" s="725"/>
      <c r="O1196" s="725"/>
      <c r="P1196" s="725"/>
      <c r="Q1196" s="618"/>
      <c r="R1196" s="618"/>
      <c r="S1196" s="618"/>
      <c r="T1196" s="618"/>
      <c r="U1196" s="618"/>
      <c r="V1196" s="641"/>
      <c r="W1196" s="641"/>
      <c r="X1196" s="641"/>
      <c r="Y1196" s="618"/>
      <c r="Z1196" s="618"/>
      <c r="AA1196" s="618"/>
      <c r="AB1196" s="618"/>
      <c r="AC1196" s="620"/>
      <c r="AD1196" s="620"/>
      <c r="AE1196" s="620"/>
      <c r="AF1196" s="471"/>
      <c r="AG1196" s="471"/>
      <c r="AH1196" s="471"/>
      <c r="AI1196" s="471"/>
      <c r="AJ1196" s="471"/>
      <c r="AK1196" s="425"/>
      <c r="AL1196" s="425"/>
      <c r="AM1196" s="425"/>
      <c r="AN1196" s="425"/>
      <c r="AO1196" s="425"/>
      <c r="AR1196" s="425"/>
      <c r="AU1196" s="425"/>
      <c r="AV1196" s="425"/>
    </row>
    <row r="1197" spans="1:48" s="393" customFormat="1" ht="22.25" customHeight="1">
      <c r="A1197" s="1017"/>
      <c r="B1197" s="1022"/>
      <c r="C1197" s="664"/>
      <c r="D1197" s="664"/>
      <c r="E1197" s="1019"/>
      <c r="F1197" s="947"/>
      <c r="G1197" s="1020"/>
      <c r="H1197" s="1021"/>
      <c r="I1197" s="1019"/>
      <c r="J1197" s="514"/>
      <c r="K1197" s="1029"/>
      <c r="L1197" s="1027"/>
      <c r="M1197" s="725"/>
      <c r="N1197" s="725"/>
      <c r="O1197" s="725"/>
      <c r="P1197" s="725"/>
      <c r="Q1197" s="618"/>
      <c r="R1197" s="618"/>
      <c r="S1197" s="618"/>
      <c r="T1197" s="618"/>
      <c r="U1197" s="618"/>
      <c r="V1197" s="641"/>
      <c r="W1197" s="641"/>
      <c r="X1197" s="641"/>
      <c r="Y1197" s="618"/>
      <c r="Z1197" s="618"/>
      <c r="AA1197" s="618"/>
      <c r="AB1197" s="618"/>
      <c r="AC1197" s="620"/>
      <c r="AD1197" s="620"/>
      <c r="AE1197" s="620"/>
      <c r="AF1197" s="471"/>
      <c r="AG1197" s="471"/>
      <c r="AH1197" s="471"/>
      <c r="AI1197" s="471"/>
      <c r="AJ1197" s="471"/>
      <c r="AK1197" s="425"/>
      <c r="AL1197" s="425"/>
      <c r="AM1197" s="425"/>
      <c r="AN1197" s="425"/>
      <c r="AO1197" s="425"/>
      <c r="AR1197" s="425"/>
      <c r="AU1197" s="425"/>
      <c r="AV1197" s="425"/>
    </row>
    <row r="1198" spans="1:48" s="393" customFormat="1" ht="22.25" customHeight="1">
      <c r="A1198" s="1017"/>
      <c r="B1198" s="1028" t="s">
        <v>860</v>
      </c>
      <c r="C1198" s="664"/>
      <c r="D1198" s="664"/>
      <c r="E1198" s="1019"/>
      <c r="F1198" s="947"/>
      <c r="G1198" s="1020"/>
      <c r="H1198" s="1021"/>
      <c r="I1198" s="1019"/>
      <c r="J1198" s="514"/>
      <c r="K1198" s="1029"/>
      <c r="L1198" s="1027"/>
      <c r="M1198" s="725"/>
      <c r="N1198" s="725"/>
      <c r="O1198" s="725"/>
      <c r="P1198" s="725"/>
      <c r="Q1198" s="618"/>
      <c r="R1198" s="618"/>
      <c r="S1198" s="618"/>
      <c r="T1198" s="618"/>
      <c r="U1198" s="618"/>
      <c r="V1198" s="641"/>
      <c r="W1198" s="641"/>
      <c r="X1198" s="641"/>
      <c r="Y1198" s="618"/>
      <c r="Z1198" s="618"/>
      <c r="AA1198" s="618"/>
      <c r="AB1198" s="618"/>
      <c r="AC1198" s="620"/>
      <c r="AD1198" s="620"/>
      <c r="AE1198" s="620"/>
      <c r="AF1198" s="471"/>
      <c r="AG1198" s="471"/>
      <c r="AH1198" s="471"/>
      <c r="AI1198" s="471"/>
      <c r="AJ1198" s="471"/>
      <c r="AK1198" s="425"/>
      <c r="AL1198" s="425"/>
      <c r="AM1198" s="425"/>
      <c r="AN1198" s="425"/>
      <c r="AO1198" s="425"/>
      <c r="AR1198" s="425"/>
      <c r="AU1198" s="425"/>
      <c r="AV1198" s="425"/>
    </row>
    <row r="1199" spans="1:48" s="393" customFormat="1" ht="22.25" customHeight="1">
      <c r="A1199" s="1017"/>
      <c r="B1199" s="1022" t="str">
        <f>B1162</f>
        <v>Living Room</v>
      </c>
      <c r="C1199" s="664"/>
      <c r="D1199" s="664"/>
      <c r="E1199" s="1019">
        <f>E1162</f>
        <v>1</v>
      </c>
      <c r="F1199" s="947">
        <f>F1162*2+G1162*2</f>
        <v>100</v>
      </c>
      <c r="G1199" s="1020"/>
      <c r="H1199" s="1021"/>
      <c r="I1199" s="1019"/>
      <c r="J1199" s="507">
        <f t="shared" ref="J1199:J1205" si="221">IF(I1199=0,1,I1199)*IF(H1199=0,1,H1199)*IF(G1199=0,1,G1199)*IF(F1199=0,1,F1199)*IF(E1199=0,1,E1199)*IF(D1199=0,1,D1199)*IF(C1199=0,1,C1199)</f>
        <v>100</v>
      </c>
      <c r="K1199" s="1029"/>
      <c r="L1199" s="1027"/>
      <c r="M1199" s="725"/>
      <c r="N1199" s="725"/>
      <c r="O1199" s="725"/>
      <c r="P1199" s="725"/>
      <c r="Q1199" s="618"/>
      <c r="R1199" s="618"/>
      <c r="S1199" s="618"/>
      <c r="T1199" s="618"/>
      <c r="U1199" s="618"/>
      <c r="V1199" s="641"/>
      <c r="W1199" s="641"/>
      <c r="X1199" s="641"/>
      <c r="Y1199" s="618"/>
      <c r="Z1199" s="618"/>
      <c r="AA1199" s="618"/>
      <c r="AB1199" s="618"/>
      <c r="AC1199" s="620"/>
      <c r="AD1199" s="620"/>
      <c r="AE1199" s="620"/>
      <c r="AF1199" s="471"/>
      <c r="AG1199" s="471"/>
      <c r="AH1199" s="471"/>
      <c r="AI1199" s="471"/>
      <c r="AJ1199" s="471"/>
      <c r="AK1199" s="425"/>
      <c r="AL1199" s="425"/>
      <c r="AM1199" s="425"/>
      <c r="AN1199" s="425"/>
      <c r="AO1199" s="425"/>
      <c r="AR1199" s="425"/>
      <c r="AU1199" s="425"/>
      <c r="AV1199" s="425"/>
    </row>
    <row r="1200" spans="1:48" s="393" customFormat="1" ht="22.25" customHeight="1">
      <c r="A1200" s="1017"/>
      <c r="B1200" s="1022" t="str">
        <f>B1166</f>
        <v>Living Room  Walkway</v>
      </c>
      <c r="C1200" s="664"/>
      <c r="D1200" s="664"/>
      <c r="E1200" s="1019">
        <f>E1166</f>
        <v>1</v>
      </c>
      <c r="F1200" s="947">
        <f>F1166*2+G1166*2</f>
        <v>72</v>
      </c>
      <c r="G1200" s="1020"/>
      <c r="H1200" s="1021"/>
      <c r="I1200" s="1019"/>
      <c r="J1200" s="507">
        <f t="shared" si="221"/>
        <v>72</v>
      </c>
      <c r="K1200" s="1029"/>
      <c r="L1200" s="1027"/>
      <c r="M1200" s="725"/>
      <c r="N1200" s="725"/>
      <c r="O1200" s="725"/>
      <c r="P1200" s="725"/>
      <c r="Q1200" s="618"/>
      <c r="R1200" s="618"/>
      <c r="S1200" s="618"/>
      <c r="T1200" s="618"/>
      <c r="U1200" s="618"/>
      <c r="V1200" s="641"/>
      <c r="W1200" s="641"/>
      <c r="X1200" s="641"/>
      <c r="Y1200" s="618"/>
      <c r="Z1200" s="618"/>
      <c r="AA1200" s="618"/>
      <c r="AB1200" s="618"/>
      <c r="AC1200" s="620"/>
      <c r="AD1200" s="620"/>
      <c r="AE1200" s="620"/>
      <c r="AF1200" s="471"/>
      <c r="AG1200" s="471"/>
      <c r="AH1200" s="471"/>
      <c r="AI1200" s="471"/>
      <c r="AJ1200" s="471"/>
      <c r="AK1200" s="425"/>
      <c r="AL1200" s="425"/>
      <c r="AM1200" s="425"/>
      <c r="AN1200" s="425"/>
      <c r="AO1200" s="425"/>
      <c r="AR1200" s="425"/>
      <c r="AU1200" s="425"/>
      <c r="AV1200" s="425"/>
    </row>
    <row r="1201" spans="1:48" s="393" customFormat="1" ht="22.25" customHeight="1">
      <c r="A1201" s="1017"/>
      <c r="B1201" s="1022" t="str">
        <f>B1170</f>
        <v>Dining Room</v>
      </c>
      <c r="C1201" s="664"/>
      <c r="D1201" s="664"/>
      <c r="E1201" s="1019">
        <f>E1170</f>
        <v>1</v>
      </c>
      <c r="F1201" s="947">
        <f>F1170*1+G1170*2</f>
        <v>27</v>
      </c>
      <c r="G1201" s="1020"/>
      <c r="H1201" s="1021"/>
      <c r="I1201" s="1019"/>
      <c r="J1201" s="507">
        <f t="shared" si="221"/>
        <v>27</v>
      </c>
      <c r="K1201" s="1029"/>
      <c r="L1201" s="1027"/>
      <c r="M1201" s="725"/>
      <c r="N1201" s="725"/>
      <c r="O1201" s="725"/>
      <c r="P1201" s="725"/>
      <c r="Q1201" s="618"/>
      <c r="R1201" s="618"/>
      <c r="S1201" s="618"/>
      <c r="T1201" s="618"/>
      <c r="U1201" s="618"/>
      <c r="V1201" s="641"/>
      <c r="W1201" s="641"/>
      <c r="X1201" s="641"/>
      <c r="Y1201" s="618"/>
      <c r="Z1201" s="618"/>
      <c r="AA1201" s="618"/>
      <c r="AB1201" s="618"/>
      <c r="AC1201" s="620"/>
      <c r="AD1201" s="620"/>
      <c r="AE1201" s="620"/>
      <c r="AF1201" s="471"/>
      <c r="AG1201" s="471"/>
      <c r="AH1201" s="471"/>
      <c r="AI1201" s="471"/>
      <c r="AJ1201" s="471"/>
      <c r="AK1201" s="425"/>
      <c r="AL1201" s="425"/>
      <c r="AM1201" s="425"/>
      <c r="AN1201" s="425"/>
      <c r="AO1201" s="425"/>
      <c r="AR1201" s="425"/>
      <c r="AU1201" s="425"/>
      <c r="AV1201" s="425"/>
    </row>
    <row r="1202" spans="1:48" s="393" customFormat="1" ht="22.25" customHeight="1">
      <c r="A1202" s="1017"/>
      <c r="B1202" s="1022" t="str">
        <f>B1174</f>
        <v>Kitchen</v>
      </c>
      <c r="C1202" s="664"/>
      <c r="D1202" s="664"/>
      <c r="E1202" s="1019">
        <f>E1174</f>
        <v>1</v>
      </c>
      <c r="F1202" s="947">
        <f>F1174*2+G1174*2</f>
        <v>45</v>
      </c>
      <c r="G1202" s="1020"/>
      <c r="H1202" s="1021"/>
      <c r="I1202" s="1019"/>
      <c r="J1202" s="507">
        <f t="shared" si="221"/>
        <v>45</v>
      </c>
      <c r="K1202" s="1029"/>
      <c r="L1202" s="1027"/>
      <c r="M1202" s="725"/>
      <c r="N1202" s="725"/>
      <c r="O1202" s="725"/>
      <c r="P1202" s="725"/>
      <c r="Q1202" s="618"/>
      <c r="R1202" s="618"/>
      <c r="S1202" s="618"/>
      <c r="T1202" s="618"/>
      <c r="U1202" s="618"/>
      <c r="V1202" s="641"/>
      <c r="W1202" s="641"/>
      <c r="X1202" s="641"/>
      <c r="Y1202" s="618"/>
      <c r="Z1202" s="618"/>
      <c r="AA1202" s="618"/>
      <c r="AB1202" s="618"/>
      <c r="AC1202" s="620"/>
      <c r="AD1202" s="620"/>
      <c r="AE1202" s="620"/>
      <c r="AF1202" s="471"/>
      <c r="AG1202" s="471"/>
      <c r="AH1202" s="471"/>
      <c r="AI1202" s="471"/>
      <c r="AJ1202" s="471"/>
      <c r="AK1202" s="425"/>
      <c r="AL1202" s="425"/>
      <c r="AM1202" s="425"/>
      <c r="AN1202" s="425"/>
      <c r="AO1202" s="425"/>
      <c r="AR1202" s="425"/>
      <c r="AU1202" s="425"/>
      <c r="AV1202" s="425"/>
    </row>
    <row r="1203" spans="1:48" s="393" customFormat="1" ht="22.25" customHeight="1">
      <c r="A1203" s="1017"/>
      <c r="B1203" s="1022" t="str">
        <f>B1178</f>
        <v>Mr.Bedroom</v>
      </c>
      <c r="C1203" s="664"/>
      <c r="D1203" s="664"/>
      <c r="E1203" s="1019">
        <f>E1178</f>
        <v>2</v>
      </c>
      <c r="F1203" s="947">
        <f>F1178*2+G1178*2</f>
        <v>59</v>
      </c>
      <c r="G1203" s="1020"/>
      <c r="H1203" s="1021"/>
      <c r="I1203" s="1019"/>
      <c r="J1203" s="507">
        <f t="shared" si="221"/>
        <v>118</v>
      </c>
      <c r="K1203" s="1029"/>
      <c r="L1203" s="1027"/>
      <c r="M1203" s="725"/>
      <c r="N1203" s="725"/>
      <c r="O1203" s="725"/>
      <c r="P1203" s="725"/>
      <c r="Q1203" s="618"/>
      <c r="R1203" s="618"/>
      <c r="S1203" s="618"/>
      <c r="T1203" s="618"/>
      <c r="U1203" s="618"/>
      <c r="V1203" s="641"/>
      <c r="W1203" s="641"/>
      <c r="X1203" s="641"/>
      <c r="Y1203" s="618"/>
      <c r="Z1203" s="618"/>
      <c r="AA1203" s="618"/>
      <c r="AB1203" s="618"/>
      <c r="AC1203" s="620"/>
      <c r="AD1203" s="620"/>
      <c r="AE1203" s="620"/>
      <c r="AF1203" s="471"/>
      <c r="AG1203" s="471"/>
      <c r="AH1203" s="471"/>
      <c r="AI1203" s="471"/>
      <c r="AJ1203" s="471"/>
      <c r="AK1203" s="425"/>
      <c r="AL1203" s="425"/>
      <c r="AM1203" s="425"/>
      <c r="AN1203" s="425"/>
      <c r="AO1203" s="425"/>
      <c r="AR1203" s="425"/>
      <c r="AU1203" s="425"/>
      <c r="AV1203" s="425"/>
    </row>
    <row r="1204" spans="1:48" s="393" customFormat="1" ht="22.25" customHeight="1">
      <c r="A1204" s="1017"/>
      <c r="B1204" s="1022" t="str">
        <f>B1182</f>
        <v>S.Bedroom</v>
      </c>
      <c r="C1204" s="664"/>
      <c r="D1204" s="664"/>
      <c r="E1204" s="1019">
        <f>E1182</f>
        <v>1</v>
      </c>
      <c r="F1204" s="947">
        <f>F1182*2+G1182*2</f>
        <v>59</v>
      </c>
      <c r="G1204" s="1020"/>
      <c r="H1204" s="1021"/>
      <c r="I1204" s="1019"/>
      <c r="J1204" s="507">
        <f t="shared" si="221"/>
        <v>59</v>
      </c>
      <c r="K1204" s="1029"/>
      <c r="L1204" s="1027"/>
      <c r="M1204" s="725"/>
      <c r="N1204" s="725"/>
      <c r="O1204" s="725"/>
      <c r="P1204" s="725"/>
      <c r="Q1204" s="618"/>
      <c r="R1204" s="618"/>
      <c r="S1204" s="618"/>
      <c r="T1204" s="618"/>
      <c r="U1204" s="618"/>
      <c r="V1204" s="641"/>
      <c r="W1204" s="641"/>
      <c r="X1204" s="641"/>
      <c r="Y1204" s="618"/>
      <c r="Z1204" s="618"/>
      <c r="AA1204" s="618"/>
      <c r="AB1204" s="618"/>
      <c r="AC1204" s="620"/>
      <c r="AD1204" s="620"/>
      <c r="AE1204" s="620"/>
      <c r="AF1204" s="471"/>
      <c r="AG1204" s="471"/>
      <c r="AH1204" s="471"/>
      <c r="AI1204" s="471"/>
      <c r="AJ1204" s="471"/>
      <c r="AK1204" s="425"/>
      <c r="AL1204" s="425"/>
      <c r="AM1204" s="425"/>
      <c r="AN1204" s="425"/>
      <c r="AO1204" s="425"/>
      <c r="AR1204" s="425"/>
      <c r="AU1204" s="425"/>
      <c r="AV1204" s="425"/>
    </row>
    <row r="1205" spans="1:48" s="393" customFormat="1" ht="22.25" customHeight="1">
      <c r="A1205" s="1017"/>
      <c r="B1205" s="1022" t="str">
        <f>B1186</f>
        <v>Common Toilet</v>
      </c>
      <c r="C1205" s="664"/>
      <c r="D1205" s="664"/>
      <c r="E1205" s="1019">
        <f>E1186</f>
        <v>1</v>
      </c>
      <c r="F1205" s="947">
        <f>F1186*2+G1186*2</f>
        <v>29</v>
      </c>
      <c r="G1205" s="1020"/>
      <c r="H1205" s="1021"/>
      <c r="I1205" s="1019"/>
      <c r="J1205" s="507">
        <f t="shared" si="221"/>
        <v>29</v>
      </c>
      <c r="K1205" s="1029"/>
      <c r="L1205" s="1027"/>
      <c r="M1205" s="725"/>
      <c r="N1205" s="725"/>
      <c r="O1205" s="725"/>
      <c r="P1205" s="725"/>
      <c r="Q1205" s="618"/>
      <c r="R1205" s="618"/>
      <c r="S1205" s="618"/>
      <c r="T1205" s="618"/>
      <c r="U1205" s="618"/>
      <c r="V1205" s="641"/>
      <c r="W1205" s="641"/>
      <c r="X1205" s="641"/>
      <c r="Y1205" s="618"/>
      <c r="Z1205" s="618"/>
      <c r="AA1205" s="618"/>
      <c r="AB1205" s="618"/>
      <c r="AC1205" s="620"/>
      <c r="AD1205" s="620"/>
      <c r="AE1205" s="620"/>
      <c r="AF1205" s="471"/>
      <c r="AG1205" s="471"/>
      <c r="AH1205" s="471"/>
      <c r="AI1205" s="471"/>
      <c r="AJ1205" s="471"/>
      <c r="AK1205" s="425"/>
      <c r="AL1205" s="425"/>
      <c r="AM1205" s="425"/>
      <c r="AN1205" s="425"/>
      <c r="AO1205" s="425"/>
      <c r="AR1205" s="425"/>
      <c r="AU1205" s="425"/>
      <c r="AV1205" s="425"/>
    </row>
    <row r="1206" spans="1:48" s="393" customFormat="1" ht="22.25" customHeight="1">
      <c r="A1206" s="1017"/>
      <c r="B1206" s="1022" t="str">
        <f>B1190</f>
        <v>Exterior</v>
      </c>
      <c r="C1206" s="664"/>
      <c r="D1206" s="664"/>
      <c r="E1206" s="1019">
        <f>E1190</f>
        <v>1</v>
      </c>
      <c r="F1206" s="947">
        <f>F1190*2+G1190*2</f>
        <v>414</v>
      </c>
      <c r="G1206" s="1020"/>
      <c r="H1206" s="1021"/>
      <c r="I1206" s="1019"/>
      <c r="J1206" s="507"/>
      <c r="K1206" s="1029"/>
      <c r="L1206" s="1027"/>
      <c r="M1206" s="725"/>
      <c r="N1206" s="725"/>
      <c r="O1206" s="725"/>
      <c r="P1206" s="725"/>
      <c r="Q1206" s="618"/>
      <c r="R1206" s="618"/>
      <c r="S1206" s="618"/>
      <c r="T1206" s="618"/>
      <c r="U1206" s="618"/>
      <c r="V1206" s="641"/>
      <c r="W1206" s="641"/>
      <c r="X1206" s="641"/>
      <c r="Y1206" s="618"/>
      <c r="Z1206" s="618"/>
      <c r="AA1206" s="618"/>
      <c r="AB1206" s="618"/>
      <c r="AC1206" s="620"/>
      <c r="AD1206" s="620"/>
      <c r="AE1206" s="620"/>
      <c r="AF1206" s="471"/>
      <c r="AG1206" s="471"/>
      <c r="AH1206" s="471"/>
      <c r="AI1206" s="471"/>
      <c r="AJ1206" s="471"/>
      <c r="AK1206" s="425"/>
      <c r="AL1206" s="425"/>
      <c r="AM1206" s="425"/>
      <c r="AN1206" s="425"/>
      <c r="AO1206" s="425"/>
      <c r="AR1206" s="425"/>
      <c r="AU1206" s="425"/>
      <c r="AV1206" s="425"/>
    </row>
    <row r="1207" spans="1:48" s="393" customFormat="1" ht="22.25" customHeight="1">
      <c r="A1207" s="1017"/>
      <c r="B1207" s="1022"/>
      <c r="C1207" s="664"/>
      <c r="D1207" s="664"/>
      <c r="E1207" s="1019"/>
      <c r="F1207" s="947"/>
      <c r="G1207" s="1020"/>
      <c r="H1207" s="1021"/>
      <c r="I1207" s="1019"/>
      <c r="J1207" s="514"/>
      <c r="K1207" s="1029">
        <f>SUM(J1198:J1207)</f>
        <v>450</v>
      </c>
      <c r="L1207" s="1027" t="s">
        <v>13</v>
      </c>
      <c r="M1207" s="725"/>
      <c r="N1207" s="725"/>
      <c r="O1207" s="725"/>
      <c r="P1207" s="725"/>
      <c r="Q1207" s="618"/>
      <c r="R1207" s="618"/>
      <c r="S1207" s="618"/>
      <c r="T1207" s="618"/>
      <c r="U1207" s="618"/>
      <c r="V1207" s="641"/>
      <c r="W1207" s="641"/>
      <c r="X1207" s="641"/>
      <c r="Y1207" s="618"/>
      <c r="Z1207" s="618"/>
      <c r="AA1207" s="618"/>
      <c r="AB1207" s="618"/>
      <c r="AC1207" s="620"/>
      <c r="AD1207" s="620"/>
      <c r="AE1207" s="620"/>
      <c r="AF1207" s="471"/>
      <c r="AG1207" s="471"/>
      <c r="AH1207" s="471"/>
      <c r="AI1207" s="471"/>
      <c r="AJ1207" s="471"/>
      <c r="AK1207" s="425"/>
      <c r="AL1207" s="425"/>
      <c r="AM1207" s="425"/>
      <c r="AN1207" s="425"/>
      <c r="AO1207" s="425"/>
      <c r="AR1207" s="425"/>
      <c r="AU1207" s="425"/>
      <c r="AV1207" s="425"/>
    </row>
    <row r="1208" spans="1:48" s="393" customFormat="1" ht="22.25" customHeight="1">
      <c r="A1208" s="1017"/>
      <c r="B1208" s="1022"/>
      <c r="C1208" s="664"/>
      <c r="D1208" s="664"/>
      <c r="E1208" s="1019"/>
      <c r="F1208" s="947"/>
      <c r="G1208" s="1020"/>
      <c r="H1208" s="1021"/>
      <c r="I1208" s="1044" t="s">
        <v>696</v>
      </c>
      <c r="J1208" s="514"/>
      <c r="K1208" s="1029">
        <f>K1207*1.05</f>
        <v>472.5</v>
      </c>
      <c r="L1208" s="1027" t="s">
        <v>13</v>
      </c>
      <c r="M1208" s="725"/>
      <c r="N1208" s="725"/>
      <c r="O1208" s="725"/>
      <c r="P1208" s="725"/>
      <c r="Q1208" s="618"/>
      <c r="R1208" s="618"/>
      <c r="S1208" s="618"/>
      <c r="T1208" s="618"/>
      <c r="U1208" s="618"/>
      <c r="V1208" s="641"/>
      <c r="W1208" s="641"/>
      <c r="X1208" s="641"/>
      <c r="Y1208" s="618"/>
      <c r="Z1208" s="618"/>
      <c r="AA1208" s="618"/>
      <c r="AB1208" s="618"/>
      <c r="AC1208" s="620"/>
      <c r="AD1208" s="620"/>
      <c r="AE1208" s="620"/>
      <c r="AF1208" s="471"/>
      <c r="AG1208" s="471"/>
      <c r="AH1208" s="471"/>
      <c r="AI1208" s="471"/>
      <c r="AJ1208" s="471"/>
      <c r="AK1208" s="425"/>
      <c r="AL1208" s="425"/>
      <c r="AM1208" s="425"/>
      <c r="AN1208" s="425"/>
      <c r="AO1208" s="425"/>
      <c r="AR1208" s="425"/>
      <c r="AU1208" s="425"/>
      <c r="AV1208" s="425"/>
    </row>
    <row r="1209" spans="1:48" s="393" customFormat="1" ht="22.25" customHeight="1">
      <c r="A1209" s="1017"/>
      <c r="B1209" s="1022"/>
      <c r="C1209" s="664"/>
      <c r="D1209" s="664"/>
      <c r="E1209" s="1019"/>
      <c r="F1209" s="947"/>
      <c r="G1209" s="1020"/>
      <c r="H1209" s="1021"/>
      <c r="I1209" s="1044"/>
      <c r="J1209" s="514"/>
      <c r="K1209" s="1029">
        <f>ROUNDUP(K1208/8,0)</f>
        <v>60</v>
      </c>
      <c r="L1209" s="1027" t="s">
        <v>304</v>
      </c>
      <c r="M1209" s="725"/>
      <c r="N1209" s="725"/>
      <c r="O1209" s="725"/>
      <c r="P1209" s="725"/>
      <c r="Q1209" s="618"/>
      <c r="R1209" s="618"/>
      <c r="S1209" s="618"/>
      <c r="T1209" s="618"/>
      <c r="U1209" s="618"/>
      <c r="V1209" s="641"/>
      <c r="W1209" s="641"/>
      <c r="X1209" s="641"/>
      <c r="Y1209" s="618"/>
      <c r="Z1209" s="618"/>
      <c r="AA1209" s="618"/>
      <c r="AB1209" s="618"/>
      <c r="AC1209" s="620"/>
      <c r="AD1209" s="620"/>
      <c r="AE1209" s="620"/>
      <c r="AF1209" s="471"/>
      <c r="AG1209" s="471"/>
      <c r="AH1209" s="471"/>
      <c r="AI1209" s="471"/>
      <c r="AJ1209" s="471"/>
      <c r="AK1209" s="425"/>
      <c r="AL1209" s="425"/>
      <c r="AM1209" s="425"/>
      <c r="AN1209" s="425"/>
      <c r="AO1209" s="425"/>
      <c r="AR1209" s="425"/>
      <c r="AU1209" s="425"/>
      <c r="AV1209" s="425"/>
    </row>
    <row r="1210" spans="1:48" s="393" customFormat="1" ht="22.25" customHeight="1">
      <c r="A1210" s="1017"/>
      <c r="B1210" s="1022"/>
      <c r="C1210" s="664"/>
      <c r="D1210" s="664"/>
      <c r="E1210" s="1019"/>
      <c r="F1210" s="947"/>
      <c r="G1210" s="1020"/>
      <c r="H1210" s="1021"/>
      <c r="I1210" s="1019"/>
      <c r="J1210" s="514"/>
      <c r="K1210" s="1029"/>
      <c r="L1210" s="1027"/>
      <c r="M1210" s="725"/>
      <c r="N1210" s="725"/>
      <c r="O1210" s="725"/>
      <c r="P1210" s="725"/>
      <c r="Q1210" s="618"/>
      <c r="R1210" s="618"/>
      <c r="S1210" s="618"/>
      <c r="T1210" s="618"/>
      <c r="U1210" s="618"/>
      <c r="V1210" s="641"/>
      <c r="W1210" s="641"/>
      <c r="X1210" s="641"/>
      <c r="Y1210" s="618"/>
      <c r="Z1210" s="618"/>
      <c r="AA1210" s="618"/>
      <c r="AB1210" s="618"/>
      <c r="AC1210" s="620"/>
      <c r="AD1210" s="620"/>
      <c r="AE1210" s="620"/>
      <c r="AF1210" s="471"/>
      <c r="AG1210" s="471"/>
      <c r="AH1210" s="471"/>
      <c r="AI1210" s="471"/>
      <c r="AJ1210" s="471"/>
      <c r="AK1210" s="425"/>
      <c r="AL1210" s="425"/>
      <c r="AM1210" s="425"/>
      <c r="AN1210" s="425"/>
      <c r="AO1210" s="425"/>
      <c r="AR1210" s="425"/>
      <c r="AU1210" s="425"/>
      <c r="AV1210" s="425"/>
    </row>
    <row r="1211" spans="1:48" s="393" customFormat="1" ht="22.25" customHeight="1">
      <c r="A1211" s="1017"/>
      <c r="B1211" s="1028" t="s">
        <v>861</v>
      </c>
      <c r="C1211" s="664"/>
      <c r="D1211" s="664"/>
      <c r="E1211" s="1019"/>
      <c r="F1211" s="947"/>
      <c r="G1211" s="1020"/>
      <c r="H1211" s="1021"/>
      <c r="I1211" s="1019"/>
      <c r="J1211" s="507"/>
      <c r="K1211" s="1029"/>
      <c r="L1211" s="1027"/>
      <c r="M1211" s="725"/>
      <c r="N1211" s="725"/>
      <c r="O1211" s="725"/>
      <c r="P1211" s="725"/>
      <c r="Q1211" s="618"/>
      <c r="R1211" s="618"/>
      <c r="S1211" s="618"/>
      <c r="T1211" s="618"/>
      <c r="U1211" s="618"/>
      <c r="V1211" s="641"/>
      <c r="W1211" s="641"/>
      <c r="X1211" s="641"/>
      <c r="Y1211" s="618"/>
      <c r="Z1211" s="618"/>
      <c r="AA1211" s="618"/>
      <c r="AB1211" s="618"/>
      <c r="AC1211" s="620"/>
      <c r="AD1211" s="620"/>
      <c r="AE1211" s="620"/>
      <c r="AF1211" s="471"/>
      <c r="AG1211" s="471"/>
      <c r="AH1211" s="471"/>
      <c r="AI1211" s="471"/>
      <c r="AJ1211" s="471"/>
      <c r="AK1211" s="425"/>
      <c r="AL1211" s="425"/>
      <c r="AM1211" s="425"/>
      <c r="AN1211" s="425"/>
      <c r="AO1211" s="425"/>
      <c r="AR1211" s="425"/>
      <c r="AU1211" s="425"/>
      <c r="AV1211" s="425"/>
    </row>
    <row r="1212" spans="1:48" s="393" customFormat="1" ht="22.25" customHeight="1">
      <c r="A1212" s="1017"/>
      <c r="B1212" s="1022" t="s">
        <v>853</v>
      </c>
      <c r="C1212" s="664"/>
      <c r="D1212" s="664">
        <v>2</v>
      </c>
      <c r="E1212" s="1019">
        <v>1</v>
      </c>
      <c r="F1212" s="947">
        <f>13.5*2+9.75*2</f>
        <v>46.5</v>
      </c>
      <c r="G1212" s="1020"/>
      <c r="H1212" s="1021"/>
      <c r="I1212" s="1019"/>
      <c r="J1212" s="507">
        <f t="shared" ref="J1212:J1217" si="222">IF(I1212=0,1,I1212)*IF(H1212=0,1,H1212)*IF(G1212=0,1,G1212)*IF(F1212=0,1,F1212)*IF(E1212=0,1,E1212)*IF(D1212=0,1,D1212)*IF(C1212=0,1,C1212)</f>
        <v>93</v>
      </c>
      <c r="K1212" s="1029"/>
      <c r="L1212" s="1027"/>
      <c r="M1212" s="725"/>
      <c r="N1212" s="725"/>
      <c r="O1212" s="725"/>
      <c r="P1212" s="725"/>
      <c r="Q1212" s="618"/>
      <c r="R1212" s="618"/>
      <c r="S1212" s="618"/>
      <c r="T1212" s="618"/>
      <c r="U1212" s="618"/>
      <c r="V1212" s="641"/>
      <c r="W1212" s="641"/>
      <c r="X1212" s="641"/>
      <c r="Y1212" s="618"/>
      <c r="Z1212" s="618"/>
      <c r="AA1212" s="618"/>
      <c r="AB1212" s="618"/>
      <c r="AC1212" s="620"/>
      <c r="AD1212" s="620"/>
      <c r="AE1212" s="620"/>
      <c r="AF1212" s="471"/>
      <c r="AG1212" s="471"/>
      <c r="AH1212" s="471"/>
      <c r="AI1212" s="471"/>
      <c r="AJ1212" s="471"/>
      <c r="AK1212" s="425"/>
      <c r="AL1212" s="425"/>
      <c r="AM1212" s="425"/>
      <c r="AN1212" s="425"/>
      <c r="AO1212" s="425"/>
      <c r="AR1212" s="425"/>
      <c r="AU1212" s="425"/>
      <c r="AV1212" s="425"/>
    </row>
    <row r="1213" spans="1:48" s="393" customFormat="1" ht="22.25" customHeight="1">
      <c r="A1213" s="1017"/>
      <c r="B1213" s="1028"/>
      <c r="C1213" s="664"/>
      <c r="D1213" s="664">
        <v>2</v>
      </c>
      <c r="E1213" s="1019">
        <v>1</v>
      </c>
      <c r="F1213" s="947">
        <f>8.67*2+9.75*2</f>
        <v>36.840000000000003</v>
      </c>
      <c r="G1213" s="1020"/>
      <c r="H1213" s="1021"/>
      <c r="I1213" s="1019"/>
      <c r="J1213" s="507">
        <f t="shared" si="222"/>
        <v>73.680000000000007</v>
      </c>
      <c r="K1213" s="1029"/>
      <c r="L1213" s="1027"/>
      <c r="M1213" s="725"/>
      <c r="N1213" s="725"/>
      <c r="O1213" s="725"/>
      <c r="P1213" s="725"/>
      <c r="Q1213" s="618"/>
      <c r="R1213" s="618"/>
      <c r="S1213" s="618"/>
      <c r="T1213" s="618"/>
      <c r="U1213" s="618"/>
      <c r="V1213" s="641"/>
      <c r="W1213" s="641"/>
      <c r="X1213" s="641"/>
      <c r="Y1213" s="618"/>
      <c r="Z1213" s="618"/>
      <c r="AA1213" s="618"/>
      <c r="AB1213" s="618"/>
      <c r="AC1213" s="620"/>
      <c r="AD1213" s="620"/>
      <c r="AE1213" s="620"/>
      <c r="AF1213" s="471"/>
      <c r="AG1213" s="471"/>
      <c r="AH1213" s="471"/>
      <c r="AI1213" s="471"/>
      <c r="AJ1213" s="471"/>
      <c r="AK1213" s="425"/>
      <c r="AL1213" s="425"/>
      <c r="AM1213" s="425"/>
      <c r="AN1213" s="425"/>
      <c r="AO1213" s="425"/>
      <c r="AR1213" s="425"/>
      <c r="AU1213" s="425"/>
      <c r="AV1213" s="425"/>
    </row>
    <row r="1214" spans="1:48" s="393" customFormat="1" ht="22.25" customHeight="1">
      <c r="A1214" s="1017"/>
      <c r="B1214" s="1022" t="s">
        <v>855</v>
      </c>
      <c r="C1214" s="664"/>
      <c r="D1214" s="664">
        <v>2</v>
      </c>
      <c r="E1214" s="1019">
        <v>1</v>
      </c>
      <c r="F1214" s="947">
        <f>8.5*2+4*2</f>
        <v>25</v>
      </c>
      <c r="G1214" s="1020"/>
      <c r="H1214" s="1021"/>
      <c r="I1214" s="1019"/>
      <c r="J1214" s="507">
        <f t="shared" si="222"/>
        <v>50</v>
      </c>
      <c r="K1214" s="1029"/>
      <c r="L1214" s="1027"/>
      <c r="M1214" s="725"/>
      <c r="N1214" s="725"/>
      <c r="O1214" s="725"/>
      <c r="P1214" s="725"/>
      <c r="Q1214" s="618"/>
      <c r="R1214" s="618"/>
      <c r="S1214" s="618"/>
      <c r="T1214" s="618"/>
      <c r="U1214" s="618"/>
      <c r="V1214" s="641"/>
      <c r="W1214" s="641"/>
      <c r="X1214" s="641"/>
      <c r="Y1214" s="618"/>
      <c r="Z1214" s="618"/>
      <c r="AA1214" s="618"/>
      <c r="AB1214" s="618"/>
      <c r="AC1214" s="620"/>
      <c r="AD1214" s="620"/>
      <c r="AE1214" s="620"/>
      <c r="AF1214" s="471"/>
      <c r="AG1214" s="471"/>
      <c r="AH1214" s="471"/>
      <c r="AI1214" s="471"/>
      <c r="AJ1214" s="471"/>
      <c r="AK1214" s="425"/>
      <c r="AL1214" s="425"/>
      <c r="AM1214" s="425"/>
      <c r="AN1214" s="425"/>
      <c r="AO1214" s="425"/>
      <c r="AR1214" s="425"/>
      <c r="AU1214" s="425"/>
      <c r="AV1214" s="425"/>
    </row>
    <row r="1215" spans="1:48" s="393" customFormat="1" ht="22.25" customHeight="1">
      <c r="A1215" s="1017"/>
      <c r="B1215" s="1022" t="s">
        <v>885</v>
      </c>
      <c r="C1215" s="664"/>
      <c r="D1215" s="664">
        <v>2</v>
      </c>
      <c r="E1215" s="1019">
        <v>1</v>
      </c>
      <c r="F1215" s="947">
        <f>8*2+4.83*2</f>
        <v>25.66</v>
      </c>
      <c r="G1215" s="1020"/>
      <c r="H1215" s="1021"/>
      <c r="I1215" s="1019"/>
      <c r="J1215" s="507">
        <f t="shared" si="222"/>
        <v>51.32</v>
      </c>
      <c r="K1215" s="1029"/>
      <c r="L1215" s="1027"/>
      <c r="M1215" s="725"/>
      <c r="N1215" s="725"/>
      <c r="O1215" s="725"/>
      <c r="P1215" s="725"/>
      <c r="Q1215" s="618"/>
      <c r="R1215" s="618"/>
      <c r="S1215" s="618"/>
      <c r="T1215" s="618"/>
      <c r="U1215" s="618"/>
      <c r="V1215" s="641"/>
      <c r="W1215" s="641"/>
      <c r="X1215" s="641"/>
      <c r="Y1215" s="618"/>
      <c r="Z1215" s="618"/>
      <c r="AA1215" s="618"/>
      <c r="AB1215" s="618"/>
      <c r="AC1215" s="620"/>
      <c r="AD1215" s="620"/>
      <c r="AE1215" s="620"/>
      <c r="AF1215" s="471"/>
      <c r="AG1215" s="471"/>
      <c r="AH1215" s="471"/>
      <c r="AI1215" s="471"/>
      <c r="AJ1215" s="471"/>
      <c r="AK1215" s="425"/>
      <c r="AL1215" s="425"/>
      <c r="AM1215" s="425"/>
      <c r="AN1215" s="425"/>
      <c r="AO1215" s="425"/>
      <c r="AR1215" s="425"/>
      <c r="AU1215" s="425"/>
      <c r="AV1215" s="425"/>
    </row>
    <row r="1216" spans="1:48" s="393" customFormat="1" ht="22.25" customHeight="1">
      <c r="A1216" s="1017"/>
      <c r="B1216" s="1022" t="s">
        <v>885</v>
      </c>
      <c r="C1216" s="664"/>
      <c r="D1216" s="664">
        <v>2</v>
      </c>
      <c r="E1216" s="1019">
        <v>1</v>
      </c>
      <c r="F1216" s="947">
        <f>7.5*2+4.67*2</f>
        <v>24.34</v>
      </c>
      <c r="G1216" s="1020"/>
      <c r="H1216" s="1021"/>
      <c r="I1216" s="1019"/>
      <c r="J1216" s="507">
        <f t="shared" si="222"/>
        <v>48.68</v>
      </c>
      <c r="K1216" s="1029"/>
      <c r="L1216" s="1027"/>
      <c r="M1216" s="725"/>
      <c r="N1216" s="725"/>
      <c r="O1216" s="725"/>
      <c r="P1216" s="725"/>
      <c r="Q1216" s="618"/>
      <c r="R1216" s="618"/>
      <c r="S1216" s="618"/>
      <c r="T1216" s="618"/>
      <c r="U1216" s="618"/>
      <c r="V1216" s="641"/>
      <c r="W1216" s="641"/>
      <c r="X1216" s="641"/>
      <c r="Y1216" s="618"/>
      <c r="Z1216" s="618"/>
      <c r="AA1216" s="618"/>
      <c r="AB1216" s="618"/>
      <c r="AC1216" s="620"/>
      <c r="AD1216" s="620"/>
      <c r="AE1216" s="620"/>
      <c r="AF1216" s="471"/>
      <c r="AG1216" s="471"/>
      <c r="AH1216" s="471"/>
      <c r="AI1216" s="471"/>
      <c r="AJ1216" s="471"/>
      <c r="AK1216" s="425"/>
      <c r="AL1216" s="425"/>
      <c r="AM1216" s="425"/>
      <c r="AN1216" s="425"/>
      <c r="AO1216" s="425"/>
      <c r="AR1216" s="425"/>
      <c r="AU1216" s="425"/>
      <c r="AV1216" s="425"/>
    </row>
    <row r="1217" spans="1:48" s="393" customFormat="1" ht="22.25" customHeight="1">
      <c r="A1217" s="1017"/>
      <c r="B1217" s="1022" t="s">
        <v>886</v>
      </c>
      <c r="C1217" s="664"/>
      <c r="D1217" s="664">
        <v>2</v>
      </c>
      <c r="E1217" s="1019">
        <v>1</v>
      </c>
      <c r="F1217" s="947">
        <f>6.67*2+7.67*2</f>
        <v>28.68</v>
      </c>
      <c r="G1217" s="1020"/>
      <c r="H1217" s="1021"/>
      <c r="I1217" s="1019"/>
      <c r="J1217" s="507">
        <f t="shared" si="222"/>
        <v>57.36</v>
      </c>
      <c r="K1217" s="1029"/>
      <c r="L1217" s="1027"/>
      <c r="M1217" s="725"/>
      <c r="N1217" s="725"/>
      <c r="O1217" s="725"/>
      <c r="P1217" s="725"/>
      <c r="Q1217" s="618"/>
      <c r="R1217" s="618"/>
      <c r="S1217" s="618"/>
      <c r="T1217" s="618"/>
      <c r="U1217" s="618"/>
      <c r="V1217" s="641"/>
      <c r="W1217" s="641"/>
      <c r="X1217" s="641"/>
      <c r="Y1217" s="618"/>
      <c r="Z1217" s="618"/>
      <c r="AA1217" s="618"/>
      <c r="AB1217" s="618"/>
      <c r="AC1217" s="620"/>
      <c r="AD1217" s="620"/>
      <c r="AE1217" s="620"/>
      <c r="AF1217" s="471"/>
      <c r="AG1217" s="471"/>
      <c r="AH1217" s="471"/>
      <c r="AI1217" s="471"/>
      <c r="AJ1217" s="471"/>
      <c r="AK1217" s="425"/>
      <c r="AL1217" s="425"/>
      <c r="AM1217" s="425"/>
      <c r="AN1217" s="425"/>
      <c r="AO1217" s="425"/>
      <c r="AR1217" s="425"/>
      <c r="AU1217" s="425"/>
      <c r="AV1217" s="425"/>
    </row>
    <row r="1218" spans="1:48" s="393" customFormat="1" ht="22.25" customHeight="1">
      <c r="A1218" s="1017"/>
      <c r="B1218" s="1022"/>
      <c r="C1218" s="664"/>
      <c r="D1218" s="664"/>
      <c r="E1218" s="1019"/>
      <c r="F1218" s="947"/>
      <c r="G1218" s="1020"/>
      <c r="H1218" s="1021"/>
      <c r="I1218" s="1019"/>
      <c r="J1218" s="514"/>
      <c r="K1218" s="1029">
        <f>SUM(J1210:J1218)</f>
        <v>374.04</v>
      </c>
      <c r="L1218" s="1027" t="s">
        <v>13</v>
      </c>
      <c r="M1218" s="725"/>
      <c r="N1218" s="725"/>
      <c r="O1218" s="725"/>
      <c r="P1218" s="725"/>
      <c r="Q1218" s="618"/>
      <c r="R1218" s="618"/>
      <c r="S1218" s="618"/>
      <c r="T1218" s="618"/>
      <c r="U1218" s="618"/>
      <c r="V1218" s="641"/>
      <c r="W1218" s="641"/>
      <c r="X1218" s="641"/>
      <c r="Y1218" s="618"/>
      <c r="Z1218" s="618"/>
      <c r="AA1218" s="618"/>
      <c r="AB1218" s="618"/>
      <c r="AC1218" s="620"/>
      <c r="AD1218" s="620"/>
      <c r="AE1218" s="620"/>
      <c r="AF1218" s="471"/>
      <c r="AG1218" s="471"/>
      <c r="AH1218" s="471"/>
      <c r="AI1218" s="471"/>
      <c r="AJ1218" s="471"/>
      <c r="AK1218" s="425"/>
      <c r="AL1218" s="425"/>
      <c r="AM1218" s="425"/>
      <c r="AN1218" s="425"/>
      <c r="AO1218" s="425"/>
      <c r="AR1218" s="425"/>
      <c r="AU1218" s="425"/>
      <c r="AV1218" s="425"/>
    </row>
    <row r="1219" spans="1:48" s="393" customFormat="1" ht="22.25" customHeight="1">
      <c r="A1219" s="1017"/>
      <c r="B1219" s="1022"/>
      <c r="C1219" s="664"/>
      <c r="D1219" s="664"/>
      <c r="E1219" s="1019"/>
      <c r="F1219" s="947"/>
      <c r="G1219" s="1020"/>
      <c r="H1219" s="1021"/>
      <c r="I1219" s="1044" t="s">
        <v>696</v>
      </c>
      <c r="J1219" s="514"/>
      <c r="K1219" s="1029">
        <f>K1218*1.05</f>
        <v>392.74200000000002</v>
      </c>
      <c r="L1219" s="1027" t="s">
        <v>13</v>
      </c>
      <c r="M1219" s="725"/>
      <c r="N1219" s="725"/>
      <c r="O1219" s="725"/>
      <c r="P1219" s="725"/>
      <c r="Q1219" s="618"/>
      <c r="R1219" s="618"/>
      <c r="S1219" s="618"/>
      <c r="T1219" s="618"/>
      <c r="U1219" s="618"/>
      <c r="V1219" s="641"/>
      <c r="W1219" s="641"/>
      <c r="X1219" s="641"/>
      <c r="Y1219" s="618"/>
      <c r="Z1219" s="618"/>
      <c r="AA1219" s="618"/>
      <c r="AB1219" s="618"/>
      <c r="AC1219" s="620"/>
      <c r="AD1219" s="620"/>
      <c r="AE1219" s="620"/>
      <c r="AF1219" s="471"/>
      <c r="AG1219" s="471"/>
      <c r="AH1219" s="471"/>
      <c r="AI1219" s="471"/>
      <c r="AJ1219" s="471"/>
      <c r="AK1219" s="425"/>
      <c r="AL1219" s="425"/>
      <c r="AM1219" s="425"/>
      <c r="AN1219" s="425"/>
      <c r="AO1219" s="425"/>
      <c r="AR1219" s="425"/>
      <c r="AU1219" s="425"/>
      <c r="AV1219" s="425"/>
    </row>
    <row r="1220" spans="1:48" s="393" customFormat="1" ht="22.25" customHeight="1">
      <c r="A1220" s="1017"/>
      <c r="B1220" s="1022"/>
      <c r="C1220" s="664"/>
      <c r="D1220" s="664"/>
      <c r="E1220" s="1019"/>
      <c r="F1220" s="947"/>
      <c r="G1220" s="1020"/>
      <c r="H1220" s="1021"/>
      <c r="I1220" s="1044"/>
      <c r="J1220" s="514"/>
      <c r="K1220" s="1029">
        <f>ROUNDUP(K1219/8,0)</f>
        <v>50</v>
      </c>
      <c r="L1220" s="1027" t="s">
        <v>304</v>
      </c>
      <c r="M1220" s="725"/>
      <c r="N1220" s="725"/>
      <c r="O1220" s="725"/>
      <c r="P1220" s="725"/>
      <c r="Q1220" s="618"/>
      <c r="R1220" s="618"/>
      <c r="S1220" s="618"/>
      <c r="T1220" s="618"/>
      <c r="U1220" s="618"/>
      <c r="V1220" s="641"/>
      <c r="W1220" s="641"/>
      <c r="X1220" s="641"/>
      <c r="Y1220" s="618"/>
      <c r="Z1220" s="618"/>
      <c r="AA1220" s="618"/>
      <c r="AB1220" s="618"/>
      <c r="AC1220" s="620"/>
      <c r="AD1220" s="620"/>
      <c r="AE1220" s="620"/>
      <c r="AF1220" s="471"/>
      <c r="AG1220" s="471"/>
      <c r="AH1220" s="471"/>
      <c r="AI1220" s="471"/>
      <c r="AJ1220" s="471"/>
      <c r="AK1220" s="425"/>
      <c r="AL1220" s="425"/>
      <c r="AM1220" s="425"/>
      <c r="AN1220" s="425"/>
      <c r="AO1220" s="425"/>
      <c r="AR1220" s="425"/>
      <c r="AU1220" s="425"/>
      <c r="AV1220" s="425"/>
    </row>
    <row r="1221" spans="1:48" s="393" customFormat="1" ht="22.25" customHeight="1">
      <c r="A1221" s="1017"/>
      <c r="B1221" s="1022"/>
      <c r="C1221" s="664"/>
      <c r="D1221" s="664"/>
      <c r="E1221" s="1019"/>
      <c r="F1221" s="947"/>
      <c r="G1221" s="1020"/>
      <c r="H1221" s="1021"/>
      <c r="I1221" s="1019"/>
      <c r="J1221" s="514"/>
      <c r="K1221" s="1029"/>
      <c r="L1221" s="1027"/>
      <c r="M1221" s="725"/>
      <c r="N1221" s="725"/>
      <c r="O1221" s="725"/>
      <c r="P1221" s="725"/>
      <c r="Q1221" s="618"/>
      <c r="R1221" s="618"/>
      <c r="S1221" s="618"/>
      <c r="T1221" s="618"/>
      <c r="U1221" s="618"/>
      <c r="V1221" s="641"/>
      <c r="W1221" s="641"/>
      <c r="X1221" s="641"/>
      <c r="Y1221" s="618"/>
      <c r="Z1221" s="618"/>
      <c r="AA1221" s="618"/>
      <c r="AB1221" s="618"/>
      <c r="AC1221" s="620"/>
      <c r="AD1221" s="620"/>
      <c r="AE1221" s="620"/>
      <c r="AF1221" s="471"/>
      <c r="AG1221" s="471"/>
      <c r="AH1221" s="471"/>
      <c r="AI1221" s="471"/>
      <c r="AJ1221" s="471"/>
      <c r="AK1221" s="425"/>
      <c r="AL1221" s="425"/>
      <c r="AM1221" s="425"/>
      <c r="AN1221" s="425"/>
      <c r="AO1221" s="425"/>
      <c r="AR1221" s="425"/>
      <c r="AU1221" s="425"/>
      <c r="AV1221" s="425"/>
    </row>
    <row r="1222" spans="1:48" s="393" customFormat="1" ht="22.25" customHeight="1">
      <c r="A1222" s="1017">
        <v>26</v>
      </c>
      <c r="B1222" s="946" t="s">
        <v>826</v>
      </c>
      <c r="C1222" s="664"/>
      <c r="D1222" s="664"/>
      <c r="E1222" s="1019"/>
      <c r="F1222" s="947"/>
      <c r="G1222" s="1020"/>
      <c r="H1222" s="1021"/>
      <c r="I1222" s="1019"/>
      <c r="J1222" s="514"/>
      <c r="K1222" s="514"/>
      <c r="L1222" s="514"/>
      <c r="M1222" s="725"/>
      <c r="N1222" s="725"/>
      <c r="O1222" s="725"/>
      <c r="P1222" s="725"/>
      <c r="Q1222" s="618"/>
      <c r="R1222" s="618"/>
      <c r="S1222" s="618"/>
      <c r="T1222" s="618"/>
      <c r="U1222" s="618"/>
      <c r="V1222" s="641"/>
      <c r="W1222" s="641"/>
      <c r="X1222" s="641"/>
      <c r="Y1222" s="618"/>
      <c r="Z1222" s="618"/>
      <c r="AA1222" s="618"/>
      <c r="AB1222" s="618"/>
      <c r="AC1222" s="620"/>
      <c r="AD1222" s="620"/>
      <c r="AE1222" s="620"/>
      <c r="AF1222" s="471"/>
      <c r="AG1222" s="471"/>
      <c r="AH1222" s="471"/>
      <c r="AI1222" s="471"/>
      <c r="AJ1222" s="471"/>
      <c r="AK1222" s="425"/>
      <c r="AL1222" s="425"/>
      <c r="AM1222" s="425"/>
      <c r="AN1222" s="425"/>
      <c r="AO1222" s="425"/>
      <c r="AR1222" s="425"/>
      <c r="AU1222" s="425"/>
      <c r="AV1222" s="425"/>
    </row>
    <row r="1223" spans="1:48" s="393" customFormat="1" ht="22.25" customHeight="1">
      <c r="A1223" s="1017"/>
      <c r="B1223" s="1022" t="s">
        <v>694</v>
      </c>
      <c r="C1223" s="664"/>
      <c r="D1223" s="664"/>
      <c r="E1223" s="1019">
        <v>1</v>
      </c>
      <c r="F1223" s="947">
        <v>6</v>
      </c>
      <c r="G1223" s="1020">
        <v>5</v>
      </c>
      <c r="H1223" s="1021"/>
      <c r="I1223" s="1019"/>
      <c r="J1223" s="507">
        <f>IF(I1223=0,1,I1223)*IF(H1223=0,1,H1223)*IF(G1223=0,1,G1223)*IF(F1223=0,1,F1223)*IF(E1223=0,1,E1223)*IF(D1223=0,1,D1223)*IF(C1223=0,1,C1223)</f>
        <v>30</v>
      </c>
      <c r="K1223" s="514"/>
      <c r="L1223" s="514"/>
      <c r="M1223" s="725"/>
      <c r="N1223" s="725"/>
      <c r="O1223" s="725"/>
      <c r="P1223" s="725"/>
      <c r="Q1223" s="618"/>
      <c r="R1223" s="618"/>
      <c r="S1223" s="618"/>
      <c r="T1223" s="618"/>
      <c r="U1223" s="618"/>
      <c r="V1223" s="641"/>
      <c r="W1223" s="641"/>
      <c r="X1223" s="641"/>
      <c r="Y1223" s="618"/>
      <c r="Z1223" s="618"/>
      <c r="AA1223" s="618"/>
      <c r="AB1223" s="618"/>
      <c r="AC1223" s="620"/>
      <c r="AD1223" s="620"/>
      <c r="AE1223" s="620"/>
      <c r="AF1223" s="471"/>
      <c r="AG1223" s="471"/>
      <c r="AH1223" s="471"/>
      <c r="AI1223" s="471"/>
      <c r="AJ1223" s="471"/>
      <c r="AK1223" s="425"/>
      <c r="AL1223" s="425"/>
      <c r="AM1223" s="425"/>
      <c r="AN1223" s="425"/>
      <c r="AO1223" s="425"/>
      <c r="AR1223" s="425"/>
      <c r="AU1223" s="425"/>
      <c r="AV1223" s="425"/>
    </row>
    <row r="1224" spans="1:48" s="393" customFormat="1" ht="22.25" customHeight="1">
      <c r="A1224" s="1017"/>
      <c r="B1224" s="1022"/>
      <c r="C1224" s="664"/>
      <c r="D1224" s="664"/>
      <c r="E1224" s="1019">
        <v>1</v>
      </c>
      <c r="F1224" s="947">
        <v>5</v>
      </c>
      <c r="G1224" s="1020">
        <v>5</v>
      </c>
      <c r="H1224" s="1021"/>
      <c r="I1224" s="1019"/>
      <c r="J1224" s="507">
        <f>IF(I1224=0,1,I1224)*IF(H1224=0,1,H1224)*IF(G1224=0,1,G1224)*IF(F1224=0,1,F1224)*IF(E1224=0,1,E1224)*IF(D1224=0,1,D1224)*IF(C1224=0,1,C1224)</f>
        <v>25</v>
      </c>
      <c r="K1224" s="514"/>
      <c r="L1224" s="514"/>
      <c r="M1224" s="725"/>
      <c r="N1224" s="725"/>
      <c r="O1224" s="725"/>
      <c r="P1224" s="725"/>
      <c r="Q1224" s="618"/>
      <c r="R1224" s="618"/>
      <c r="S1224" s="618"/>
      <c r="T1224" s="618"/>
      <c r="U1224" s="618"/>
      <c r="V1224" s="641"/>
      <c r="W1224" s="641"/>
      <c r="X1224" s="641"/>
      <c r="Y1224" s="618"/>
      <c r="Z1224" s="618"/>
      <c r="AA1224" s="618"/>
      <c r="AB1224" s="618"/>
      <c r="AC1224" s="620"/>
      <c r="AD1224" s="620"/>
      <c r="AE1224" s="620"/>
      <c r="AF1224" s="471"/>
      <c r="AG1224" s="471"/>
      <c r="AH1224" s="471"/>
      <c r="AI1224" s="471"/>
      <c r="AJ1224" s="471"/>
      <c r="AK1224" s="425"/>
      <c r="AL1224" s="425"/>
      <c r="AM1224" s="425"/>
      <c r="AN1224" s="425"/>
      <c r="AO1224" s="425"/>
      <c r="AR1224" s="425"/>
      <c r="AU1224" s="425"/>
      <c r="AV1224" s="425"/>
    </row>
    <row r="1225" spans="1:48" s="393" customFormat="1" ht="22.25" customHeight="1">
      <c r="A1225" s="1017"/>
      <c r="B1225" s="1022"/>
      <c r="C1225" s="664"/>
      <c r="D1225" s="664"/>
      <c r="E1225" s="1019"/>
      <c r="F1225" s="947"/>
      <c r="G1225" s="1020"/>
      <c r="H1225" s="1021"/>
      <c r="I1225" s="1019"/>
      <c r="J1225" s="514"/>
      <c r="K1225" s="1029">
        <f>SUM(J1222:J1225)</f>
        <v>55</v>
      </c>
      <c r="L1225" s="1027" t="s">
        <v>45</v>
      </c>
      <c r="M1225" s="725"/>
      <c r="N1225" s="725"/>
      <c r="O1225" s="725"/>
      <c r="P1225" s="725"/>
      <c r="Q1225" s="618"/>
      <c r="R1225" s="618"/>
      <c r="S1225" s="618"/>
      <c r="T1225" s="618"/>
      <c r="U1225" s="618"/>
      <c r="V1225" s="641"/>
      <c r="W1225" s="641"/>
      <c r="X1225" s="641"/>
      <c r="Y1225" s="618"/>
      <c r="Z1225" s="618"/>
      <c r="AA1225" s="618"/>
      <c r="AB1225" s="618"/>
      <c r="AC1225" s="620"/>
      <c r="AD1225" s="620"/>
      <c r="AE1225" s="620"/>
      <c r="AF1225" s="471"/>
      <c r="AG1225" s="471"/>
      <c r="AH1225" s="471"/>
      <c r="AI1225" s="471"/>
      <c r="AJ1225" s="471"/>
      <c r="AK1225" s="425"/>
      <c r="AL1225" s="425"/>
      <c r="AM1225" s="425"/>
      <c r="AN1225" s="425"/>
      <c r="AO1225" s="425"/>
      <c r="AR1225" s="425"/>
      <c r="AU1225" s="425"/>
      <c r="AV1225" s="425"/>
    </row>
    <row r="1226" spans="1:48" s="393" customFormat="1" ht="22.25" customHeight="1">
      <c r="A1226" s="1017"/>
      <c r="B1226" s="1022"/>
      <c r="C1226" s="664"/>
      <c r="D1226" s="664"/>
      <c r="E1226" s="1019"/>
      <c r="F1226" s="947"/>
      <c r="G1226" s="1020"/>
      <c r="H1226" s="1021"/>
      <c r="I1226" s="1019"/>
      <c r="J1226" s="514"/>
      <c r="K1226" s="513"/>
      <c r="L1226" s="458"/>
      <c r="M1226" s="725"/>
      <c r="N1226" s="725"/>
      <c r="O1226" s="725"/>
      <c r="P1226" s="725"/>
      <c r="Q1226" s="618"/>
      <c r="R1226" s="618"/>
      <c r="S1226" s="618"/>
      <c r="T1226" s="618"/>
      <c r="U1226" s="618"/>
      <c r="V1226" s="641"/>
      <c r="W1226" s="641"/>
      <c r="X1226" s="641"/>
      <c r="Y1226" s="618"/>
      <c r="Z1226" s="618"/>
      <c r="AA1226" s="618"/>
      <c r="AB1226" s="618"/>
      <c r="AC1226" s="620"/>
      <c r="AD1226" s="620"/>
      <c r="AE1226" s="620"/>
      <c r="AF1226" s="471"/>
      <c r="AG1226" s="471"/>
      <c r="AH1226" s="471"/>
      <c r="AI1226" s="471"/>
      <c r="AJ1226" s="471"/>
      <c r="AK1226" s="425"/>
      <c r="AL1226" s="425"/>
      <c r="AM1226" s="425"/>
      <c r="AN1226" s="425"/>
      <c r="AO1226" s="425"/>
      <c r="AR1226" s="425"/>
      <c r="AU1226" s="425"/>
      <c r="AV1226" s="425"/>
    </row>
    <row r="1227" spans="1:48" s="393" customFormat="1" ht="22.25" customHeight="1">
      <c r="A1227" s="1017"/>
      <c r="B1227" s="1022" t="s">
        <v>865</v>
      </c>
      <c r="C1227" s="664"/>
      <c r="D1227" s="664"/>
      <c r="E1227" s="1019"/>
      <c r="F1227" s="947"/>
      <c r="G1227" s="1020"/>
      <c r="H1227" s="1021"/>
      <c r="I1227" s="1019"/>
      <c r="J1227" s="514"/>
      <c r="K1227" s="513"/>
      <c r="L1227" s="458"/>
      <c r="M1227" s="725"/>
      <c r="N1227" s="725"/>
      <c r="O1227" s="725"/>
      <c r="P1227" s="725"/>
      <c r="Q1227" s="618"/>
      <c r="R1227" s="618"/>
      <c r="S1227" s="618"/>
      <c r="T1227" s="618"/>
      <c r="U1227" s="618"/>
      <c r="V1227" s="641"/>
      <c r="W1227" s="641"/>
      <c r="X1227" s="641"/>
      <c r="Y1227" s="618"/>
      <c r="Z1227" s="618"/>
      <c r="AA1227" s="618"/>
      <c r="AB1227" s="618"/>
      <c r="AC1227" s="620"/>
      <c r="AD1227" s="620"/>
      <c r="AE1227" s="620"/>
      <c r="AF1227" s="471"/>
      <c r="AG1227" s="471"/>
      <c r="AH1227" s="471"/>
      <c r="AI1227" s="471"/>
      <c r="AJ1227" s="471"/>
      <c r="AK1227" s="425"/>
      <c r="AL1227" s="425"/>
      <c r="AM1227" s="425"/>
      <c r="AN1227" s="425"/>
      <c r="AO1227" s="425"/>
      <c r="AR1227" s="425"/>
      <c r="AU1227" s="425"/>
      <c r="AV1227" s="425"/>
    </row>
    <row r="1228" spans="1:48" s="393" customFormat="1" ht="22.25" customHeight="1">
      <c r="A1228" s="1017"/>
      <c r="B1228" s="1022"/>
      <c r="C1228" s="664"/>
      <c r="D1228" s="664"/>
      <c r="E1228" s="1019">
        <f>E1223</f>
        <v>1</v>
      </c>
      <c r="F1228" s="947">
        <f>F1223*2+G1223*2</f>
        <v>22</v>
      </c>
      <c r="G1228" s="1020"/>
      <c r="H1228" s="1021"/>
      <c r="I1228" s="1019"/>
      <c r="J1228" s="507">
        <f>IF(I1228=0,1,I1228)*IF(H1228=0,1,H1228)*IF(G1228=0,1,G1228)*IF(F1228=0,1,F1228)*IF(E1228=0,1,E1228)*IF(D1228=0,1,D1228)*IF(C1228=0,1,C1228)</f>
        <v>22</v>
      </c>
      <c r="K1228" s="513"/>
      <c r="L1228" s="458"/>
      <c r="M1228" s="725"/>
      <c r="N1228" s="725"/>
      <c r="O1228" s="725"/>
      <c r="P1228" s="725"/>
      <c r="Q1228" s="618"/>
      <c r="R1228" s="618"/>
      <c r="S1228" s="618"/>
      <c r="T1228" s="618"/>
      <c r="U1228" s="618"/>
      <c r="V1228" s="641"/>
      <c r="W1228" s="641"/>
      <c r="X1228" s="641"/>
      <c r="Y1228" s="618"/>
      <c r="Z1228" s="618"/>
      <c r="AA1228" s="618"/>
      <c r="AB1228" s="618"/>
      <c r="AC1228" s="620"/>
      <c r="AD1228" s="620"/>
      <c r="AE1228" s="620"/>
      <c r="AF1228" s="471"/>
      <c r="AG1228" s="471"/>
      <c r="AH1228" s="471"/>
      <c r="AI1228" s="471"/>
      <c r="AJ1228" s="471"/>
      <c r="AK1228" s="425"/>
      <c r="AL1228" s="425"/>
      <c r="AM1228" s="425"/>
      <c r="AN1228" s="425"/>
      <c r="AO1228" s="425"/>
      <c r="AR1228" s="425"/>
      <c r="AU1228" s="425"/>
      <c r="AV1228" s="425"/>
    </row>
    <row r="1229" spans="1:48" s="393" customFormat="1" ht="22.25" customHeight="1">
      <c r="A1229" s="1017"/>
      <c r="B1229" s="1022"/>
      <c r="C1229" s="664"/>
      <c r="D1229" s="664"/>
      <c r="E1229" s="1019">
        <f>E1224</f>
        <v>1</v>
      </c>
      <c r="F1229" s="947">
        <f>F1224*2+G1224*2</f>
        <v>20</v>
      </c>
      <c r="G1229" s="1020"/>
      <c r="H1229" s="1021"/>
      <c r="I1229" s="1019"/>
      <c r="J1229" s="507">
        <f>IF(I1229=0,1,I1229)*IF(H1229=0,1,H1229)*IF(G1229=0,1,G1229)*IF(F1229=0,1,F1229)*IF(E1229=0,1,E1229)*IF(D1229=0,1,D1229)*IF(C1229=0,1,C1229)</f>
        <v>20</v>
      </c>
      <c r="K1229" s="513"/>
      <c r="L1229" s="458"/>
      <c r="M1229" s="725"/>
      <c r="N1229" s="725"/>
      <c r="O1229" s="725"/>
      <c r="P1229" s="725"/>
      <c r="Q1229" s="618"/>
      <c r="R1229" s="618"/>
      <c r="S1229" s="618"/>
      <c r="T1229" s="618"/>
      <c r="U1229" s="618"/>
      <c r="V1229" s="641"/>
      <c r="W1229" s="641"/>
      <c r="X1229" s="641"/>
      <c r="Y1229" s="618"/>
      <c r="Z1229" s="618"/>
      <c r="AA1229" s="618"/>
      <c r="AB1229" s="618"/>
      <c r="AC1229" s="620"/>
      <c r="AD1229" s="620"/>
      <c r="AE1229" s="620"/>
      <c r="AF1229" s="471"/>
      <c r="AG1229" s="471"/>
      <c r="AH1229" s="471"/>
      <c r="AI1229" s="471"/>
      <c r="AJ1229" s="471"/>
      <c r="AK1229" s="425"/>
      <c r="AL1229" s="425"/>
      <c r="AM1229" s="425"/>
      <c r="AN1229" s="425"/>
      <c r="AO1229" s="425"/>
      <c r="AR1229" s="425"/>
      <c r="AU1229" s="425"/>
      <c r="AV1229" s="425"/>
    </row>
    <row r="1230" spans="1:48" s="393" customFormat="1" ht="22.25" customHeight="1">
      <c r="A1230" s="1017"/>
      <c r="B1230" s="1022"/>
      <c r="C1230" s="664"/>
      <c r="D1230" s="664"/>
      <c r="E1230" s="1019"/>
      <c r="F1230" s="947"/>
      <c r="G1230" s="1020"/>
      <c r="H1230" s="1021"/>
      <c r="I1230" s="1019"/>
      <c r="J1230" s="507"/>
      <c r="K1230" s="513">
        <f>SUM(J1227:J1230)</f>
        <v>42</v>
      </c>
      <c r="L1230" s="458" t="s">
        <v>13</v>
      </c>
      <c r="M1230" s="725"/>
      <c r="N1230" s="725"/>
      <c r="O1230" s="725"/>
      <c r="P1230" s="725"/>
      <c r="Q1230" s="618"/>
      <c r="R1230" s="618"/>
      <c r="S1230" s="618"/>
      <c r="T1230" s="618"/>
      <c r="U1230" s="618"/>
      <c r="V1230" s="641"/>
      <c r="W1230" s="641"/>
      <c r="X1230" s="641"/>
      <c r="Y1230" s="618"/>
      <c r="Z1230" s="618"/>
      <c r="AA1230" s="618"/>
      <c r="AB1230" s="618"/>
      <c r="AC1230" s="620"/>
      <c r="AD1230" s="620"/>
      <c r="AE1230" s="620"/>
      <c r="AF1230" s="471"/>
      <c r="AG1230" s="471"/>
      <c r="AH1230" s="471"/>
      <c r="AI1230" s="471"/>
      <c r="AJ1230" s="471"/>
      <c r="AK1230" s="425"/>
      <c r="AL1230" s="425"/>
      <c r="AM1230" s="425"/>
      <c r="AN1230" s="425"/>
      <c r="AO1230" s="425"/>
      <c r="AR1230" s="425"/>
      <c r="AU1230" s="425"/>
      <c r="AV1230" s="425"/>
    </row>
    <row r="1231" spans="1:48" s="393" customFormat="1" ht="22.25" customHeight="1">
      <c r="A1231" s="1017"/>
      <c r="B1231" s="1022"/>
      <c r="C1231" s="664"/>
      <c r="D1231" s="664"/>
      <c r="E1231" s="1019"/>
      <c r="F1231" s="947"/>
      <c r="G1231" s="1020"/>
      <c r="H1231" s="1021"/>
      <c r="I1231" s="1044" t="s">
        <v>943</v>
      </c>
      <c r="J1231" s="507"/>
      <c r="K1231" s="513">
        <f>K1230*1.1</f>
        <v>46.2</v>
      </c>
      <c r="L1231" s="458" t="s">
        <v>13</v>
      </c>
      <c r="M1231" s="725"/>
      <c r="N1231" s="725"/>
      <c r="O1231" s="725"/>
      <c r="P1231" s="725"/>
      <c r="Q1231" s="618"/>
      <c r="R1231" s="618"/>
      <c r="S1231" s="618"/>
      <c r="T1231" s="618"/>
      <c r="U1231" s="618"/>
      <c r="V1231" s="641"/>
      <c r="W1231" s="641"/>
      <c r="X1231" s="641"/>
      <c r="Y1231" s="618"/>
      <c r="Z1231" s="618"/>
      <c r="AA1231" s="618"/>
      <c r="AB1231" s="618"/>
      <c r="AC1231" s="620"/>
      <c r="AD1231" s="620"/>
      <c r="AE1231" s="620"/>
      <c r="AF1231" s="471"/>
      <c r="AG1231" s="471"/>
      <c r="AH1231" s="471"/>
      <c r="AI1231" s="471"/>
      <c r="AJ1231" s="471"/>
      <c r="AK1231" s="425"/>
      <c r="AL1231" s="425"/>
      <c r="AM1231" s="425"/>
      <c r="AN1231" s="425"/>
      <c r="AO1231" s="425"/>
      <c r="AR1231" s="425"/>
      <c r="AU1231" s="425"/>
      <c r="AV1231" s="425"/>
    </row>
    <row r="1232" spans="1:48" s="393" customFormat="1" ht="22.25" customHeight="1">
      <c r="A1232" s="1017"/>
      <c r="B1232" s="1022"/>
      <c r="C1232" s="664"/>
      <c r="D1232" s="664"/>
      <c r="E1232" s="1019"/>
      <c r="F1232" s="947"/>
      <c r="G1232" s="1020"/>
      <c r="H1232" s="1021"/>
      <c r="I1232" s="1019"/>
      <c r="J1232" s="507"/>
      <c r="K1232" s="513">
        <f>K1231/8</f>
        <v>5.7750000000000004</v>
      </c>
      <c r="L1232" s="458" t="s">
        <v>304</v>
      </c>
      <c r="M1232" s="725"/>
      <c r="N1232" s="725"/>
      <c r="O1232" s="725"/>
      <c r="P1232" s="725"/>
      <c r="Q1232" s="618"/>
      <c r="R1232" s="618"/>
      <c r="S1232" s="618"/>
      <c r="T1232" s="618"/>
      <c r="U1232" s="618"/>
      <c r="V1232" s="641"/>
      <c r="W1232" s="641"/>
      <c r="X1232" s="641"/>
      <c r="Y1232" s="618"/>
      <c r="Z1232" s="618"/>
      <c r="AA1232" s="618"/>
      <c r="AB1232" s="618"/>
      <c r="AC1232" s="620"/>
      <c r="AD1232" s="620"/>
      <c r="AE1232" s="620"/>
      <c r="AF1232" s="471"/>
      <c r="AG1232" s="471"/>
      <c r="AH1232" s="471"/>
      <c r="AI1232" s="471"/>
      <c r="AJ1232" s="471"/>
      <c r="AK1232" s="425"/>
      <c r="AL1232" s="425"/>
      <c r="AM1232" s="425"/>
      <c r="AN1232" s="425"/>
      <c r="AO1232" s="425"/>
      <c r="AR1232" s="425"/>
      <c r="AU1232" s="425"/>
      <c r="AV1232" s="425"/>
    </row>
    <row r="1233" spans="1:48" s="393" customFormat="1" ht="22.25" customHeight="1">
      <c r="A1233" s="1017"/>
      <c r="B1233" s="1022"/>
      <c r="C1233" s="664"/>
      <c r="D1233" s="664"/>
      <c r="E1233" s="1019"/>
      <c r="F1233" s="947"/>
      <c r="G1233" s="1020"/>
      <c r="H1233" s="1021"/>
      <c r="I1233" s="1019"/>
      <c r="J1233" s="514"/>
      <c r="K1233" s="513"/>
      <c r="L1233" s="458"/>
      <c r="M1233" s="725"/>
      <c r="N1233" s="725"/>
      <c r="O1233" s="725"/>
      <c r="P1233" s="725"/>
      <c r="Q1233" s="618"/>
      <c r="R1233" s="618"/>
      <c r="S1233" s="618"/>
      <c r="T1233" s="618"/>
      <c r="U1233" s="618"/>
      <c r="V1233" s="641"/>
      <c r="W1233" s="641"/>
      <c r="X1233" s="641"/>
      <c r="Y1233" s="618"/>
      <c r="Z1233" s="618"/>
      <c r="AA1233" s="618"/>
      <c r="AB1233" s="618"/>
      <c r="AC1233" s="620"/>
      <c r="AD1233" s="620"/>
      <c r="AE1233" s="620"/>
      <c r="AF1233" s="471"/>
      <c r="AG1233" s="471"/>
      <c r="AH1233" s="471"/>
      <c r="AI1233" s="471"/>
      <c r="AJ1233" s="471"/>
      <c r="AK1233" s="425"/>
      <c r="AL1233" s="425"/>
      <c r="AM1233" s="425"/>
      <c r="AN1233" s="425"/>
      <c r="AO1233" s="425"/>
      <c r="AR1233" s="425"/>
      <c r="AU1233" s="425"/>
      <c r="AV1233" s="425"/>
    </row>
    <row r="1234" spans="1:48" s="396" customFormat="1" ht="22.25" customHeight="1">
      <c r="A1234" s="1080"/>
      <c r="B1234" s="1081" t="s">
        <v>851</v>
      </c>
      <c r="C1234" s="1082"/>
      <c r="D1234" s="1082"/>
      <c r="E1234" s="1083"/>
      <c r="F1234" s="1084"/>
      <c r="G1234" s="1085"/>
      <c r="H1234" s="1086"/>
      <c r="I1234" s="1083"/>
      <c r="J1234" s="1087"/>
      <c r="K1234" s="1088"/>
      <c r="L1234" s="1036"/>
      <c r="M1234" s="971"/>
      <c r="N1234" s="971"/>
      <c r="O1234" s="971"/>
      <c r="P1234" s="971"/>
      <c r="Q1234" s="618"/>
      <c r="R1234" s="618"/>
      <c r="S1234" s="618"/>
      <c r="T1234" s="618"/>
      <c r="U1234" s="618"/>
      <c r="V1234" s="641"/>
      <c r="W1234" s="641"/>
      <c r="X1234" s="641"/>
      <c r="Y1234" s="618"/>
      <c r="Z1234" s="618"/>
      <c r="AA1234" s="618"/>
      <c r="AB1234" s="618"/>
      <c r="AC1234" s="620"/>
      <c r="AD1234" s="620"/>
      <c r="AE1234" s="620"/>
      <c r="AF1234" s="944"/>
      <c r="AG1234" s="944"/>
      <c r="AH1234" s="944"/>
      <c r="AI1234" s="944"/>
      <c r="AJ1234" s="944"/>
      <c r="AK1234" s="409"/>
      <c r="AL1234" s="409"/>
      <c r="AM1234" s="409"/>
      <c r="AN1234" s="409"/>
      <c r="AO1234" s="409"/>
      <c r="AR1234" s="409"/>
      <c r="AU1234" s="409"/>
      <c r="AV1234" s="409"/>
    </row>
    <row r="1235" spans="1:48" s="396" customFormat="1" ht="22.25" customHeight="1">
      <c r="A1235" s="1080"/>
      <c r="B1235" s="1081"/>
      <c r="C1235" s="1082"/>
      <c r="D1235" s="1082"/>
      <c r="E1235" s="1083">
        <f>F1223/2</f>
        <v>3</v>
      </c>
      <c r="F1235" s="1084">
        <f>G1223</f>
        <v>5</v>
      </c>
      <c r="G1235" s="1085"/>
      <c r="H1235" s="1086"/>
      <c r="I1235" s="1083"/>
      <c r="J1235" s="943">
        <f>IF(I1235=0,1,I1235)*IF(H1235=0,1,H1235)*IF(G1235=0,1,G1235)*IF(F1235=0,1,F1235)*IF(E1235=0,1,E1235)*IF(D1235=0,1,D1235)*IF(C1235=0,1,C1235)</f>
        <v>15</v>
      </c>
      <c r="K1235" s="1088"/>
      <c r="L1235" s="1036"/>
      <c r="M1235" s="971"/>
      <c r="N1235" s="971"/>
      <c r="O1235" s="971"/>
      <c r="P1235" s="971"/>
      <c r="Q1235" s="618"/>
      <c r="R1235" s="618"/>
      <c r="S1235" s="618"/>
      <c r="T1235" s="618"/>
      <c r="U1235" s="618"/>
      <c r="V1235" s="641"/>
      <c r="W1235" s="641"/>
      <c r="X1235" s="641"/>
      <c r="Y1235" s="618"/>
      <c r="Z1235" s="618"/>
      <c r="AA1235" s="618"/>
      <c r="AB1235" s="618"/>
      <c r="AC1235" s="620"/>
      <c r="AD1235" s="620"/>
      <c r="AE1235" s="620"/>
      <c r="AF1235" s="944"/>
      <c r="AG1235" s="944"/>
      <c r="AH1235" s="944"/>
      <c r="AI1235" s="944"/>
      <c r="AJ1235" s="944"/>
      <c r="AK1235" s="409"/>
      <c r="AL1235" s="409"/>
      <c r="AM1235" s="409"/>
      <c r="AN1235" s="409"/>
      <c r="AO1235" s="409"/>
      <c r="AR1235" s="409"/>
      <c r="AU1235" s="409"/>
      <c r="AV1235" s="409"/>
    </row>
    <row r="1236" spans="1:48" s="396" customFormat="1" ht="22.25" customHeight="1">
      <c r="A1236" s="1080"/>
      <c r="B1236" s="1081"/>
      <c r="C1236" s="1082"/>
      <c r="D1236" s="1082"/>
      <c r="E1236" s="1083">
        <f>G1223/2</f>
        <v>2.5</v>
      </c>
      <c r="F1236" s="1084">
        <f>F1223</f>
        <v>6</v>
      </c>
      <c r="G1236" s="1085"/>
      <c r="H1236" s="1086"/>
      <c r="I1236" s="1083"/>
      <c r="J1236" s="943">
        <f>IF(I1236=0,1,I1236)*IF(H1236=0,1,H1236)*IF(G1236=0,1,G1236)*IF(F1236=0,1,F1236)*IF(E1236=0,1,E1236)*IF(D1236=0,1,D1236)*IF(C1236=0,1,C1236)</f>
        <v>15</v>
      </c>
      <c r="K1236" s="1088"/>
      <c r="L1236" s="1036"/>
      <c r="M1236" s="971"/>
      <c r="N1236" s="971"/>
      <c r="O1236" s="971"/>
      <c r="P1236" s="971"/>
      <c r="Q1236" s="618"/>
      <c r="R1236" s="618"/>
      <c r="S1236" s="618"/>
      <c r="T1236" s="618"/>
      <c r="U1236" s="618"/>
      <c r="V1236" s="641"/>
      <c r="W1236" s="641"/>
      <c r="X1236" s="641"/>
      <c r="Y1236" s="618"/>
      <c r="Z1236" s="618"/>
      <c r="AA1236" s="618"/>
      <c r="AB1236" s="618"/>
      <c r="AC1236" s="620"/>
      <c r="AD1236" s="620"/>
      <c r="AE1236" s="620"/>
      <c r="AF1236" s="944"/>
      <c r="AG1236" s="944"/>
      <c r="AH1236" s="944"/>
      <c r="AI1236" s="944"/>
      <c r="AJ1236" s="944"/>
      <c r="AK1236" s="409"/>
      <c r="AL1236" s="409"/>
      <c r="AM1236" s="409"/>
      <c r="AN1236" s="409"/>
      <c r="AO1236" s="409"/>
      <c r="AR1236" s="409"/>
      <c r="AU1236" s="409"/>
      <c r="AV1236" s="409"/>
    </row>
    <row r="1237" spans="1:48" s="396" customFormat="1" ht="22.25" customHeight="1">
      <c r="A1237" s="1080"/>
      <c r="B1237" s="1081"/>
      <c r="C1237" s="1082"/>
      <c r="D1237" s="1082">
        <v>2</v>
      </c>
      <c r="E1237" s="1083">
        <f>F1224/2</f>
        <v>2.5</v>
      </c>
      <c r="F1237" s="1084">
        <f>F1224</f>
        <v>5</v>
      </c>
      <c r="G1237" s="1085"/>
      <c r="H1237" s="1086"/>
      <c r="I1237" s="1083"/>
      <c r="J1237" s="943">
        <f>IF(I1237=0,1,I1237)*IF(H1237=0,1,H1237)*IF(G1237=0,1,G1237)*IF(F1237=0,1,F1237)*IF(E1237=0,1,E1237)*IF(D1237=0,1,D1237)*IF(C1237=0,1,C1237)</f>
        <v>25</v>
      </c>
      <c r="K1237" s="1088"/>
      <c r="L1237" s="1036"/>
      <c r="M1237" s="971"/>
      <c r="N1237" s="971"/>
      <c r="O1237" s="971"/>
      <c r="P1237" s="971"/>
      <c r="Q1237" s="618"/>
      <c r="R1237" s="618"/>
      <c r="S1237" s="618"/>
      <c r="T1237" s="618"/>
      <c r="U1237" s="618"/>
      <c r="V1237" s="641"/>
      <c r="W1237" s="641"/>
      <c r="X1237" s="641"/>
      <c r="Y1237" s="618"/>
      <c r="Z1237" s="618"/>
      <c r="AA1237" s="618"/>
      <c r="AB1237" s="618"/>
      <c r="AC1237" s="620"/>
      <c r="AD1237" s="620"/>
      <c r="AE1237" s="620"/>
      <c r="AF1237" s="944"/>
      <c r="AG1237" s="944"/>
      <c r="AH1237" s="944"/>
      <c r="AI1237" s="944"/>
      <c r="AJ1237" s="944"/>
      <c r="AK1237" s="409"/>
      <c r="AL1237" s="409"/>
      <c r="AM1237" s="409"/>
      <c r="AN1237" s="409"/>
      <c r="AO1237" s="409"/>
      <c r="AR1237" s="409"/>
      <c r="AU1237" s="409"/>
      <c r="AV1237" s="409"/>
    </row>
    <row r="1238" spans="1:48" s="396" customFormat="1" ht="22.25" customHeight="1">
      <c r="A1238" s="1080"/>
      <c r="B1238" s="1081"/>
      <c r="C1238" s="1082"/>
      <c r="D1238" s="1082"/>
      <c r="E1238" s="1083"/>
      <c r="F1238" s="1084"/>
      <c r="G1238" s="1085"/>
      <c r="H1238" s="1086"/>
      <c r="I1238" s="1083"/>
      <c r="J1238" s="943"/>
      <c r="K1238" s="1088">
        <f>SUM(J1234:J1238)</f>
        <v>55</v>
      </c>
      <c r="L1238" s="1036" t="s">
        <v>13</v>
      </c>
      <c r="M1238" s="971"/>
      <c r="N1238" s="971"/>
      <c r="O1238" s="971"/>
      <c r="P1238" s="971"/>
      <c r="Q1238" s="618"/>
      <c r="R1238" s="618"/>
      <c r="S1238" s="618"/>
      <c r="T1238" s="618"/>
      <c r="U1238" s="618"/>
      <c r="V1238" s="641"/>
      <c r="W1238" s="641"/>
      <c r="X1238" s="641"/>
      <c r="Y1238" s="618"/>
      <c r="Z1238" s="618"/>
      <c r="AA1238" s="618"/>
      <c r="AB1238" s="618"/>
      <c r="AC1238" s="620"/>
      <c r="AD1238" s="620"/>
      <c r="AE1238" s="620"/>
      <c r="AF1238" s="944"/>
      <c r="AG1238" s="944"/>
      <c r="AH1238" s="944"/>
      <c r="AI1238" s="944"/>
      <c r="AJ1238" s="944"/>
      <c r="AK1238" s="409"/>
      <c r="AL1238" s="409"/>
      <c r="AM1238" s="409"/>
      <c r="AN1238" s="409"/>
      <c r="AO1238" s="409"/>
      <c r="AR1238" s="409"/>
      <c r="AU1238" s="409"/>
      <c r="AV1238" s="409"/>
    </row>
    <row r="1239" spans="1:48" s="396" customFormat="1" ht="22.25" customHeight="1">
      <c r="A1239" s="1080"/>
      <c r="B1239" s="1081"/>
      <c r="C1239" s="1082"/>
      <c r="D1239" s="1082"/>
      <c r="E1239" s="1083"/>
      <c r="F1239" s="1084"/>
      <c r="G1239" s="1085"/>
      <c r="H1239" s="1086"/>
      <c r="I1239" s="1089" t="s">
        <v>943</v>
      </c>
      <c r="J1239" s="943"/>
      <c r="K1239" s="1088">
        <f>K1238*1.1</f>
        <v>60.500000000000007</v>
      </c>
      <c r="L1239" s="1036" t="s">
        <v>13</v>
      </c>
      <c r="M1239" s="971"/>
      <c r="N1239" s="971"/>
      <c r="O1239" s="971"/>
      <c r="P1239" s="971"/>
      <c r="Q1239" s="618"/>
      <c r="R1239" s="618"/>
      <c r="S1239" s="618"/>
      <c r="T1239" s="618"/>
      <c r="U1239" s="618"/>
      <c r="V1239" s="641"/>
      <c r="W1239" s="641"/>
      <c r="X1239" s="641"/>
      <c r="Y1239" s="618"/>
      <c r="Z1239" s="618"/>
      <c r="AA1239" s="618"/>
      <c r="AB1239" s="618"/>
      <c r="AC1239" s="620"/>
      <c r="AD1239" s="620"/>
      <c r="AE1239" s="620"/>
      <c r="AF1239" s="944"/>
      <c r="AG1239" s="944"/>
      <c r="AH1239" s="944"/>
      <c r="AI1239" s="944"/>
      <c r="AJ1239" s="944"/>
      <c r="AK1239" s="409"/>
      <c r="AL1239" s="409"/>
      <c r="AM1239" s="409"/>
      <c r="AN1239" s="409"/>
      <c r="AO1239" s="409"/>
      <c r="AR1239" s="409"/>
      <c r="AU1239" s="409"/>
      <c r="AV1239" s="409"/>
    </row>
    <row r="1240" spans="1:48" s="396" customFormat="1" ht="22.25" customHeight="1">
      <c r="A1240" s="1080"/>
      <c r="B1240" s="1081"/>
      <c r="C1240" s="1082"/>
      <c r="D1240" s="1082"/>
      <c r="E1240" s="1083"/>
      <c r="F1240" s="1084"/>
      <c r="G1240" s="1085"/>
      <c r="H1240" s="1086"/>
      <c r="I1240" s="1083"/>
      <c r="J1240" s="943"/>
      <c r="K1240" s="1088">
        <f>K1239/8</f>
        <v>7.5625000000000009</v>
      </c>
      <c r="L1240" s="1036" t="s">
        <v>304</v>
      </c>
      <c r="M1240" s="971"/>
      <c r="N1240" s="971"/>
      <c r="O1240" s="971"/>
      <c r="P1240" s="971"/>
      <c r="Q1240" s="618"/>
      <c r="R1240" s="618"/>
      <c r="S1240" s="618"/>
      <c r="T1240" s="618"/>
      <c r="U1240" s="618"/>
      <c r="V1240" s="641"/>
      <c r="W1240" s="641"/>
      <c r="X1240" s="641"/>
      <c r="Y1240" s="618"/>
      <c r="Z1240" s="618"/>
      <c r="AA1240" s="618"/>
      <c r="AB1240" s="618"/>
      <c r="AC1240" s="620"/>
      <c r="AD1240" s="620"/>
      <c r="AE1240" s="620"/>
      <c r="AF1240" s="944"/>
      <c r="AG1240" s="944"/>
      <c r="AH1240" s="944"/>
      <c r="AI1240" s="944"/>
      <c r="AJ1240" s="944"/>
      <c r="AK1240" s="409"/>
      <c r="AL1240" s="409"/>
      <c r="AM1240" s="409"/>
      <c r="AN1240" s="409"/>
      <c r="AO1240" s="409"/>
      <c r="AR1240" s="409"/>
      <c r="AU1240" s="409"/>
      <c r="AV1240" s="409"/>
    </row>
    <row r="1241" spans="1:48" s="396" customFormat="1" ht="22.25" customHeight="1">
      <c r="A1241" s="1080"/>
      <c r="B1241" s="1081"/>
      <c r="C1241" s="1082"/>
      <c r="D1241" s="1082"/>
      <c r="E1241" s="1083"/>
      <c r="F1241" s="1084"/>
      <c r="G1241" s="1085"/>
      <c r="H1241" s="1086"/>
      <c r="I1241" s="1083"/>
      <c r="J1241" s="1087"/>
      <c r="K1241" s="1088"/>
      <c r="L1241" s="1036"/>
      <c r="M1241" s="971"/>
      <c r="N1241" s="971"/>
      <c r="O1241" s="971"/>
      <c r="P1241" s="971"/>
      <c r="Q1241" s="618"/>
      <c r="R1241" s="618"/>
      <c r="S1241" s="618"/>
      <c r="T1241" s="618"/>
      <c r="U1241" s="618"/>
      <c r="V1241" s="641"/>
      <c r="W1241" s="641"/>
      <c r="X1241" s="641"/>
      <c r="Y1241" s="618"/>
      <c r="Z1241" s="618"/>
      <c r="AA1241" s="618"/>
      <c r="AB1241" s="618"/>
      <c r="AC1241" s="620"/>
      <c r="AD1241" s="620"/>
      <c r="AE1241" s="620"/>
      <c r="AF1241" s="944"/>
      <c r="AG1241" s="944"/>
      <c r="AH1241" s="944"/>
      <c r="AI1241" s="944"/>
      <c r="AJ1241" s="944"/>
      <c r="AK1241" s="409"/>
      <c r="AL1241" s="409"/>
      <c r="AM1241" s="409"/>
      <c r="AN1241" s="409"/>
      <c r="AO1241" s="409"/>
      <c r="AR1241" s="409"/>
      <c r="AU1241" s="409"/>
      <c r="AV1241" s="409"/>
    </row>
    <row r="1242" spans="1:48" s="390" customFormat="1" ht="20.399999999999999" customHeight="1">
      <c r="A1242" s="454">
        <v>27</v>
      </c>
      <c r="B1242" s="655" t="s">
        <v>837</v>
      </c>
      <c r="C1242" s="662"/>
      <c r="D1242" s="662"/>
      <c r="E1242" s="662"/>
      <c r="F1242" s="504"/>
      <c r="G1242" s="643"/>
      <c r="H1242" s="648"/>
      <c r="I1242" s="501"/>
      <c r="J1242" s="455"/>
      <c r="K1242" s="455"/>
      <c r="L1242" s="455"/>
      <c r="M1242" s="725"/>
      <c r="N1242" s="725"/>
      <c r="O1242" s="725"/>
      <c r="P1242" s="725"/>
      <c r="Q1242" s="618"/>
      <c r="R1242" s="618"/>
      <c r="S1242" s="618"/>
      <c r="T1242" s="618"/>
      <c r="U1242" s="618"/>
      <c r="V1242" s="641"/>
      <c r="W1242" s="641"/>
      <c r="X1242" s="641"/>
      <c r="Y1242" s="618"/>
      <c r="Z1242" s="618"/>
      <c r="AA1242" s="618"/>
      <c r="AB1242" s="618"/>
      <c r="AC1242" s="620"/>
      <c r="AD1242" s="620"/>
      <c r="AE1242" s="620"/>
      <c r="AF1242" s="471"/>
      <c r="AG1242" s="471"/>
      <c r="AH1242" s="471"/>
      <c r="AI1242" s="471"/>
      <c r="AJ1242" s="471"/>
      <c r="AK1242" s="471"/>
      <c r="AL1242" s="471"/>
      <c r="AM1242" s="471"/>
      <c r="AN1242" s="471"/>
      <c r="AO1242" s="471"/>
      <c r="AR1242" s="404"/>
      <c r="AU1242" s="404"/>
      <c r="AV1242" s="404"/>
    </row>
    <row r="1243" spans="1:48" s="390" customFormat="1" ht="20.399999999999999" customHeight="1">
      <c r="A1243" s="454"/>
      <c r="B1243" s="878" t="s">
        <v>834</v>
      </c>
      <c r="C1243" s="662"/>
      <c r="D1243" s="662"/>
      <c r="E1243" s="662">
        <v>1</v>
      </c>
      <c r="F1243" s="504">
        <f>K1154+K1158</f>
        <v>2259</v>
      </c>
      <c r="G1243" s="643"/>
      <c r="H1243" s="648"/>
      <c r="I1243" s="501"/>
      <c r="J1243" s="943">
        <f>IF(I1243=0,1,I1243)*IF(H1243=0,1,H1243)*IF(G1243=0,1,G1243)*IF(F1243=0,1,F1243)*IF(E1243=0,1,E1243)*IF(D1243=0,1,D1243)*IF(C1243=0,1,C1243)</f>
        <v>2259</v>
      </c>
      <c r="K1243" s="510"/>
      <c r="L1243" s="510"/>
      <c r="M1243" s="725"/>
      <c r="N1243" s="725"/>
      <c r="O1243" s="725"/>
      <c r="P1243" s="725"/>
      <c r="Q1243" s="618"/>
      <c r="R1243" s="618"/>
      <c r="S1243" s="618"/>
      <c r="T1243" s="618"/>
      <c r="U1243" s="618"/>
      <c r="V1243" s="641"/>
      <c r="W1243" s="641"/>
      <c r="X1243" s="641"/>
      <c r="Y1243" s="618"/>
      <c r="Z1243" s="618"/>
      <c r="AA1243" s="618"/>
      <c r="AB1243" s="618"/>
      <c r="AC1243" s="620"/>
      <c r="AD1243" s="620"/>
      <c r="AE1243" s="620"/>
      <c r="AF1243" s="471"/>
      <c r="AG1243" s="471"/>
      <c r="AH1243" s="471"/>
      <c r="AI1243" s="471"/>
      <c r="AJ1243" s="471"/>
      <c r="AK1243" s="471"/>
      <c r="AL1243" s="471"/>
      <c r="AM1243" s="471"/>
      <c r="AN1243" s="471"/>
      <c r="AO1243" s="471"/>
      <c r="AR1243" s="404"/>
      <c r="AU1243" s="404"/>
      <c r="AV1243" s="404"/>
    </row>
    <row r="1244" spans="1:48" s="390" customFormat="1" ht="20.399999999999999" customHeight="1" thickBot="1">
      <c r="A1244" s="454"/>
      <c r="B1244" s="655"/>
      <c r="C1244" s="662"/>
      <c r="D1244" s="662"/>
      <c r="E1244" s="662"/>
      <c r="F1244" s="504"/>
      <c r="G1244" s="643"/>
      <c r="H1244" s="648"/>
      <c r="I1244" s="501"/>
      <c r="J1244" s="455"/>
      <c r="K1244" s="508">
        <f>SUM(J1242:J1244)</f>
        <v>2259</v>
      </c>
      <c r="L1244" s="508" t="s">
        <v>45</v>
      </c>
      <c r="M1244" s="725"/>
      <c r="N1244" s="725"/>
      <c r="O1244" s="725"/>
      <c r="P1244" s="725"/>
      <c r="Q1244" s="618"/>
      <c r="R1244" s="618"/>
      <c r="S1244" s="618"/>
      <c r="T1244" s="618"/>
      <c r="U1244" s="618"/>
      <c r="V1244" s="641"/>
      <c r="W1244" s="641"/>
      <c r="X1244" s="641"/>
      <c r="Y1244" s="618"/>
      <c r="Z1244" s="618"/>
      <c r="AA1244" s="618"/>
      <c r="AB1244" s="618"/>
      <c r="AC1244" s="620"/>
      <c r="AD1244" s="620"/>
      <c r="AE1244" s="620"/>
      <c r="AF1244" s="471"/>
      <c r="AG1244" s="471"/>
      <c r="AH1244" s="471"/>
      <c r="AI1244" s="471"/>
      <c r="AJ1244" s="471"/>
      <c r="AK1244" s="471"/>
      <c r="AL1244" s="471"/>
      <c r="AM1244" s="471"/>
      <c r="AN1244" s="471"/>
      <c r="AO1244" s="471"/>
      <c r="AR1244" s="404"/>
      <c r="AU1244" s="404"/>
      <c r="AV1244" s="404"/>
    </row>
    <row r="1245" spans="1:48" s="390" customFormat="1" ht="20.399999999999999" customHeight="1" thickBot="1">
      <c r="A1245" s="454"/>
      <c r="B1245" s="655"/>
      <c r="C1245" s="662"/>
      <c r="D1245" s="662"/>
      <c r="E1245" s="662"/>
      <c r="F1245" s="504"/>
      <c r="G1245" s="643"/>
      <c r="H1245" s="648"/>
      <c r="I1245" s="501"/>
      <c r="J1245" s="455"/>
      <c r="K1245" s="502">
        <f>K1244/100</f>
        <v>22.59</v>
      </c>
      <c r="L1245" s="502" t="s">
        <v>315</v>
      </c>
      <c r="M1245" s="725"/>
      <c r="N1245" s="725"/>
      <c r="O1245" s="725"/>
      <c r="P1245" s="725"/>
      <c r="Q1245" s="618"/>
      <c r="R1245" s="618"/>
      <c r="S1245" s="618"/>
      <c r="T1245" s="618"/>
      <c r="U1245" s="618"/>
      <c r="V1245" s="641"/>
      <c r="W1245" s="641"/>
      <c r="X1245" s="641"/>
      <c r="Y1245" s="618"/>
      <c r="Z1245" s="618"/>
      <c r="AA1245" s="618"/>
      <c r="AB1245" s="618"/>
      <c r="AC1245" s="620"/>
      <c r="AD1245" s="620"/>
      <c r="AE1245" s="620"/>
      <c r="AF1245" s="471"/>
      <c r="AG1245" s="471"/>
      <c r="AH1245" s="471"/>
      <c r="AI1245" s="471"/>
      <c r="AJ1245" s="471"/>
      <c r="AK1245" s="471"/>
      <c r="AL1245" s="471"/>
      <c r="AM1245" s="471"/>
      <c r="AN1245" s="471"/>
      <c r="AO1245" s="471"/>
      <c r="AR1245" s="404"/>
      <c r="AU1245" s="404"/>
      <c r="AV1245" s="404"/>
    </row>
    <row r="1246" spans="1:48" s="390" customFormat="1" ht="20.399999999999999" customHeight="1" thickTop="1">
      <c r="A1246" s="454"/>
      <c r="B1246" s="655"/>
      <c r="C1246" s="662"/>
      <c r="D1246" s="662"/>
      <c r="E1246" s="662"/>
      <c r="F1246" s="504"/>
      <c r="G1246" s="643"/>
      <c r="H1246" s="648"/>
      <c r="I1246" s="501"/>
      <c r="J1246" s="455"/>
      <c r="K1246" s="510"/>
      <c r="L1246" s="510"/>
      <c r="M1246" s="725"/>
      <c r="N1246" s="725"/>
      <c r="O1246" s="725"/>
      <c r="P1246" s="725"/>
      <c r="Q1246" s="618"/>
      <c r="R1246" s="618"/>
      <c r="S1246" s="618"/>
      <c r="T1246" s="618"/>
      <c r="U1246" s="618"/>
      <c r="V1246" s="641"/>
      <c r="W1246" s="641"/>
      <c r="X1246" s="641"/>
      <c r="Y1246" s="618"/>
      <c r="Z1246" s="618"/>
      <c r="AA1246" s="618"/>
      <c r="AB1246" s="618"/>
      <c r="AC1246" s="620"/>
      <c r="AD1246" s="620"/>
      <c r="AE1246" s="620"/>
      <c r="AF1246" s="471"/>
      <c r="AG1246" s="471"/>
      <c r="AH1246" s="471"/>
      <c r="AI1246" s="471"/>
      <c r="AJ1246" s="471"/>
      <c r="AK1246" s="471"/>
      <c r="AL1246" s="471"/>
      <c r="AM1246" s="471"/>
      <c r="AN1246" s="471"/>
      <c r="AO1246" s="471"/>
      <c r="AR1246" s="404"/>
      <c r="AU1246" s="404"/>
      <c r="AV1246" s="404"/>
    </row>
    <row r="1247" spans="1:48" s="390" customFormat="1" ht="20.399999999999999" customHeight="1">
      <c r="A1247" s="454">
        <v>28</v>
      </c>
      <c r="B1247" s="655" t="s">
        <v>833</v>
      </c>
      <c r="C1247" s="662"/>
      <c r="D1247" s="662"/>
      <c r="E1247" s="662"/>
      <c r="F1247" s="504"/>
      <c r="G1247" s="643"/>
      <c r="H1247" s="648"/>
      <c r="I1247" s="501"/>
      <c r="J1247" s="455"/>
      <c r="K1247" s="510"/>
      <c r="L1247" s="510"/>
      <c r="M1247" s="725"/>
      <c r="N1247" s="725"/>
      <c r="O1247" s="725"/>
      <c r="P1247" s="725"/>
      <c r="Q1247" s="618"/>
      <c r="R1247" s="618"/>
      <c r="S1247" s="618"/>
      <c r="T1247" s="618"/>
      <c r="U1247" s="618"/>
      <c r="V1247" s="641"/>
      <c r="W1247" s="641"/>
      <c r="X1247" s="641"/>
      <c r="Y1247" s="618"/>
      <c r="Z1247" s="618"/>
      <c r="AA1247" s="618"/>
      <c r="AB1247" s="618"/>
      <c r="AC1247" s="620"/>
      <c r="AD1247" s="620"/>
      <c r="AE1247" s="620"/>
      <c r="AF1247" s="471"/>
      <c r="AG1247" s="471"/>
      <c r="AH1247" s="471"/>
      <c r="AI1247" s="471"/>
      <c r="AJ1247" s="471"/>
      <c r="AK1247" s="471"/>
      <c r="AL1247" s="471"/>
      <c r="AM1247" s="471"/>
      <c r="AN1247" s="471"/>
      <c r="AO1247" s="471"/>
      <c r="AR1247" s="404"/>
      <c r="AU1247" s="404"/>
      <c r="AV1247" s="404"/>
    </row>
    <row r="1248" spans="1:48" s="390" customFormat="1" ht="20.399999999999999" customHeight="1">
      <c r="A1248" s="454"/>
      <c r="B1248" s="878" t="s">
        <v>838</v>
      </c>
      <c r="C1248" s="662"/>
      <c r="D1248" s="662"/>
      <c r="E1248" s="662">
        <v>1</v>
      </c>
      <c r="F1248" s="504">
        <f>K1244</f>
        <v>2259</v>
      </c>
      <c r="G1248" s="643"/>
      <c r="H1248" s="648"/>
      <c r="I1248" s="501"/>
      <c r="J1248" s="943">
        <f>IF(I1248=0,1,I1248)*IF(H1248=0,1,H1248)*IF(G1248=0,1,G1248)*IF(F1248=0,1,F1248)*IF(E1248=0,1,E1248)*IF(D1248=0,1,D1248)*IF(C1248=0,1,C1248)</f>
        <v>2259</v>
      </c>
      <c r="K1248" s="510"/>
      <c r="L1248" s="510"/>
      <c r="M1248" s="725"/>
      <c r="N1248" s="725"/>
      <c r="O1248" s="725"/>
      <c r="P1248" s="725"/>
      <c r="Q1248" s="618"/>
      <c r="R1248" s="618"/>
      <c r="S1248" s="618"/>
      <c r="T1248" s="618"/>
      <c r="U1248" s="618"/>
      <c r="V1248" s="641"/>
      <c r="W1248" s="641"/>
      <c r="X1248" s="641"/>
      <c r="Y1248" s="618"/>
      <c r="Z1248" s="618"/>
      <c r="AA1248" s="618"/>
      <c r="AB1248" s="618"/>
      <c r="AC1248" s="620"/>
      <c r="AD1248" s="620"/>
      <c r="AE1248" s="620"/>
      <c r="AF1248" s="471"/>
      <c r="AG1248" s="471"/>
      <c r="AH1248" s="471"/>
      <c r="AI1248" s="471"/>
      <c r="AJ1248" s="471"/>
      <c r="AK1248" s="471"/>
      <c r="AL1248" s="471"/>
      <c r="AM1248" s="471"/>
      <c r="AN1248" s="471"/>
      <c r="AO1248" s="471"/>
      <c r="AR1248" s="404"/>
      <c r="AU1248" s="404"/>
      <c r="AV1248" s="404"/>
    </row>
    <row r="1249" spans="1:48" s="390" customFormat="1" ht="20.399999999999999" customHeight="1" thickBot="1">
      <c r="A1249" s="454"/>
      <c r="B1249" s="655"/>
      <c r="C1249" s="662"/>
      <c r="D1249" s="662"/>
      <c r="E1249" s="662"/>
      <c r="F1249" s="504"/>
      <c r="G1249" s="643"/>
      <c r="H1249" s="648"/>
      <c r="I1249" s="501"/>
      <c r="J1249" s="455"/>
      <c r="K1249" s="508">
        <f>SUM(J1247:J1249)</f>
        <v>2259</v>
      </c>
      <c r="L1249" s="508" t="s">
        <v>45</v>
      </c>
      <c r="M1249" s="725"/>
      <c r="N1249" s="725"/>
      <c r="O1249" s="725"/>
      <c r="P1249" s="725"/>
      <c r="Q1249" s="618"/>
      <c r="R1249" s="618"/>
      <c r="S1249" s="618"/>
      <c r="T1249" s="618"/>
      <c r="U1249" s="618"/>
      <c r="V1249" s="641"/>
      <c r="W1249" s="641"/>
      <c r="X1249" s="641"/>
      <c r="Y1249" s="618"/>
      <c r="Z1249" s="618"/>
      <c r="AA1249" s="618"/>
      <c r="AB1249" s="618"/>
      <c r="AC1249" s="620"/>
      <c r="AD1249" s="620"/>
      <c r="AE1249" s="620"/>
      <c r="AF1249" s="471"/>
      <c r="AG1249" s="471"/>
      <c r="AH1249" s="471"/>
      <c r="AI1249" s="471"/>
      <c r="AJ1249" s="471"/>
      <c r="AK1249" s="471"/>
      <c r="AL1249" s="471"/>
      <c r="AM1249" s="471"/>
      <c r="AN1249" s="471"/>
      <c r="AO1249" s="471"/>
      <c r="AR1249" s="404"/>
      <c r="AU1249" s="404"/>
      <c r="AV1249" s="404"/>
    </row>
    <row r="1250" spans="1:48" s="390" customFormat="1" ht="20.399999999999999" customHeight="1" thickBot="1">
      <c r="A1250" s="454"/>
      <c r="B1250" s="655"/>
      <c r="C1250" s="662"/>
      <c r="D1250" s="662"/>
      <c r="E1250" s="662"/>
      <c r="F1250" s="504"/>
      <c r="G1250" s="643"/>
      <c r="H1250" s="648"/>
      <c r="I1250" s="501"/>
      <c r="J1250" s="455"/>
      <c r="K1250" s="502">
        <f>K1249/100</f>
        <v>22.59</v>
      </c>
      <c r="L1250" s="502" t="s">
        <v>315</v>
      </c>
      <c r="M1250" s="725"/>
      <c r="N1250" s="725"/>
      <c r="O1250" s="725"/>
      <c r="P1250" s="725"/>
      <c r="Q1250" s="618"/>
      <c r="R1250" s="618"/>
      <c r="S1250" s="618"/>
      <c r="T1250" s="618"/>
      <c r="U1250" s="618"/>
      <c r="V1250" s="641"/>
      <c r="W1250" s="641"/>
      <c r="X1250" s="641"/>
      <c r="Y1250" s="618"/>
      <c r="Z1250" s="618"/>
      <c r="AA1250" s="618"/>
      <c r="AB1250" s="618"/>
      <c r="AC1250" s="620"/>
      <c r="AD1250" s="620"/>
      <c r="AE1250" s="620"/>
      <c r="AF1250" s="471"/>
      <c r="AG1250" s="471"/>
      <c r="AH1250" s="471"/>
      <c r="AI1250" s="471"/>
      <c r="AJ1250" s="471"/>
      <c r="AK1250" s="471"/>
      <c r="AL1250" s="471"/>
      <c r="AM1250" s="471"/>
      <c r="AN1250" s="471"/>
      <c r="AO1250" s="471"/>
      <c r="AR1250" s="404"/>
      <c r="AU1250" s="404"/>
      <c r="AV1250" s="404"/>
    </row>
    <row r="1251" spans="1:48" s="390" customFormat="1" ht="20.399999999999999" customHeight="1" thickTop="1">
      <c r="A1251" s="454"/>
      <c r="B1251" s="655"/>
      <c r="C1251" s="662"/>
      <c r="D1251" s="662"/>
      <c r="E1251" s="662"/>
      <c r="F1251" s="504"/>
      <c r="G1251" s="643"/>
      <c r="H1251" s="648"/>
      <c r="I1251" s="501"/>
      <c r="J1251" s="455"/>
      <c r="K1251" s="510"/>
      <c r="L1251" s="510"/>
      <c r="M1251" s="725"/>
      <c r="N1251" s="725"/>
      <c r="O1251" s="725"/>
      <c r="P1251" s="725"/>
      <c r="Q1251" s="618"/>
      <c r="R1251" s="618"/>
      <c r="S1251" s="618"/>
      <c r="T1251" s="618"/>
      <c r="U1251" s="618"/>
      <c r="V1251" s="641"/>
      <c r="W1251" s="641"/>
      <c r="X1251" s="641"/>
      <c r="Y1251" s="618"/>
      <c r="Z1251" s="618"/>
      <c r="AA1251" s="618"/>
      <c r="AB1251" s="618"/>
      <c r="AC1251" s="620"/>
      <c r="AD1251" s="620"/>
      <c r="AE1251" s="620"/>
      <c r="AF1251" s="471"/>
      <c r="AG1251" s="471"/>
      <c r="AH1251" s="471"/>
      <c r="AI1251" s="471"/>
      <c r="AJ1251" s="471"/>
      <c r="AK1251" s="471"/>
      <c r="AL1251" s="471"/>
      <c r="AM1251" s="471"/>
      <c r="AN1251" s="471"/>
      <c r="AO1251" s="471"/>
      <c r="AR1251" s="404"/>
      <c r="AU1251" s="404"/>
      <c r="AV1251" s="404"/>
    </row>
    <row r="1252" spans="1:48" s="390" customFormat="1" ht="22.25" customHeight="1">
      <c r="A1252" s="454">
        <v>29</v>
      </c>
      <c r="B1252" s="655" t="s">
        <v>476</v>
      </c>
      <c r="C1252" s="662"/>
      <c r="D1252" s="662"/>
      <c r="E1252" s="662"/>
      <c r="F1252" s="504"/>
      <c r="G1252" s="643"/>
      <c r="H1252" s="648"/>
      <c r="I1252" s="507"/>
      <c r="J1252" s="421"/>
      <c r="K1252" s="421"/>
      <c r="L1252" s="432"/>
      <c r="M1252" s="723"/>
      <c r="N1252" s="723"/>
      <c r="O1252" s="723"/>
      <c r="P1252" s="723"/>
      <c r="Q1252" s="618"/>
      <c r="R1252" s="618"/>
      <c r="S1252" s="618"/>
      <c r="T1252" s="618"/>
      <c r="U1252" s="618"/>
      <c r="V1252" s="641"/>
      <c r="W1252" s="641"/>
      <c r="X1252" s="641"/>
      <c r="Y1252" s="618"/>
      <c r="Z1252" s="618"/>
      <c r="AA1252" s="618"/>
      <c r="AB1252" s="618"/>
      <c r="AC1252" s="620"/>
      <c r="AD1252" s="620"/>
      <c r="AE1252" s="620"/>
      <c r="AF1252" s="471">
        <f>11/12</f>
        <v>0.91666666666666663</v>
      </c>
      <c r="AG1252" s="473"/>
      <c r="AH1252" s="471"/>
      <c r="AI1252" s="471"/>
      <c r="AJ1252" s="471"/>
      <c r="AM1252" s="404"/>
      <c r="AP1252" s="404"/>
      <c r="AQ1252" s="404"/>
    </row>
    <row r="1253" spans="1:48" s="390" customFormat="1" ht="22.25" customHeight="1">
      <c r="B1253" s="659" t="s">
        <v>151</v>
      </c>
      <c r="C1253" s="662"/>
      <c r="D1253" s="662"/>
      <c r="E1253" s="662"/>
      <c r="F1253" s="498"/>
      <c r="G1253" s="642"/>
      <c r="H1253" s="642"/>
      <c r="I1253" s="501"/>
      <c r="J1253" s="507"/>
      <c r="K1253" s="507"/>
      <c r="L1253" s="432"/>
      <c r="M1253" s="725"/>
      <c r="N1253" s="725"/>
      <c r="O1253" s="725"/>
      <c r="P1253" s="725"/>
      <c r="Q1253" s="618"/>
      <c r="R1253" s="618"/>
      <c r="S1253" s="618"/>
      <c r="T1253" s="618"/>
      <c r="U1253" s="618"/>
      <c r="V1253" s="641"/>
      <c r="W1253" s="641"/>
      <c r="X1253" s="641"/>
      <c r="Y1253" s="618"/>
      <c r="Z1253" s="618"/>
      <c r="AA1253" s="618"/>
      <c r="AB1253" s="618"/>
      <c r="AC1253" s="620"/>
      <c r="AD1253" s="620"/>
      <c r="AE1253" s="620"/>
      <c r="AF1253" s="471"/>
      <c r="AG1253" s="473"/>
      <c r="AH1253" s="471"/>
      <c r="AI1253" s="471"/>
      <c r="AJ1253" s="471"/>
      <c r="AM1253" s="404"/>
      <c r="AP1253" s="404"/>
      <c r="AQ1253" s="404"/>
    </row>
    <row r="1254" spans="1:48" s="390" customFormat="1" ht="22.25" customHeight="1">
      <c r="A1254" s="1015"/>
      <c r="B1254" s="1016" t="s">
        <v>661</v>
      </c>
      <c r="C1254" s="662"/>
      <c r="D1254" s="662"/>
      <c r="E1254" s="662"/>
      <c r="F1254" s="498"/>
      <c r="G1254" s="642"/>
      <c r="H1254" s="647"/>
      <c r="I1254" s="507"/>
      <c r="J1254" s="507"/>
      <c r="K1254" s="507"/>
      <c r="L1254" s="432"/>
      <c r="M1254" s="723"/>
      <c r="N1254" s="723"/>
      <c r="O1254" s="723"/>
      <c r="P1254" s="723"/>
      <c r="Q1254" s="618"/>
      <c r="R1254" s="618"/>
      <c r="S1254" s="618"/>
      <c r="T1254" s="618"/>
      <c r="U1254" s="618"/>
      <c r="V1254" s="641"/>
      <c r="W1254" s="641"/>
      <c r="X1254" s="641"/>
      <c r="Y1254" s="618"/>
      <c r="Z1254" s="618"/>
      <c r="AA1254" s="618"/>
      <c r="AB1254" s="618"/>
      <c r="AC1254" s="620"/>
      <c r="AD1254" s="620"/>
      <c r="AE1254" s="620"/>
      <c r="AF1254" s="471"/>
      <c r="AG1254" s="473"/>
      <c r="AH1254" s="471"/>
      <c r="AI1254" s="471"/>
      <c r="AJ1254" s="471"/>
      <c r="AM1254" s="404"/>
      <c r="AP1254" s="404"/>
      <c r="AQ1254" s="404"/>
    </row>
    <row r="1255" spans="1:48" s="390" customFormat="1" ht="22.25" customHeight="1">
      <c r="A1255" s="454"/>
      <c r="B1255" s="967" t="str">
        <f>B984</f>
        <v>MD (5'-0"x8'-11")</v>
      </c>
      <c r="C1255" s="662"/>
      <c r="D1255" s="662"/>
      <c r="E1255" s="662">
        <f>E984</f>
        <v>2</v>
      </c>
      <c r="F1255" s="498">
        <f>F984*2+H984*2</f>
        <v>27.84</v>
      </c>
      <c r="G1255" s="642"/>
      <c r="H1255" s="642"/>
      <c r="I1255" s="507">
        <f>IF(H1255=0,1,H1255)*IF(G1255=0,1,G1255)*IF(F1255=0,1,F1255)*IF(E1255=0,1,E1255)*IF(D1255=0,1,D1255)*IF(C1255=0,1,C1255)</f>
        <v>55.68</v>
      </c>
      <c r="J1255" s="421" t="s">
        <v>13</v>
      </c>
      <c r="K1255" s="421">
        <f>E1255</f>
        <v>2</v>
      </c>
      <c r="L1255" s="457" t="s">
        <v>304</v>
      </c>
      <c r="M1255" s="725"/>
      <c r="N1255" s="725"/>
      <c r="O1255" s="725"/>
      <c r="P1255" s="725"/>
      <c r="Q1255" s="618"/>
      <c r="R1255" s="618"/>
      <c r="S1255" s="618"/>
      <c r="T1255" s="618"/>
      <c r="U1255" s="618"/>
      <c r="V1255" s="641"/>
      <c r="W1255" s="641"/>
      <c r="X1255" s="641"/>
      <c r="Y1255" s="618"/>
      <c r="Z1255" s="618"/>
      <c r="AA1255" s="618"/>
      <c r="AB1255" s="618"/>
      <c r="AC1255" s="620"/>
      <c r="AD1255" s="620"/>
      <c r="AE1255" s="620"/>
      <c r="AF1255" s="471"/>
      <c r="AG1255" s="473"/>
      <c r="AH1255" s="471"/>
      <c r="AI1255" s="471"/>
      <c r="AJ1255" s="471"/>
      <c r="AM1255" s="404"/>
      <c r="AP1255" s="404"/>
      <c r="AQ1255" s="404"/>
    </row>
    <row r="1256" spans="1:48" s="390" customFormat="1" ht="22.25" customHeight="1" thickBot="1">
      <c r="A1256" s="454"/>
      <c r="B1256" s="660"/>
      <c r="C1256" s="662"/>
      <c r="D1256" s="662"/>
      <c r="E1256" s="662"/>
      <c r="F1256" s="498"/>
      <c r="G1256" s="642"/>
      <c r="H1256" s="642"/>
      <c r="I1256" s="507"/>
      <c r="J1256" s="421"/>
      <c r="K1256" s="508">
        <f>SUM(I1254:I1256)</f>
        <v>55.68</v>
      </c>
      <c r="L1256" s="508" t="s">
        <v>13</v>
      </c>
      <c r="M1256" s="725"/>
      <c r="N1256" s="725"/>
      <c r="O1256" s="725"/>
      <c r="P1256" s="725"/>
      <c r="Q1256" s="618"/>
      <c r="R1256" s="618"/>
      <c r="S1256" s="618"/>
      <c r="T1256" s="618"/>
      <c r="U1256" s="618"/>
      <c r="V1256" s="641"/>
      <c r="W1256" s="641"/>
      <c r="X1256" s="641"/>
      <c r="Y1256" s="618"/>
      <c r="Z1256" s="618"/>
      <c r="AA1256" s="618"/>
      <c r="AB1256" s="618"/>
      <c r="AC1256" s="620"/>
      <c r="AD1256" s="620"/>
      <c r="AE1256" s="620"/>
      <c r="AF1256" s="471">
        <f>11/12</f>
        <v>0.91666666666666663</v>
      </c>
      <c r="AG1256" s="473"/>
      <c r="AH1256" s="471"/>
      <c r="AI1256" s="471"/>
      <c r="AJ1256" s="471"/>
      <c r="AM1256" s="404"/>
      <c r="AP1256" s="404"/>
      <c r="AQ1256" s="404"/>
    </row>
    <row r="1257" spans="1:48" s="393" customFormat="1" ht="22.25" customHeight="1" thickBot="1">
      <c r="A1257" s="1017"/>
      <c r="B1257" s="946"/>
      <c r="C1257" s="664"/>
      <c r="D1257" s="664"/>
      <c r="E1257" s="1019"/>
      <c r="F1257" s="947"/>
      <c r="G1257" s="1020"/>
      <c r="H1257" s="1021"/>
      <c r="I1257" s="458" t="s">
        <v>696</v>
      </c>
      <c r="J1257" s="514"/>
      <c r="K1257" s="882">
        <f>K1256*1.05</f>
        <v>58.463999999999999</v>
      </c>
      <c r="L1257" s="883" t="s">
        <v>13</v>
      </c>
      <c r="M1257" s="725"/>
      <c r="N1257" s="725"/>
      <c r="O1257" s="725"/>
      <c r="P1257" s="725"/>
      <c r="Q1257" s="618"/>
      <c r="R1257" s="618"/>
      <c r="S1257" s="618"/>
      <c r="T1257" s="618"/>
      <c r="U1257" s="618"/>
      <c r="V1257" s="641"/>
      <c r="W1257" s="641"/>
      <c r="X1257" s="641"/>
      <c r="Y1257" s="618"/>
      <c r="Z1257" s="618"/>
      <c r="AA1257" s="618"/>
      <c r="AB1257" s="618"/>
      <c r="AC1257" s="620"/>
      <c r="AD1257" s="620"/>
      <c r="AE1257" s="620"/>
      <c r="AF1257" s="471"/>
      <c r="AG1257" s="471"/>
      <c r="AH1257" s="471"/>
      <c r="AI1257" s="471"/>
      <c r="AJ1257" s="471"/>
      <c r="AK1257" s="425"/>
      <c r="AL1257" s="425"/>
      <c r="AM1257" s="425"/>
      <c r="AN1257" s="425"/>
      <c r="AO1257" s="425"/>
      <c r="AR1257" s="425"/>
      <c r="AU1257" s="425"/>
      <c r="AV1257" s="425"/>
    </row>
    <row r="1258" spans="1:48" s="390" customFormat="1" ht="22.25" customHeight="1" thickTop="1">
      <c r="A1258" s="1015"/>
      <c r="B1258" s="1016" t="s">
        <v>490</v>
      </c>
      <c r="C1258" s="662"/>
      <c r="D1258" s="662"/>
      <c r="E1258" s="662"/>
      <c r="F1258" s="498"/>
      <c r="G1258" s="642"/>
      <c r="H1258" s="647"/>
      <c r="I1258" s="507"/>
      <c r="J1258" s="507"/>
      <c r="K1258" s="507"/>
      <c r="L1258" s="432"/>
      <c r="M1258" s="723"/>
      <c r="N1258" s="723"/>
      <c r="O1258" s="723"/>
      <c r="P1258" s="723"/>
      <c r="Q1258" s="618"/>
      <c r="R1258" s="618"/>
      <c r="S1258" s="618"/>
      <c r="T1258" s="618"/>
      <c r="U1258" s="618"/>
      <c r="V1258" s="641"/>
      <c r="W1258" s="641"/>
      <c r="X1258" s="641"/>
      <c r="Y1258" s="618"/>
      <c r="Z1258" s="618"/>
      <c r="AA1258" s="618"/>
      <c r="AB1258" s="618"/>
      <c r="AC1258" s="620"/>
      <c r="AD1258" s="620"/>
      <c r="AE1258" s="620"/>
      <c r="AF1258" s="471"/>
      <c r="AG1258" s="473"/>
      <c r="AH1258" s="471"/>
      <c r="AI1258" s="471"/>
      <c r="AJ1258" s="471"/>
      <c r="AM1258" s="404"/>
      <c r="AP1258" s="404"/>
      <c r="AQ1258" s="404"/>
    </row>
    <row r="1259" spans="1:48" s="390" customFormat="1" ht="22.25" customHeight="1">
      <c r="B1259" s="967" t="str">
        <f>B985</f>
        <v>D01 (3'-4"x7'-2")</v>
      </c>
      <c r="C1259" s="662"/>
      <c r="D1259" s="662"/>
      <c r="E1259" s="662">
        <f>E985</f>
        <v>4</v>
      </c>
      <c r="F1259" s="498">
        <f>F985*1+H985*2</f>
        <v>17.670000000000002</v>
      </c>
      <c r="G1259" s="642"/>
      <c r="H1259" s="642"/>
      <c r="I1259" s="507">
        <f>IF(H1259=0,1,H1259)*IF(G1259=0,1,G1259)*IF(F1259=0,1,F1259)*IF(E1259=0,1,E1259)*IF(D1259=0,1,D1259)*IF(C1259=0,1,C1259)</f>
        <v>70.680000000000007</v>
      </c>
      <c r="J1259" s="421" t="s">
        <v>13</v>
      </c>
      <c r="K1259" s="421">
        <f>E1259</f>
        <v>4</v>
      </c>
      <c r="L1259" s="457" t="s">
        <v>304</v>
      </c>
      <c r="M1259" s="725"/>
      <c r="N1259" s="725"/>
      <c r="O1259" s="725"/>
      <c r="P1259" s="725"/>
      <c r="Q1259" s="618"/>
      <c r="R1259" s="618"/>
      <c r="S1259" s="618"/>
      <c r="T1259" s="618"/>
      <c r="U1259" s="618"/>
      <c r="V1259" s="641"/>
      <c r="W1259" s="641"/>
      <c r="X1259" s="641"/>
      <c r="Y1259" s="618"/>
      <c r="Z1259" s="618"/>
      <c r="AA1259" s="618"/>
      <c r="AB1259" s="618"/>
      <c r="AC1259" s="620"/>
      <c r="AD1259" s="620"/>
      <c r="AE1259" s="620"/>
      <c r="AF1259" s="471"/>
      <c r="AG1259" s="473"/>
      <c r="AH1259" s="471"/>
      <c r="AI1259" s="471"/>
      <c r="AJ1259" s="471"/>
      <c r="AM1259" s="404"/>
      <c r="AP1259" s="404"/>
      <c r="AQ1259" s="404"/>
    </row>
    <row r="1260" spans="1:48" s="390" customFormat="1" ht="22.25" customHeight="1">
      <c r="A1260" s="454"/>
      <c r="B1260" s="967" t="str">
        <f>B986</f>
        <v>D03 (2'-6"x6'-6")</v>
      </c>
      <c r="C1260" s="662"/>
      <c r="D1260" s="662"/>
      <c r="E1260" s="662">
        <f>E986</f>
        <v>4</v>
      </c>
      <c r="F1260" s="498">
        <f>F986*1+H986*2</f>
        <v>15.5</v>
      </c>
      <c r="G1260" s="642"/>
      <c r="H1260" s="642"/>
      <c r="I1260" s="507">
        <f>IF(H1260=0,1,H1260)*IF(G1260=0,1,G1260)*IF(F1260=0,1,F1260)*IF(E1260=0,1,E1260)*IF(D1260=0,1,D1260)*IF(C1260=0,1,C1260)</f>
        <v>62</v>
      </c>
      <c r="J1260" s="421" t="s">
        <v>13</v>
      </c>
      <c r="K1260" s="421">
        <f>E1260</f>
        <v>4</v>
      </c>
      <c r="L1260" s="457" t="s">
        <v>304</v>
      </c>
      <c r="M1260" s="725"/>
      <c r="N1260" s="725"/>
      <c r="O1260" s="725"/>
      <c r="P1260" s="725"/>
      <c r="Q1260" s="618"/>
      <c r="R1260" s="618"/>
      <c r="S1260" s="618"/>
      <c r="T1260" s="618"/>
      <c r="U1260" s="618"/>
      <c r="V1260" s="641"/>
      <c r="W1260" s="641"/>
      <c r="X1260" s="641"/>
      <c r="Y1260" s="618"/>
      <c r="Z1260" s="618"/>
      <c r="AA1260" s="618"/>
      <c r="AB1260" s="618"/>
      <c r="AC1260" s="620"/>
      <c r="AD1260" s="620"/>
      <c r="AE1260" s="620"/>
      <c r="AF1260" s="471"/>
      <c r="AG1260" s="473"/>
      <c r="AH1260" s="471"/>
      <c r="AI1260" s="471"/>
      <c r="AJ1260" s="471"/>
      <c r="AM1260" s="404"/>
      <c r="AP1260" s="404"/>
      <c r="AQ1260" s="404"/>
    </row>
    <row r="1261" spans="1:48" s="390" customFormat="1" ht="22.25" customHeight="1" thickBot="1">
      <c r="A1261" s="454"/>
      <c r="B1261" s="660"/>
      <c r="C1261" s="662"/>
      <c r="D1261" s="662"/>
      <c r="E1261" s="662"/>
      <c r="F1261" s="498"/>
      <c r="G1261" s="642"/>
      <c r="H1261" s="642"/>
      <c r="I1261" s="507"/>
      <c r="J1261" s="421"/>
      <c r="K1261" s="508">
        <f>SUM(I1259:I1261)</f>
        <v>132.68</v>
      </c>
      <c r="L1261" s="508" t="s">
        <v>13</v>
      </c>
      <c r="M1261" s="725"/>
      <c r="N1261" s="725"/>
      <c r="O1261" s="725"/>
      <c r="P1261" s="725"/>
      <c r="Q1261" s="618"/>
      <c r="R1261" s="618"/>
      <c r="S1261" s="618"/>
      <c r="T1261" s="618"/>
      <c r="U1261" s="618"/>
      <c r="V1261" s="641"/>
      <c r="W1261" s="641"/>
      <c r="X1261" s="641"/>
      <c r="Y1261" s="618"/>
      <c r="Z1261" s="618"/>
      <c r="AA1261" s="618"/>
      <c r="AB1261" s="618"/>
      <c r="AC1261" s="620"/>
      <c r="AD1261" s="620"/>
      <c r="AE1261" s="620"/>
      <c r="AF1261" s="471">
        <f>11/12</f>
        <v>0.91666666666666663</v>
      </c>
      <c r="AG1261" s="473"/>
      <c r="AH1261" s="471"/>
      <c r="AI1261" s="471"/>
      <c r="AJ1261" s="471"/>
      <c r="AM1261" s="404"/>
      <c r="AP1261" s="404"/>
      <c r="AQ1261" s="404"/>
    </row>
    <row r="1262" spans="1:48" s="393" customFormat="1" ht="22.25" customHeight="1" thickBot="1">
      <c r="A1262" s="1017"/>
      <c r="B1262" s="946"/>
      <c r="C1262" s="664"/>
      <c r="D1262" s="664"/>
      <c r="E1262" s="1019"/>
      <c r="F1262" s="947"/>
      <c r="G1262" s="1020"/>
      <c r="H1262" s="1021"/>
      <c r="I1262" s="501"/>
      <c r="J1262" s="514"/>
      <c r="K1262" s="882">
        <f>K1261*1.05</f>
        <v>139.31400000000002</v>
      </c>
      <c r="L1262" s="883" t="s">
        <v>13</v>
      </c>
      <c r="M1262" s="725"/>
      <c r="N1262" s="725"/>
      <c r="O1262" s="725"/>
      <c r="P1262" s="725"/>
      <c r="Q1262" s="618"/>
      <c r="R1262" s="618"/>
      <c r="S1262" s="618"/>
      <c r="T1262" s="618"/>
      <c r="U1262" s="618"/>
      <c r="V1262" s="641"/>
      <c r="W1262" s="641"/>
      <c r="X1262" s="641"/>
      <c r="Y1262" s="618"/>
      <c r="Z1262" s="618"/>
      <c r="AA1262" s="618"/>
      <c r="AB1262" s="618"/>
      <c r="AC1262" s="620"/>
      <c r="AD1262" s="620"/>
      <c r="AE1262" s="620"/>
      <c r="AF1262" s="471"/>
      <c r="AG1262" s="471"/>
      <c r="AH1262" s="471"/>
      <c r="AI1262" s="471"/>
      <c r="AJ1262" s="471"/>
      <c r="AK1262" s="425"/>
      <c r="AL1262" s="425"/>
      <c r="AM1262" s="425"/>
      <c r="AN1262" s="425"/>
      <c r="AO1262" s="425"/>
      <c r="AR1262" s="425"/>
      <c r="AU1262" s="425"/>
      <c r="AV1262" s="425"/>
    </row>
    <row r="1263" spans="1:48" s="393" customFormat="1" ht="22.25" customHeight="1" thickTop="1">
      <c r="A1263" s="1017"/>
      <c r="B1263" s="1022"/>
      <c r="C1263" s="664"/>
      <c r="D1263" s="664"/>
      <c r="E1263" s="1019"/>
      <c r="F1263" s="947"/>
      <c r="G1263" s="1020"/>
      <c r="H1263" s="1021"/>
      <c r="I1263" s="1019"/>
      <c r="J1263" s="514"/>
      <c r="K1263" s="895"/>
      <c r="L1263" s="895"/>
      <c r="M1263" s="725"/>
      <c r="N1263" s="725"/>
      <c r="O1263" s="725"/>
      <c r="P1263" s="725"/>
      <c r="Q1263" s="618"/>
      <c r="R1263" s="618"/>
      <c r="S1263" s="618"/>
      <c r="T1263" s="618"/>
      <c r="U1263" s="618"/>
      <c r="V1263" s="641"/>
      <c r="W1263" s="641"/>
      <c r="X1263" s="641"/>
      <c r="Y1263" s="618"/>
      <c r="Z1263" s="618"/>
      <c r="AA1263" s="618"/>
      <c r="AB1263" s="618"/>
      <c r="AC1263" s="620"/>
      <c r="AD1263" s="620"/>
      <c r="AE1263" s="620"/>
      <c r="AF1263" s="471"/>
      <c r="AG1263" s="471"/>
      <c r="AH1263" s="471"/>
      <c r="AI1263" s="471"/>
      <c r="AJ1263" s="471"/>
      <c r="AK1263" s="425"/>
      <c r="AL1263" s="425"/>
      <c r="AM1263" s="425"/>
      <c r="AN1263" s="425"/>
      <c r="AO1263" s="425"/>
      <c r="AR1263" s="425"/>
      <c r="AU1263" s="425"/>
      <c r="AV1263" s="425"/>
    </row>
    <row r="1264" spans="1:48" s="393" customFormat="1" ht="22.25" customHeight="1">
      <c r="A1264" s="1017"/>
      <c r="B1264" s="1023" t="s">
        <v>645</v>
      </c>
      <c r="C1264" s="664"/>
      <c r="D1264" s="664"/>
      <c r="E1264" s="1019"/>
      <c r="F1264" s="947"/>
      <c r="G1264" s="1020"/>
      <c r="H1264" s="1021"/>
      <c r="I1264" s="1019"/>
      <c r="J1264" s="514"/>
      <c r="K1264" s="1017"/>
      <c r="L1264" s="1017"/>
      <c r="M1264" s="725"/>
      <c r="N1264" s="725"/>
      <c r="O1264" s="725"/>
      <c r="P1264" s="725"/>
      <c r="Q1264" s="618"/>
      <c r="R1264" s="618"/>
      <c r="S1264" s="618"/>
      <c r="T1264" s="618"/>
      <c r="U1264" s="618"/>
      <c r="V1264" s="641"/>
      <c r="W1264" s="641"/>
      <c r="X1264" s="641"/>
      <c r="Y1264" s="618"/>
      <c r="Z1264" s="618"/>
      <c r="AA1264" s="618"/>
      <c r="AB1264" s="618"/>
      <c r="AC1264" s="620"/>
      <c r="AD1264" s="620"/>
      <c r="AE1264" s="620"/>
      <c r="AF1264" s="471"/>
      <c r="AG1264" s="471"/>
      <c r="AH1264" s="471"/>
      <c r="AI1264" s="471"/>
      <c r="AJ1264" s="471"/>
      <c r="AK1264" s="425"/>
      <c r="AL1264" s="425"/>
      <c r="AM1264" s="425"/>
      <c r="AN1264" s="425"/>
      <c r="AO1264" s="425"/>
      <c r="AR1264" s="425"/>
      <c r="AU1264" s="425"/>
      <c r="AV1264" s="425"/>
    </row>
    <row r="1265" spans="1:48" s="393" customFormat="1" ht="22.25" customHeight="1" thickBot="1">
      <c r="A1265" s="1017"/>
      <c r="B1265" s="1022" t="s">
        <v>151</v>
      </c>
      <c r="C1265" s="664"/>
      <c r="D1265" s="664">
        <v>12</v>
      </c>
      <c r="E1265" s="1019">
        <f>K1255+K1259+K1260</f>
        <v>10</v>
      </c>
      <c r="F1265" s="947"/>
      <c r="G1265" s="1020"/>
      <c r="H1265" s="1021"/>
      <c r="I1265" s="1019"/>
      <c r="J1265" s="507">
        <f>IF(I1265=0,1,I1265)*IF(H1265=0,1,H1265)*IF(G1265=0,1,G1265)*IF(F1265=0,1,F1265)*IF(E1265=0,1,E1265)*IF(D1265=0,1,D1265)*IF(C1265=0,1,C1265)</f>
        <v>120</v>
      </c>
      <c r="K1265" s="1017"/>
      <c r="L1265" s="1017"/>
      <c r="M1265" s="725"/>
      <c r="N1265" s="725"/>
      <c r="O1265" s="725"/>
      <c r="P1265" s="725"/>
      <c r="Q1265" s="618"/>
      <c r="R1265" s="618"/>
      <c r="S1265" s="618"/>
      <c r="T1265" s="618"/>
      <c r="U1265" s="618"/>
      <c r="V1265" s="641"/>
      <c r="W1265" s="641"/>
      <c r="X1265" s="641"/>
      <c r="Y1265" s="618"/>
      <c r="Z1265" s="618"/>
      <c r="AA1265" s="618"/>
      <c r="AB1265" s="618"/>
      <c r="AC1265" s="620"/>
      <c r="AD1265" s="620"/>
      <c r="AE1265" s="620"/>
      <c r="AF1265" s="471"/>
      <c r="AG1265" s="471"/>
      <c r="AH1265" s="471"/>
      <c r="AI1265" s="471"/>
      <c r="AJ1265" s="471"/>
      <c r="AK1265" s="425"/>
      <c r="AL1265" s="425"/>
      <c r="AM1265" s="425"/>
      <c r="AN1265" s="425"/>
      <c r="AO1265" s="425"/>
      <c r="AR1265" s="425"/>
      <c r="AU1265" s="425"/>
      <c r="AV1265" s="425"/>
    </row>
    <row r="1266" spans="1:48" s="393" customFormat="1" ht="22.25" customHeight="1" thickBot="1">
      <c r="A1266" s="1017"/>
      <c r="B1266" s="1022"/>
      <c r="C1266" s="664"/>
      <c r="D1266" s="664"/>
      <c r="E1266" s="1019"/>
      <c r="F1266" s="947"/>
      <c r="G1266" s="1020"/>
      <c r="H1266" s="1021"/>
      <c r="I1266" s="1019"/>
      <c r="J1266" s="514"/>
      <c r="K1266" s="502">
        <f>SUM(J1265:J1265)</f>
        <v>120</v>
      </c>
      <c r="L1266" s="502" t="s">
        <v>304</v>
      </c>
      <c r="M1266" s="725"/>
      <c r="N1266" s="725"/>
      <c r="O1266" s="725"/>
      <c r="P1266" s="725"/>
      <c r="Q1266" s="618"/>
      <c r="R1266" s="618"/>
      <c r="S1266" s="618"/>
      <c r="T1266" s="618"/>
      <c r="U1266" s="618"/>
      <c r="V1266" s="641"/>
      <c r="W1266" s="641"/>
      <c r="X1266" s="641"/>
      <c r="Y1266" s="618"/>
      <c r="Z1266" s="618"/>
      <c r="AA1266" s="618"/>
      <c r="AB1266" s="618"/>
      <c r="AC1266" s="620"/>
      <c r="AD1266" s="620"/>
      <c r="AE1266" s="620"/>
      <c r="AF1266" s="471"/>
      <c r="AG1266" s="471"/>
      <c r="AH1266" s="471"/>
      <c r="AI1266" s="471"/>
      <c r="AJ1266" s="471"/>
      <c r="AK1266" s="425"/>
      <c r="AL1266" s="425"/>
      <c r="AM1266" s="425"/>
      <c r="AN1266" s="425"/>
      <c r="AO1266" s="425"/>
      <c r="AR1266" s="425"/>
      <c r="AU1266" s="425"/>
      <c r="AV1266" s="425"/>
    </row>
    <row r="1267" spans="1:48" s="393" customFormat="1" ht="22.25" customHeight="1" thickTop="1">
      <c r="A1267" s="1017"/>
      <c r="B1267" s="1022"/>
      <c r="C1267" s="664"/>
      <c r="D1267" s="664"/>
      <c r="E1267" s="1019"/>
      <c r="F1267" s="947"/>
      <c r="G1267" s="1020"/>
      <c r="H1267" s="1021"/>
      <c r="I1267" s="1019"/>
      <c r="J1267" s="514"/>
      <c r="K1267" s="895"/>
      <c r="L1267" s="895"/>
      <c r="M1267" s="725"/>
      <c r="N1267" s="725"/>
      <c r="O1267" s="725"/>
      <c r="P1267" s="725"/>
      <c r="Q1267" s="618"/>
      <c r="R1267" s="618"/>
      <c r="S1267" s="618"/>
      <c r="T1267" s="618"/>
      <c r="U1267" s="618"/>
      <c r="V1267" s="641"/>
      <c r="W1267" s="641"/>
      <c r="X1267" s="641"/>
      <c r="Y1267" s="618"/>
      <c r="Z1267" s="618"/>
      <c r="AA1267" s="618"/>
      <c r="AB1267" s="618"/>
      <c r="AC1267" s="620"/>
      <c r="AD1267" s="620"/>
      <c r="AE1267" s="620"/>
      <c r="AF1267" s="471"/>
      <c r="AG1267" s="471"/>
      <c r="AH1267" s="471"/>
      <c r="AI1267" s="471"/>
      <c r="AJ1267" s="471"/>
      <c r="AK1267" s="425"/>
      <c r="AL1267" s="425"/>
      <c r="AM1267" s="425"/>
      <c r="AN1267" s="425"/>
      <c r="AO1267" s="425"/>
      <c r="AR1267" s="425"/>
      <c r="AU1267" s="425"/>
      <c r="AV1267" s="425"/>
    </row>
    <row r="1268" spans="1:48" s="390" customFormat="1" ht="22.25" customHeight="1">
      <c r="A1268" s="454">
        <v>30</v>
      </c>
      <c r="B1268" s="655" t="s">
        <v>475</v>
      </c>
      <c r="C1268" s="662"/>
      <c r="D1268" s="662"/>
      <c r="E1268" s="662"/>
      <c r="F1268" s="504"/>
      <c r="G1268" s="643"/>
      <c r="H1268" s="648"/>
      <c r="I1268" s="507"/>
      <c r="J1268" s="421"/>
      <c r="K1268" s="505"/>
      <c r="L1268" s="436"/>
      <c r="M1268" s="723"/>
      <c r="N1268" s="723"/>
      <c r="O1268" s="723"/>
      <c r="P1268" s="723"/>
      <c r="Q1268" s="618"/>
      <c r="R1268" s="618"/>
      <c r="S1268" s="618"/>
      <c r="T1268" s="618"/>
      <c r="U1268" s="618"/>
      <c r="V1268" s="641"/>
      <c r="W1268" s="641"/>
      <c r="X1268" s="641"/>
      <c r="Y1268" s="618"/>
      <c r="Z1268" s="618"/>
      <c r="AA1268" s="618"/>
      <c r="AB1268" s="618"/>
      <c r="AC1268" s="620"/>
      <c r="AD1268" s="620"/>
      <c r="AE1268" s="620"/>
      <c r="AF1268" s="471"/>
      <c r="AG1268" s="473"/>
      <c r="AH1268" s="471"/>
      <c r="AI1268" s="471"/>
      <c r="AJ1268" s="471"/>
      <c r="AM1268" s="404"/>
      <c r="AP1268" s="404"/>
      <c r="AQ1268" s="404"/>
    </row>
    <row r="1269" spans="1:48" s="390" customFormat="1" ht="22.25" customHeight="1">
      <c r="B1269" s="659" t="s">
        <v>151</v>
      </c>
      <c r="C1269" s="662"/>
      <c r="D1269" s="662"/>
      <c r="E1269" s="662"/>
      <c r="F1269" s="498"/>
      <c r="G1269" s="642"/>
      <c r="H1269" s="642"/>
      <c r="I1269" s="501"/>
      <c r="J1269" s="507"/>
      <c r="K1269" s="507"/>
      <c r="L1269" s="432"/>
      <c r="M1269" s="725"/>
      <c r="N1269" s="725"/>
      <c r="O1269" s="725"/>
      <c r="P1269" s="725"/>
      <c r="Q1269" s="618"/>
      <c r="R1269" s="618"/>
      <c r="S1269" s="618"/>
      <c r="T1269" s="618"/>
      <c r="U1269" s="618"/>
      <c r="V1269" s="641"/>
      <c r="W1269" s="641"/>
      <c r="X1269" s="641"/>
      <c r="Y1269" s="618"/>
      <c r="Z1269" s="618"/>
      <c r="AA1269" s="618"/>
      <c r="AB1269" s="618"/>
      <c r="AC1269" s="620"/>
      <c r="AD1269" s="620"/>
      <c r="AE1269" s="620"/>
      <c r="AF1269" s="471"/>
      <c r="AG1269" s="473"/>
      <c r="AH1269" s="471"/>
      <c r="AI1269" s="471"/>
      <c r="AJ1269" s="471"/>
      <c r="AM1269" s="404"/>
      <c r="AP1269" s="404"/>
      <c r="AQ1269" s="404"/>
    </row>
    <row r="1270" spans="1:48" s="390" customFormat="1" ht="22.25" customHeight="1">
      <c r="A1270" s="454"/>
      <c r="B1270" s="967" t="str">
        <f>B984</f>
        <v>MD (5'-0"x8'-11")</v>
      </c>
      <c r="C1270" s="662"/>
      <c r="D1270" s="662"/>
      <c r="E1270" s="662">
        <f t="shared" ref="E1270:F1272" si="223">E984</f>
        <v>2</v>
      </c>
      <c r="F1270" s="498">
        <f t="shared" si="223"/>
        <v>5</v>
      </c>
      <c r="G1270" s="642"/>
      <c r="H1270" s="642">
        <f>H984</f>
        <v>8.92</v>
      </c>
      <c r="I1270" s="507">
        <f>IF(H1270=0,1,H1270)*IF(G1270=0,1,G1270)*IF(F1270=0,1,F1270)*IF(E1270=0,1,E1270)*IF(D1270=0,1,D1270)*IF(C1270=0,1,C1270)</f>
        <v>89.2</v>
      </c>
      <c r="J1270" s="421" t="s">
        <v>45</v>
      </c>
      <c r="K1270" s="421">
        <f>E1270</f>
        <v>2</v>
      </c>
      <c r="L1270" s="457" t="s">
        <v>304</v>
      </c>
      <c r="M1270" s="725"/>
      <c r="N1270" s="725"/>
      <c r="O1270" s="725"/>
      <c r="P1270" s="725"/>
      <c r="Q1270" s="618"/>
      <c r="R1270" s="618"/>
      <c r="S1270" s="618"/>
      <c r="T1270" s="618"/>
      <c r="U1270" s="618"/>
      <c r="V1270" s="641"/>
      <c r="W1270" s="641"/>
      <c r="X1270" s="641"/>
      <c r="Y1270" s="618"/>
      <c r="Z1270" s="618"/>
      <c r="AA1270" s="618"/>
      <c r="AB1270" s="618"/>
      <c r="AC1270" s="620"/>
      <c r="AD1270" s="620"/>
      <c r="AE1270" s="620"/>
      <c r="AF1270" s="471"/>
      <c r="AG1270" s="473"/>
      <c r="AH1270" s="471"/>
      <c r="AI1270" s="471"/>
      <c r="AJ1270" s="471"/>
      <c r="AM1270" s="404"/>
      <c r="AP1270" s="404"/>
      <c r="AQ1270" s="404"/>
    </row>
    <row r="1271" spans="1:48" s="390" customFormat="1" ht="22.25" customHeight="1">
      <c r="A1271" s="454"/>
      <c r="B1271" s="967" t="str">
        <f>B985</f>
        <v>D01 (3'-4"x7'-2")</v>
      </c>
      <c r="C1271" s="662"/>
      <c r="D1271" s="662"/>
      <c r="E1271" s="662">
        <f t="shared" si="223"/>
        <v>4</v>
      </c>
      <c r="F1271" s="498">
        <f t="shared" si="223"/>
        <v>3.33</v>
      </c>
      <c r="G1271" s="642"/>
      <c r="H1271" s="642">
        <f>H985</f>
        <v>7.17</v>
      </c>
      <c r="I1271" s="507">
        <f>IF(H1271=0,1,H1271)*IF(G1271=0,1,G1271)*IF(F1271=0,1,F1271)*IF(E1271=0,1,E1271)*IF(D1271=0,1,D1271)*IF(C1271=0,1,C1271)</f>
        <v>95.504400000000004</v>
      </c>
      <c r="J1271" s="421" t="s">
        <v>45</v>
      </c>
      <c r="K1271" s="421">
        <f>E1271</f>
        <v>4</v>
      </c>
      <c r="L1271" s="457" t="s">
        <v>304</v>
      </c>
      <c r="M1271" s="725"/>
      <c r="N1271" s="725"/>
      <c r="O1271" s="725"/>
      <c r="P1271" s="725"/>
      <c r="Q1271" s="618"/>
      <c r="R1271" s="618"/>
      <c r="S1271" s="618"/>
      <c r="T1271" s="618"/>
      <c r="U1271" s="618"/>
      <c r="V1271" s="641"/>
      <c r="W1271" s="641"/>
      <c r="X1271" s="641"/>
      <c r="Y1271" s="618"/>
      <c r="Z1271" s="618"/>
      <c r="AA1271" s="618"/>
      <c r="AB1271" s="618"/>
      <c r="AC1271" s="620"/>
      <c r="AD1271" s="620"/>
      <c r="AE1271" s="620"/>
      <c r="AF1271" s="471"/>
      <c r="AG1271" s="473"/>
      <c r="AH1271" s="471"/>
      <c r="AI1271" s="471"/>
      <c r="AJ1271" s="471"/>
      <c r="AM1271" s="404"/>
      <c r="AP1271" s="404"/>
      <c r="AQ1271" s="404"/>
    </row>
    <row r="1272" spans="1:48" s="390" customFormat="1" ht="22.25" customHeight="1">
      <c r="A1272" s="454"/>
      <c r="B1272" s="967" t="str">
        <f>B986</f>
        <v>D03 (2'-6"x6'-6")</v>
      </c>
      <c r="C1272" s="662"/>
      <c r="D1272" s="662"/>
      <c r="E1272" s="662">
        <f t="shared" si="223"/>
        <v>4</v>
      </c>
      <c r="F1272" s="498">
        <f t="shared" si="223"/>
        <v>2.5</v>
      </c>
      <c r="G1272" s="642"/>
      <c r="H1272" s="642">
        <f>H986</f>
        <v>6.5</v>
      </c>
      <c r="I1272" s="507">
        <f>IF(H1272=0,1,H1272)*IF(G1272=0,1,G1272)*IF(F1272=0,1,F1272)*IF(E1272=0,1,E1272)*IF(D1272=0,1,D1272)*IF(C1272=0,1,C1272)</f>
        <v>65</v>
      </c>
      <c r="J1272" s="421" t="s">
        <v>45</v>
      </c>
      <c r="K1272" s="421">
        <f>E1272</f>
        <v>4</v>
      </c>
      <c r="L1272" s="457" t="s">
        <v>304</v>
      </c>
      <c r="M1272" s="725"/>
      <c r="N1272" s="725"/>
      <c r="O1272" s="725"/>
      <c r="P1272" s="725"/>
      <c r="Q1272" s="618"/>
      <c r="R1272" s="618"/>
      <c r="S1272" s="618"/>
      <c r="T1272" s="618"/>
      <c r="U1272" s="618"/>
      <c r="V1272" s="641"/>
      <c r="W1272" s="641"/>
      <c r="X1272" s="641"/>
      <c r="Y1272" s="618"/>
      <c r="Z1272" s="618"/>
      <c r="AA1272" s="618"/>
      <c r="AB1272" s="618"/>
      <c r="AC1272" s="620"/>
      <c r="AD1272" s="620"/>
      <c r="AE1272" s="620"/>
      <c r="AF1272" s="471"/>
      <c r="AG1272" s="473"/>
      <c r="AH1272" s="471"/>
      <c r="AI1272" s="471"/>
      <c r="AJ1272" s="471"/>
      <c r="AM1272" s="404"/>
      <c r="AP1272" s="404"/>
      <c r="AQ1272" s="404"/>
    </row>
    <row r="1273" spans="1:48" s="390" customFormat="1" ht="22.25" customHeight="1">
      <c r="A1273" s="454"/>
      <c r="B1273" s="660"/>
      <c r="C1273" s="662"/>
      <c r="D1273" s="662"/>
      <c r="E1273" s="662"/>
      <c r="F1273" s="498"/>
      <c r="G1273" s="642"/>
      <c r="H1273" s="642"/>
      <c r="I1273" s="507"/>
      <c r="J1273" s="421"/>
      <c r="K1273" s="455">
        <f>SUM(I1269:I1273)</f>
        <v>249.70440000000002</v>
      </c>
      <c r="L1273" s="455" t="s">
        <v>45</v>
      </c>
      <c r="M1273" s="722"/>
      <c r="N1273" s="722"/>
      <c r="O1273" s="722"/>
      <c r="P1273" s="722"/>
      <c r="Q1273" s="618"/>
      <c r="R1273" s="618"/>
      <c r="S1273" s="618"/>
      <c r="T1273" s="618"/>
      <c r="U1273" s="618"/>
      <c r="V1273" s="641"/>
      <c r="W1273" s="641"/>
      <c r="X1273" s="641"/>
      <c r="Y1273" s="618"/>
      <c r="Z1273" s="618"/>
      <c r="AA1273" s="618"/>
      <c r="AB1273" s="618"/>
      <c r="AC1273" s="620"/>
      <c r="AD1273" s="620"/>
      <c r="AE1273" s="620"/>
      <c r="AF1273" s="472">
        <f>7.5*1.07</f>
        <v>8.0250000000000004</v>
      </c>
      <c r="AG1273" s="472"/>
      <c r="AH1273" s="472"/>
      <c r="AI1273" s="472"/>
      <c r="AJ1273" s="472"/>
      <c r="AK1273" s="472"/>
      <c r="AL1273" s="472"/>
      <c r="AM1273" s="472"/>
      <c r="AN1273" s="471"/>
      <c r="AO1273" s="471"/>
      <c r="AR1273" s="404"/>
      <c r="AU1273" s="404"/>
      <c r="AV1273" s="404"/>
    </row>
    <row r="1274" spans="1:48" s="390" customFormat="1" ht="22.25" customHeight="1">
      <c r="A1274" s="454"/>
      <c r="B1274" s="660"/>
      <c r="C1274" s="662"/>
      <c r="D1274" s="662"/>
      <c r="E1274" s="662"/>
      <c r="F1274" s="498"/>
      <c r="G1274" s="642"/>
      <c r="H1274" s="642"/>
      <c r="I1274" s="507"/>
      <c r="J1274" s="421"/>
      <c r="K1274" s="455"/>
      <c r="L1274" s="455"/>
      <c r="M1274" s="722"/>
      <c r="N1274" s="722"/>
      <c r="O1274" s="722"/>
      <c r="P1274" s="722"/>
      <c r="Q1274" s="618"/>
      <c r="R1274" s="618"/>
      <c r="S1274" s="618"/>
      <c r="T1274" s="618"/>
      <c r="U1274" s="618"/>
      <c r="V1274" s="641"/>
      <c r="W1274" s="641"/>
      <c r="X1274" s="641"/>
      <c r="Y1274" s="618"/>
      <c r="Z1274" s="618"/>
      <c r="AA1274" s="618"/>
      <c r="AB1274" s="618"/>
      <c r="AC1274" s="620"/>
      <c r="AD1274" s="620"/>
      <c r="AE1274" s="620"/>
      <c r="AF1274" s="472"/>
      <c r="AG1274" s="472"/>
      <c r="AH1274" s="472"/>
      <c r="AI1274" s="472"/>
      <c r="AJ1274" s="472"/>
      <c r="AK1274" s="472"/>
      <c r="AL1274" s="472"/>
      <c r="AM1274" s="472"/>
      <c r="AN1274" s="471"/>
      <c r="AO1274" s="471"/>
      <c r="AR1274" s="404"/>
      <c r="AU1274" s="404"/>
      <c r="AV1274" s="404"/>
    </row>
    <row r="1275" spans="1:48" s="390" customFormat="1" ht="22.25" customHeight="1">
      <c r="A1275" s="454">
        <v>31</v>
      </c>
      <c r="B1275" s="655" t="s">
        <v>830</v>
      </c>
      <c r="C1275" s="662"/>
      <c r="D1275" s="662"/>
      <c r="E1275" s="662"/>
      <c r="F1275" s="504"/>
      <c r="G1275" s="643"/>
      <c r="H1275" s="648"/>
      <c r="I1275" s="507"/>
      <c r="J1275" s="421"/>
      <c r="K1275" s="505"/>
      <c r="L1275" s="436"/>
      <c r="M1275" s="723"/>
      <c r="N1275" s="723"/>
      <c r="O1275" s="723"/>
      <c r="P1275" s="723"/>
      <c r="Q1275" s="618"/>
      <c r="R1275" s="618"/>
      <c r="S1275" s="618"/>
      <c r="T1275" s="618"/>
      <c r="U1275" s="618"/>
      <c r="V1275" s="641"/>
      <c r="W1275" s="641"/>
      <c r="X1275" s="641"/>
      <c r="Y1275" s="618"/>
      <c r="Z1275" s="618"/>
      <c r="AA1275" s="618"/>
      <c r="AB1275" s="618"/>
      <c r="AC1275" s="620"/>
      <c r="AD1275" s="620"/>
      <c r="AE1275" s="620"/>
      <c r="AF1275" s="471"/>
      <c r="AG1275" s="473"/>
      <c r="AH1275" s="471"/>
      <c r="AI1275" s="471"/>
      <c r="AJ1275" s="471"/>
      <c r="AM1275" s="404"/>
      <c r="AP1275" s="404"/>
      <c r="AQ1275" s="404"/>
    </row>
    <row r="1276" spans="1:48" s="390" customFormat="1" ht="22.25" customHeight="1">
      <c r="A1276" s="454"/>
      <c r="B1276" s="967" t="str">
        <f>B1254</f>
        <v>5"x3" Chowket</v>
      </c>
      <c r="C1276" s="662"/>
      <c r="D1276" s="662"/>
      <c r="E1276" s="662">
        <v>1</v>
      </c>
      <c r="F1276" s="498">
        <f>K1256</f>
        <v>55.68</v>
      </c>
      <c r="G1276" s="642">
        <f>0.42+0.25*2</f>
        <v>0.91999999999999993</v>
      </c>
      <c r="H1276" s="642"/>
      <c r="I1276" s="507"/>
      <c r="J1276" s="507">
        <f>IF(I1276=0,1,I1276)*IF(H1276=0,1,H1276)*IF(G1276=0,1,G1276)*IF(F1276=0,1,F1276)*IF(E1276=0,1,E1276)*IF(D1276=0,1,D1276)*IF(C1276=0,1,C1276)</f>
        <v>51.225599999999993</v>
      </c>
      <c r="K1276" s="421"/>
      <c r="L1276" s="457"/>
      <c r="M1276" s="725"/>
      <c r="N1276" s="725"/>
      <c r="O1276" s="725"/>
      <c r="P1276" s="725"/>
      <c r="Q1276" s="618"/>
      <c r="R1276" s="618"/>
      <c r="S1276" s="618"/>
      <c r="T1276" s="618"/>
      <c r="U1276" s="618"/>
      <c r="V1276" s="641"/>
      <c r="W1276" s="641"/>
      <c r="X1276" s="641"/>
      <c r="Y1276" s="618"/>
      <c r="Z1276" s="618"/>
      <c r="AA1276" s="618"/>
      <c r="AB1276" s="618"/>
      <c r="AC1276" s="620"/>
      <c r="AD1276" s="620"/>
      <c r="AE1276" s="620"/>
      <c r="AF1276" s="471"/>
      <c r="AG1276" s="473"/>
      <c r="AH1276" s="471"/>
      <c r="AI1276" s="471"/>
      <c r="AJ1276" s="471"/>
      <c r="AM1276" s="404"/>
      <c r="AP1276" s="404"/>
      <c r="AQ1276" s="404"/>
    </row>
    <row r="1277" spans="1:48" s="390" customFormat="1" ht="22.25" customHeight="1">
      <c r="A1277" s="454"/>
      <c r="B1277" s="967" t="str">
        <f>B1258</f>
        <v>5"x2" Chowket</v>
      </c>
      <c r="C1277" s="662"/>
      <c r="D1277" s="662"/>
      <c r="E1277" s="662">
        <v>1</v>
      </c>
      <c r="F1277" s="498">
        <f>K1261</f>
        <v>132.68</v>
      </c>
      <c r="G1277" s="642">
        <f>0.42+0.17*2</f>
        <v>0.76</v>
      </c>
      <c r="H1277" s="642"/>
      <c r="I1277" s="507"/>
      <c r="J1277" s="507">
        <f>IF(I1277=0,1,I1277)*IF(H1277=0,1,H1277)*IF(G1277=0,1,G1277)*IF(F1277=0,1,F1277)*IF(E1277=0,1,E1277)*IF(D1277=0,1,D1277)*IF(C1277=0,1,C1277)</f>
        <v>100.83680000000001</v>
      </c>
      <c r="K1277" s="421"/>
      <c r="L1277" s="457"/>
      <c r="M1277" s="725"/>
      <c r="N1277" s="725"/>
      <c r="O1277" s="725"/>
      <c r="P1277" s="725"/>
      <c r="Q1277" s="618"/>
      <c r="R1277" s="618"/>
      <c r="S1277" s="618"/>
      <c r="T1277" s="618"/>
      <c r="U1277" s="618"/>
      <c r="V1277" s="641"/>
      <c r="W1277" s="641"/>
      <c r="X1277" s="641"/>
      <c r="Y1277" s="618"/>
      <c r="Z1277" s="618"/>
      <c r="AA1277" s="618"/>
      <c r="AB1277" s="618"/>
      <c r="AC1277" s="620"/>
      <c r="AD1277" s="620"/>
      <c r="AE1277" s="620"/>
      <c r="AF1277" s="471"/>
      <c r="AG1277" s="473"/>
      <c r="AH1277" s="471"/>
      <c r="AI1277" s="471"/>
      <c r="AJ1277" s="471"/>
      <c r="AM1277" s="404"/>
      <c r="AP1277" s="404"/>
      <c r="AQ1277" s="404"/>
    </row>
    <row r="1278" spans="1:48" s="390" customFormat="1" ht="22.25" customHeight="1">
      <c r="A1278" s="454"/>
      <c r="B1278" s="967" t="str">
        <f>B1268</f>
        <v>Hardwood Door Work</v>
      </c>
      <c r="C1278" s="662"/>
      <c r="D1278" s="662"/>
      <c r="E1278" s="662">
        <f>E1270</f>
        <v>2</v>
      </c>
      <c r="F1278" s="498">
        <f>K1273</f>
        <v>249.70440000000002</v>
      </c>
      <c r="G1278" s="642"/>
      <c r="H1278" s="642"/>
      <c r="I1278" s="507"/>
      <c r="J1278" s="507">
        <f>IF(I1278=0,1,I1278)*IF(H1278=0,1,H1278)*IF(G1278=0,1,G1278)*IF(F1278=0,1,F1278)*IF(E1278=0,1,E1278)*IF(D1278=0,1,D1278)*IF(C1278=0,1,C1278)</f>
        <v>499.40880000000004</v>
      </c>
      <c r="K1278" s="421"/>
      <c r="L1278" s="457"/>
      <c r="M1278" s="725"/>
      <c r="N1278" s="725"/>
      <c r="O1278" s="725"/>
      <c r="P1278" s="725"/>
      <c r="Q1278" s="618"/>
      <c r="R1278" s="618"/>
      <c r="S1278" s="618"/>
      <c r="T1278" s="618"/>
      <c r="U1278" s="618"/>
      <c r="V1278" s="641"/>
      <c r="W1278" s="641"/>
      <c r="X1278" s="641"/>
      <c r="Y1278" s="618"/>
      <c r="Z1278" s="618"/>
      <c r="AA1278" s="618"/>
      <c r="AB1278" s="618"/>
      <c r="AC1278" s="620"/>
      <c r="AD1278" s="620"/>
      <c r="AE1278" s="620"/>
      <c r="AF1278" s="471"/>
      <c r="AG1278" s="473"/>
      <c r="AH1278" s="471"/>
      <c r="AI1278" s="471"/>
      <c r="AJ1278" s="471"/>
      <c r="AM1278" s="404"/>
      <c r="AP1278" s="404"/>
      <c r="AQ1278" s="404"/>
    </row>
    <row r="1279" spans="1:48" s="390" customFormat="1" ht="22.25" customHeight="1">
      <c r="A1279" s="454"/>
      <c r="B1279" s="660"/>
      <c r="C1279" s="662"/>
      <c r="D1279" s="662"/>
      <c r="E1279" s="662"/>
      <c r="F1279" s="498"/>
      <c r="G1279" s="642"/>
      <c r="H1279" s="642"/>
      <c r="I1279" s="507"/>
      <c r="J1279" s="421"/>
      <c r="K1279" s="455">
        <f>SUM(J1275:J1279)</f>
        <v>651.47120000000007</v>
      </c>
      <c r="L1279" s="455" t="s">
        <v>45</v>
      </c>
      <c r="M1279" s="722"/>
      <c r="N1279" s="722"/>
      <c r="O1279" s="722"/>
      <c r="P1279" s="722"/>
      <c r="Q1279" s="618"/>
      <c r="R1279" s="618"/>
      <c r="S1279" s="618"/>
      <c r="T1279" s="618"/>
      <c r="U1279" s="618"/>
      <c r="V1279" s="641"/>
      <c r="W1279" s="641"/>
      <c r="X1279" s="641"/>
      <c r="Y1279" s="618"/>
      <c r="Z1279" s="618"/>
      <c r="AA1279" s="618"/>
      <c r="AB1279" s="618"/>
      <c r="AC1279" s="620"/>
      <c r="AD1279" s="620"/>
      <c r="AE1279" s="620"/>
      <c r="AF1279" s="472">
        <f>7.5*1.07</f>
        <v>8.0250000000000004</v>
      </c>
      <c r="AG1279" s="472"/>
      <c r="AH1279" s="472"/>
      <c r="AI1279" s="472"/>
      <c r="AJ1279" s="472"/>
      <c r="AK1279" s="472"/>
      <c r="AL1279" s="472"/>
      <c r="AM1279" s="472"/>
      <c r="AN1279" s="471"/>
      <c r="AO1279" s="471"/>
      <c r="AR1279" s="404"/>
      <c r="AU1279" s="404"/>
      <c r="AV1279" s="404"/>
    </row>
    <row r="1280" spans="1:48" s="390" customFormat="1" ht="22.25" customHeight="1">
      <c r="A1280" s="454"/>
      <c r="B1280" s="660"/>
      <c r="C1280" s="662"/>
      <c r="D1280" s="662"/>
      <c r="E1280" s="662"/>
      <c r="F1280" s="498"/>
      <c r="G1280" s="642"/>
      <c r="H1280" s="642"/>
      <c r="I1280" s="507"/>
      <c r="J1280" s="421"/>
      <c r="K1280" s="455"/>
      <c r="L1280" s="455"/>
      <c r="M1280" s="722"/>
      <c r="N1280" s="722"/>
      <c r="O1280" s="722"/>
      <c r="P1280" s="722"/>
      <c r="Q1280" s="618"/>
      <c r="R1280" s="618"/>
      <c r="S1280" s="618"/>
      <c r="T1280" s="618"/>
      <c r="U1280" s="618"/>
      <c r="V1280" s="641"/>
      <c r="W1280" s="641"/>
      <c r="X1280" s="641"/>
      <c r="Y1280" s="618"/>
      <c r="Z1280" s="618"/>
      <c r="AA1280" s="618"/>
      <c r="AB1280" s="618"/>
      <c r="AC1280" s="620"/>
      <c r="AD1280" s="620"/>
      <c r="AE1280" s="620"/>
      <c r="AF1280" s="472"/>
      <c r="AG1280" s="472"/>
      <c r="AH1280" s="472"/>
      <c r="AI1280" s="472"/>
      <c r="AJ1280" s="472"/>
      <c r="AK1280" s="472"/>
      <c r="AL1280" s="472"/>
      <c r="AM1280" s="472"/>
      <c r="AN1280" s="471"/>
      <c r="AO1280" s="471"/>
      <c r="AR1280" s="404"/>
      <c r="AU1280" s="404"/>
      <c r="AV1280" s="404"/>
    </row>
    <row r="1281" spans="1:48" s="390" customFormat="1" ht="22.25" customHeight="1">
      <c r="A1281" s="454">
        <v>32</v>
      </c>
      <c r="B1281" s="655" t="s">
        <v>804</v>
      </c>
      <c r="C1281" s="662"/>
      <c r="D1281" s="662"/>
      <c r="E1281" s="662"/>
      <c r="F1281" s="504"/>
      <c r="G1281" s="643"/>
      <c r="H1281" s="648"/>
      <c r="I1281" s="507"/>
      <c r="J1281" s="421"/>
      <c r="K1281" s="505"/>
      <c r="L1281" s="436"/>
      <c r="M1281" s="723"/>
      <c r="N1281" s="723"/>
      <c r="O1281" s="723"/>
      <c r="P1281" s="723"/>
      <c r="Q1281" s="618"/>
      <c r="R1281" s="618"/>
      <c r="S1281" s="618"/>
      <c r="T1281" s="618"/>
      <c r="U1281" s="618"/>
      <c r="V1281" s="641"/>
      <c r="W1281" s="641"/>
      <c r="X1281" s="641"/>
      <c r="Y1281" s="618"/>
      <c r="Z1281" s="618"/>
      <c r="AA1281" s="618"/>
      <c r="AB1281" s="618"/>
      <c r="AC1281" s="620"/>
      <c r="AD1281" s="620"/>
      <c r="AE1281" s="620"/>
      <c r="AF1281" s="471"/>
      <c r="AG1281" s="473"/>
      <c r="AH1281" s="471"/>
      <c r="AI1281" s="471"/>
      <c r="AJ1281" s="471"/>
      <c r="AM1281" s="404"/>
      <c r="AP1281" s="404"/>
      <c r="AQ1281" s="404"/>
    </row>
    <row r="1282" spans="1:48" s="390" customFormat="1" ht="22.25" customHeight="1">
      <c r="B1282" s="659" t="s">
        <v>151</v>
      </c>
      <c r="C1282" s="662"/>
      <c r="D1282" s="662"/>
      <c r="E1282" s="662"/>
      <c r="F1282" s="498"/>
      <c r="G1282" s="642"/>
      <c r="H1282" s="642"/>
      <c r="I1282" s="501"/>
      <c r="J1282" s="507"/>
      <c r="K1282" s="507"/>
      <c r="L1282" s="432"/>
      <c r="M1282" s="725"/>
      <c r="N1282" s="725"/>
      <c r="O1282" s="725"/>
      <c r="P1282" s="725"/>
      <c r="Q1282" s="618"/>
      <c r="R1282" s="618"/>
      <c r="S1282" s="618"/>
      <c r="T1282" s="618"/>
      <c r="U1282" s="618"/>
      <c r="V1282" s="641"/>
      <c r="W1282" s="641"/>
      <c r="X1282" s="641"/>
      <c r="Y1282" s="618"/>
      <c r="Z1282" s="618"/>
      <c r="AA1282" s="618"/>
      <c r="AB1282" s="618"/>
      <c r="AC1282" s="620"/>
      <c r="AD1282" s="620"/>
      <c r="AE1282" s="620"/>
      <c r="AF1282" s="471"/>
      <c r="AG1282" s="473"/>
      <c r="AH1282" s="471"/>
      <c r="AI1282" s="471"/>
      <c r="AJ1282" s="471"/>
      <c r="AM1282" s="404"/>
      <c r="AP1282" s="404"/>
      <c r="AQ1282" s="404"/>
    </row>
    <row r="1283" spans="1:48" s="390" customFormat="1" ht="22.25" customHeight="1">
      <c r="A1283" s="454"/>
      <c r="B1283" s="967" t="str">
        <f>B981</f>
        <v>W01 (2'-0"x6'-2")</v>
      </c>
      <c r="C1283" s="662"/>
      <c r="D1283" s="662"/>
      <c r="E1283" s="662">
        <f t="shared" ref="E1283:F1285" si="224">E981</f>
        <v>10</v>
      </c>
      <c r="F1283" s="498">
        <f t="shared" si="224"/>
        <v>2</v>
      </c>
      <c r="G1283" s="642"/>
      <c r="H1283" s="642">
        <f>H981</f>
        <v>6.17</v>
      </c>
      <c r="I1283" s="507">
        <f>IF(H1283=0,1,H1283)*IF(G1283=0,1,G1283)*IF(F1283=0,1,F1283)*IF(E1283=0,1,E1283)*IF(D1283=0,1,D1283)*IF(C1283=0,1,C1283)</f>
        <v>123.4</v>
      </c>
      <c r="J1283" s="421" t="s">
        <v>45</v>
      </c>
      <c r="K1283" s="421">
        <f>E1283</f>
        <v>10</v>
      </c>
      <c r="L1283" s="457" t="s">
        <v>304</v>
      </c>
      <c r="M1283" s="725"/>
      <c r="N1283" s="725"/>
      <c r="O1283" s="725"/>
      <c r="P1283" s="725"/>
      <c r="Q1283" s="618"/>
      <c r="R1283" s="618"/>
      <c r="S1283" s="618"/>
      <c r="T1283" s="618"/>
      <c r="U1283" s="618"/>
      <c r="V1283" s="641"/>
      <c r="W1283" s="641"/>
      <c r="X1283" s="641"/>
      <c r="Y1283" s="618"/>
      <c r="Z1283" s="618"/>
      <c r="AA1283" s="618"/>
      <c r="AB1283" s="618"/>
      <c r="AC1283" s="620"/>
      <c r="AD1283" s="620"/>
      <c r="AE1283" s="620"/>
      <c r="AF1283" s="471"/>
      <c r="AG1283" s="473"/>
      <c r="AH1283" s="471"/>
      <c r="AI1283" s="471"/>
      <c r="AJ1283" s="471"/>
      <c r="AM1283" s="404"/>
      <c r="AP1283" s="404"/>
      <c r="AQ1283" s="404"/>
    </row>
    <row r="1284" spans="1:48" s="390" customFormat="1" ht="22.25" customHeight="1">
      <c r="A1284" s="454"/>
      <c r="B1284" s="967" t="str">
        <f>B982</f>
        <v>W02 (4'-0"x6'-2")</v>
      </c>
      <c r="C1284" s="662"/>
      <c r="D1284" s="662"/>
      <c r="E1284" s="662">
        <f t="shared" si="224"/>
        <v>7</v>
      </c>
      <c r="F1284" s="498">
        <f t="shared" si="224"/>
        <v>4</v>
      </c>
      <c r="G1284" s="642"/>
      <c r="H1284" s="642">
        <f>H982</f>
        <v>6.17</v>
      </c>
      <c r="I1284" s="507">
        <f>IF(H1284=0,1,H1284)*IF(G1284=0,1,G1284)*IF(F1284=0,1,F1284)*IF(E1284=0,1,E1284)*IF(D1284=0,1,D1284)*IF(C1284=0,1,C1284)</f>
        <v>172.76</v>
      </c>
      <c r="J1284" s="421" t="s">
        <v>45</v>
      </c>
      <c r="K1284" s="421">
        <f>E1284</f>
        <v>7</v>
      </c>
      <c r="L1284" s="457" t="s">
        <v>304</v>
      </c>
      <c r="M1284" s="725"/>
      <c r="N1284" s="725"/>
      <c r="O1284" s="725"/>
      <c r="P1284" s="725"/>
      <c r="Q1284" s="618"/>
      <c r="R1284" s="618"/>
      <c r="S1284" s="618"/>
      <c r="T1284" s="618"/>
      <c r="U1284" s="618"/>
      <c r="V1284" s="641"/>
      <c r="W1284" s="641"/>
      <c r="X1284" s="641"/>
      <c r="Y1284" s="618"/>
      <c r="Z1284" s="618"/>
      <c r="AA1284" s="618"/>
      <c r="AB1284" s="618"/>
      <c r="AC1284" s="620"/>
      <c r="AD1284" s="620"/>
      <c r="AE1284" s="620"/>
      <c r="AF1284" s="471"/>
      <c r="AG1284" s="473"/>
      <c r="AH1284" s="471"/>
      <c r="AI1284" s="471"/>
      <c r="AJ1284" s="471"/>
      <c r="AM1284" s="404"/>
      <c r="AP1284" s="404"/>
      <c r="AQ1284" s="404"/>
    </row>
    <row r="1285" spans="1:48" s="390" customFormat="1" ht="22.25" customHeight="1">
      <c r="A1285" s="454"/>
      <c r="B1285" s="967" t="str">
        <f>B983</f>
        <v>F01 (2'-3"x2'-0")</v>
      </c>
      <c r="C1285" s="662"/>
      <c r="D1285" s="662"/>
      <c r="E1285" s="662">
        <f t="shared" si="224"/>
        <v>3</v>
      </c>
      <c r="F1285" s="498">
        <f t="shared" si="224"/>
        <v>2.25</v>
      </c>
      <c r="G1285" s="642"/>
      <c r="H1285" s="642">
        <f>H983</f>
        <v>2</v>
      </c>
      <c r="I1285" s="507">
        <f>IF(H1285=0,1,H1285)*IF(G1285=0,1,G1285)*IF(F1285=0,1,F1285)*IF(E1285=0,1,E1285)*IF(D1285=0,1,D1285)*IF(C1285=0,1,C1285)</f>
        <v>13.5</v>
      </c>
      <c r="J1285" s="421" t="s">
        <v>45</v>
      </c>
      <c r="K1285" s="421">
        <f>E1285</f>
        <v>3</v>
      </c>
      <c r="L1285" s="457" t="s">
        <v>304</v>
      </c>
      <c r="M1285" s="725"/>
      <c r="N1285" s="725"/>
      <c r="O1285" s="725"/>
      <c r="P1285" s="725"/>
      <c r="Q1285" s="618"/>
      <c r="R1285" s="618"/>
      <c r="S1285" s="618"/>
      <c r="T1285" s="618"/>
      <c r="U1285" s="618"/>
      <c r="V1285" s="641"/>
      <c r="W1285" s="641"/>
      <c r="X1285" s="641"/>
      <c r="Y1285" s="618"/>
      <c r="Z1285" s="618"/>
      <c r="AA1285" s="618"/>
      <c r="AB1285" s="618"/>
      <c r="AC1285" s="620"/>
      <c r="AD1285" s="620"/>
      <c r="AE1285" s="620"/>
      <c r="AF1285" s="471"/>
      <c r="AG1285" s="473"/>
      <c r="AH1285" s="471"/>
      <c r="AI1285" s="471"/>
      <c r="AJ1285" s="471"/>
      <c r="AM1285" s="404"/>
      <c r="AP1285" s="404"/>
      <c r="AQ1285" s="404"/>
    </row>
    <row r="1286" spans="1:48" s="390" customFormat="1" ht="22.25" customHeight="1">
      <c r="A1286" s="454"/>
      <c r="B1286" s="660"/>
      <c r="C1286" s="662"/>
      <c r="D1286" s="662"/>
      <c r="E1286" s="662"/>
      <c r="F1286" s="498"/>
      <c r="G1286" s="642"/>
      <c r="H1286" s="642"/>
      <c r="I1286" s="507"/>
      <c r="J1286" s="421"/>
      <c r="K1286" s="455">
        <f>SUM(I1282:I1286)</f>
        <v>309.65999999999997</v>
      </c>
      <c r="L1286" s="455" t="s">
        <v>45</v>
      </c>
      <c r="M1286" s="722"/>
      <c r="N1286" s="722">
        <f>2.5*6.5*2</f>
        <v>32.5</v>
      </c>
      <c r="O1286" s="722"/>
      <c r="P1286" s="722"/>
      <c r="Q1286" s="618"/>
      <c r="R1286" s="618"/>
      <c r="S1286" s="618"/>
      <c r="T1286" s="618"/>
      <c r="U1286" s="618"/>
      <c r="V1286" s="641"/>
      <c r="W1286" s="641"/>
      <c r="X1286" s="641"/>
      <c r="Y1286" s="618"/>
      <c r="Z1286" s="618"/>
      <c r="AA1286" s="618"/>
      <c r="AB1286" s="618"/>
      <c r="AC1286" s="620"/>
      <c r="AD1286" s="620"/>
      <c r="AE1286" s="620"/>
      <c r="AF1286" s="472">
        <f>7.5*1.07</f>
        <v>8.0250000000000004</v>
      </c>
      <c r="AG1286" s="472"/>
      <c r="AH1286" s="472"/>
      <c r="AI1286" s="472"/>
      <c r="AJ1286" s="472"/>
      <c r="AK1286" s="472"/>
      <c r="AL1286" s="472"/>
      <c r="AM1286" s="472"/>
      <c r="AN1286" s="471"/>
      <c r="AO1286" s="471"/>
      <c r="AR1286" s="404"/>
      <c r="AU1286" s="404"/>
      <c r="AV1286" s="404"/>
    </row>
    <row r="1287" spans="1:48" ht="22.25" customHeight="1">
      <c r="A1287" s="488"/>
      <c r="B1287" s="871"/>
      <c r="C1287" s="667"/>
      <c r="D1287" s="667"/>
      <c r="E1287" s="490"/>
      <c r="F1287" s="489"/>
      <c r="G1287" s="646"/>
      <c r="H1287" s="652"/>
      <c r="I1287" s="490"/>
      <c r="J1287" s="491"/>
      <c r="K1287" s="491"/>
      <c r="L1287" s="491"/>
      <c r="M1287" s="727"/>
      <c r="N1287" s="727"/>
      <c r="O1287" s="727"/>
      <c r="P1287" s="727"/>
      <c r="AF1287" s="475"/>
      <c r="AG1287" s="475"/>
      <c r="AH1287" s="475"/>
      <c r="AI1287" s="475"/>
      <c r="AJ1287" s="475"/>
    </row>
    <row r="1288" spans="1:48" s="393" customFormat="1" ht="22.25" customHeight="1">
      <c r="A1288" s="1017">
        <v>33</v>
      </c>
      <c r="B1288" s="946" t="s">
        <v>808</v>
      </c>
      <c r="C1288" s="664"/>
      <c r="D1288" s="664"/>
      <c r="E1288" s="1019"/>
      <c r="F1288" s="947"/>
      <c r="G1288" s="1020"/>
      <c r="H1288" s="1021"/>
      <c r="I1288" s="1019"/>
      <c r="J1288" s="514"/>
      <c r="K1288" s="514"/>
      <c r="L1288" s="514"/>
      <c r="M1288" s="725"/>
      <c r="N1288" s="725"/>
      <c r="O1288" s="725"/>
      <c r="P1288" s="725"/>
      <c r="Q1288" s="618"/>
      <c r="R1288" s="618"/>
      <c r="S1288" s="618"/>
      <c r="T1288" s="618"/>
      <c r="U1288" s="618"/>
      <c r="V1288" s="641"/>
      <c r="W1288" s="641"/>
      <c r="X1288" s="641"/>
      <c r="Y1288" s="618"/>
      <c r="Z1288" s="618"/>
      <c r="AA1288" s="618"/>
      <c r="AB1288" s="618"/>
      <c r="AC1288" s="620"/>
      <c r="AD1288" s="620"/>
      <c r="AE1288" s="620"/>
      <c r="AF1288" s="471"/>
      <c r="AG1288" s="471"/>
      <c r="AH1288" s="471"/>
      <c r="AI1288" s="471"/>
      <c r="AJ1288" s="471"/>
      <c r="AK1288" s="425"/>
      <c r="AL1288" s="425"/>
      <c r="AM1288" s="425"/>
      <c r="AN1288" s="425"/>
      <c r="AO1288" s="425"/>
      <c r="AR1288" s="425"/>
      <c r="AU1288" s="425"/>
      <c r="AV1288" s="425"/>
    </row>
    <row r="1289" spans="1:48" s="393" customFormat="1" ht="22.25" customHeight="1">
      <c r="A1289" s="1017"/>
      <c r="B1289" s="1023" t="s">
        <v>806</v>
      </c>
      <c r="C1289" s="664"/>
      <c r="D1289" s="664"/>
      <c r="E1289" s="1019"/>
      <c r="F1289" s="947"/>
      <c r="G1289" s="1020"/>
      <c r="H1289" s="1021"/>
      <c r="I1289" s="1019"/>
      <c r="J1289" s="514"/>
      <c r="K1289" s="514"/>
      <c r="L1289" s="514"/>
      <c r="M1289" s="725"/>
      <c r="N1289" s="725"/>
      <c r="O1289" s="725"/>
      <c r="P1289" s="725"/>
      <c r="Q1289" s="618"/>
      <c r="R1289" s="618"/>
      <c r="S1289" s="618"/>
      <c r="T1289" s="618"/>
      <c r="U1289" s="618"/>
      <c r="V1289" s="641"/>
      <c r="W1289" s="641"/>
      <c r="X1289" s="641"/>
      <c r="Y1289" s="618"/>
      <c r="Z1289" s="618"/>
      <c r="AA1289" s="618"/>
      <c r="AB1289" s="618"/>
      <c r="AC1289" s="620"/>
      <c r="AD1289" s="620"/>
      <c r="AE1289" s="620"/>
      <c r="AF1289" s="471"/>
      <c r="AG1289" s="471"/>
      <c r="AH1289" s="471"/>
      <c r="AI1289" s="471"/>
      <c r="AJ1289" s="471"/>
      <c r="AK1289" s="425"/>
      <c r="AL1289" s="425"/>
      <c r="AM1289" s="425"/>
      <c r="AN1289" s="425"/>
      <c r="AO1289" s="425"/>
      <c r="AR1289" s="425"/>
      <c r="AU1289" s="425"/>
      <c r="AV1289" s="425"/>
    </row>
    <row r="1290" spans="1:48" s="393" customFormat="1" ht="22.25" customHeight="1">
      <c r="A1290" s="1017"/>
      <c r="B1290" s="1022" t="s">
        <v>165</v>
      </c>
      <c r="C1290" s="664"/>
      <c r="D1290" s="664"/>
      <c r="E1290" s="1019">
        <v>2</v>
      </c>
      <c r="F1290" s="947">
        <v>8</v>
      </c>
      <c r="G1290" s="1037">
        <v>4.5</v>
      </c>
      <c r="H1290" s="1021"/>
      <c r="I1290" s="1019"/>
      <c r="J1290" s="507">
        <f>IF(I1290=0,1,I1290)*IF(H1290=0,1,H1290)*IF(G1290=0,1,G1290)*IF(F1290=0,1,F1290)*IF(E1290=0,1,E1290)*IF(D1290=0,1,D1290)*IF(C1290=0,1,C1290)</f>
        <v>72</v>
      </c>
      <c r="K1290" s="514"/>
      <c r="L1290" s="514"/>
      <c r="M1290" s="725"/>
      <c r="N1290" s="725"/>
      <c r="O1290" s="725"/>
      <c r="P1290" s="725"/>
      <c r="Q1290" s="618"/>
      <c r="R1290" s="618"/>
      <c r="S1290" s="618"/>
      <c r="T1290" s="618"/>
      <c r="U1290" s="618"/>
      <c r="V1290" s="641"/>
      <c r="W1290" s="641"/>
      <c r="X1290" s="641"/>
      <c r="Y1290" s="618"/>
      <c r="Z1290" s="618"/>
      <c r="AA1290" s="618"/>
      <c r="AB1290" s="618"/>
      <c r="AC1290" s="620"/>
      <c r="AD1290" s="620"/>
      <c r="AE1290" s="620"/>
      <c r="AF1290" s="471"/>
      <c r="AG1290" s="471"/>
      <c r="AH1290" s="471"/>
      <c r="AI1290" s="471"/>
      <c r="AJ1290" s="471"/>
      <c r="AK1290" s="425"/>
      <c r="AL1290" s="425"/>
      <c r="AM1290" s="425"/>
      <c r="AN1290" s="425"/>
      <c r="AO1290" s="425"/>
      <c r="AR1290" s="425"/>
      <c r="AU1290" s="425"/>
      <c r="AV1290" s="425"/>
    </row>
    <row r="1291" spans="1:48" s="393" customFormat="1" ht="22.25" customHeight="1">
      <c r="A1291" s="1017"/>
      <c r="B1291" s="1022" t="s">
        <v>805</v>
      </c>
      <c r="C1291" s="664"/>
      <c r="D1291" s="664"/>
      <c r="E1291" s="1019">
        <v>1</v>
      </c>
      <c r="F1291" s="947">
        <v>9.5</v>
      </c>
      <c r="G1291" s="1020">
        <v>5</v>
      </c>
      <c r="H1291" s="1021"/>
      <c r="I1291" s="1019"/>
      <c r="J1291" s="507">
        <f>IF(I1291=0,1,I1291)*IF(H1291=0,1,H1291)*IF(G1291=0,1,G1291)*IF(F1291=0,1,F1291)*IF(E1291=0,1,E1291)*IF(D1291=0,1,D1291)*IF(C1291=0,1,C1291)</f>
        <v>47.5</v>
      </c>
      <c r="K1291" s="514"/>
      <c r="L1291" s="514"/>
      <c r="M1291" s="725"/>
      <c r="N1291" s="725"/>
      <c r="O1291" s="725"/>
      <c r="P1291" s="725"/>
      <c r="Q1291" s="618"/>
      <c r="R1291" s="618"/>
      <c r="S1291" s="618"/>
      <c r="T1291" s="618"/>
      <c r="U1291" s="618"/>
      <c r="V1291" s="641"/>
      <c r="W1291" s="641"/>
      <c r="X1291" s="641"/>
      <c r="Y1291" s="618"/>
      <c r="Z1291" s="618"/>
      <c r="AA1291" s="618"/>
      <c r="AB1291" s="618"/>
      <c r="AC1291" s="620"/>
      <c r="AD1291" s="620"/>
      <c r="AE1291" s="620"/>
      <c r="AF1291" s="471"/>
      <c r="AG1291" s="471"/>
      <c r="AH1291" s="471"/>
      <c r="AI1291" s="471"/>
      <c r="AJ1291" s="471"/>
      <c r="AK1291" s="425"/>
      <c r="AL1291" s="425"/>
      <c r="AM1291" s="425"/>
      <c r="AN1291" s="425"/>
      <c r="AO1291" s="425"/>
      <c r="AR1291" s="425"/>
      <c r="AU1291" s="425"/>
      <c r="AV1291" s="425"/>
    </row>
    <row r="1292" spans="1:48" s="393" customFormat="1" ht="22.25" customHeight="1">
      <c r="A1292" s="1017"/>
      <c r="B1292" s="1022"/>
      <c r="C1292" s="664"/>
      <c r="D1292" s="664"/>
      <c r="E1292" s="1019"/>
      <c r="F1292" s="947"/>
      <c r="G1292" s="1020"/>
      <c r="H1292" s="1021"/>
      <c r="I1292" s="1019"/>
      <c r="J1292" s="514"/>
      <c r="K1292" s="1029">
        <f>SUM(J1289:J1292)</f>
        <v>119.5</v>
      </c>
      <c r="L1292" s="1027" t="s">
        <v>45</v>
      </c>
      <c r="M1292" s="725"/>
      <c r="N1292" s="725"/>
      <c r="O1292" s="725"/>
      <c r="P1292" s="725"/>
      <c r="Q1292" s="618"/>
      <c r="R1292" s="618"/>
      <c r="S1292" s="618"/>
      <c r="T1292" s="618"/>
      <c r="U1292" s="618"/>
      <c r="V1292" s="641"/>
      <c r="W1292" s="641"/>
      <c r="X1292" s="641"/>
      <c r="Y1292" s="618"/>
      <c r="Z1292" s="618"/>
      <c r="AA1292" s="618"/>
      <c r="AB1292" s="618"/>
      <c r="AC1292" s="620"/>
      <c r="AD1292" s="620"/>
      <c r="AE1292" s="620"/>
      <c r="AF1292" s="471"/>
      <c r="AG1292" s="471"/>
      <c r="AH1292" s="471"/>
      <c r="AI1292" s="471"/>
      <c r="AJ1292" s="471"/>
      <c r="AK1292" s="425"/>
      <c r="AL1292" s="425"/>
      <c r="AM1292" s="425"/>
      <c r="AN1292" s="425"/>
      <c r="AO1292" s="425"/>
      <c r="AR1292" s="425"/>
      <c r="AU1292" s="425"/>
      <c r="AV1292" s="425"/>
    </row>
    <row r="1293" spans="1:48" s="393" customFormat="1" ht="22.25" customHeight="1">
      <c r="A1293" s="1017"/>
      <c r="B1293" s="1022"/>
      <c r="C1293" s="664"/>
      <c r="D1293" s="664"/>
      <c r="E1293" s="1019"/>
      <c r="F1293" s="947"/>
      <c r="G1293" s="1020"/>
      <c r="H1293" s="1021"/>
      <c r="I1293" s="1019"/>
      <c r="J1293" s="514"/>
      <c r="K1293" s="1029">
        <f>K1292/100</f>
        <v>1.1950000000000001</v>
      </c>
      <c r="L1293" s="1027" t="s">
        <v>315</v>
      </c>
      <c r="M1293" s="725"/>
      <c r="N1293" s="725"/>
      <c r="O1293" s="725"/>
      <c r="P1293" s="725"/>
      <c r="Q1293" s="618"/>
      <c r="R1293" s="618"/>
      <c r="S1293" s="618"/>
      <c r="T1293" s="618"/>
      <c r="U1293" s="618"/>
      <c r="V1293" s="641"/>
      <c r="W1293" s="641"/>
      <c r="X1293" s="641"/>
      <c r="Y1293" s="618"/>
      <c r="Z1293" s="618"/>
      <c r="AA1293" s="618"/>
      <c r="AB1293" s="618"/>
      <c r="AC1293" s="620"/>
      <c r="AD1293" s="620"/>
      <c r="AE1293" s="620"/>
      <c r="AF1293" s="471"/>
      <c r="AG1293" s="471"/>
      <c r="AH1293" s="471"/>
      <c r="AI1293" s="471"/>
      <c r="AJ1293" s="471"/>
      <c r="AK1293" s="425"/>
      <c r="AL1293" s="425"/>
      <c r="AM1293" s="425"/>
      <c r="AN1293" s="425"/>
      <c r="AO1293" s="425"/>
      <c r="AR1293" s="425"/>
      <c r="AU1293" s="425"/>
      <c r="AV1293" s="425"/>
    </row>
    <row r="1294" spans="1:48" s="393" customFormat="1" ht="22.25" customHeight="1">
      <c r="A1294" s="1017"/>
      <c r="B1294" s="1023" t="s">
        <v>807</v>
      </c>
      <c r="C1294" s="664"/>
      <c r="D1294" s="664"/>
      <c r="E1294" s="1019"/>
      <c r="F1294" s="947"/>
      <c r="G1294" s="1020"/>
      <c r="H1294" s="1021"/>
      <c r="I1294" s="1019"/>
      <c r="J1294" s="514"/>
      <c r="K1294" s="514"/>
      <c r="L1294" s="514"/>
      <c r="M1294" s="725"/>
      <c r="N1294" s="725"/>
      <c r="O1294" s="725"/>
      <c r="P1294" s="725"/>
      <c r="Q1294" s="618"/>
      <c r="R1294" s="618"/>
      <c r="S1294" s="618"/>
      <c r="T1294" s="618"/>
      <c r="U1294" s="618"/>
      <c r="V1294" s="641"/>
      <c r="W1294" s="641"/>
      <c r="X1294" s="641"/>
      <c r="Y1294" s="618"/>
      <c r="Z1294" s="618"/>
      <c r="AA1294" s="618"/>
      <c r="AB1294" s="618"/>
      <c r="AC1294" s="620"/>
      <c r="AD1294" s="620"/>
      <c r="AE1294" s="620"/>
      <c r="AF1294" s="471"/>
      <c r="AG1294" s="471"/>
      <c r="AH1294" s="471"/>
      <c r="AI1294" s="471"/>
      <c r="AJ1294" s="471"/>
      <c r="AK1294" s="425"/>
      <c r="AL1294" s="425"/>
      <c r="AM1294" s="425"/>
      <c r="AN1294" s="425"/>
      <c r="AO1294" s="425"/>
      <c r="AR1294" s="425"/>
      <c r="AU1294" s="425"/>
      <c r="AV1294" s="425"/>
    </row>
    <row r="1295" spans="1:48" s="393" customFormat="1" ht="22.25" customHeight="1">
      <c r="A1295" s="1017"/>
      <c r="B1295" s="1022" t="s">
        <v>167</v>
      </c>
      <c r="C1295" s="664"/>
      <c r="D1295" s="664"/>
      <c r="E1295" s="1019">
        <v>1</v>
      </c>
      <c r="F1295" s="947">
        <v>8.5</v>
      </c>
      <c r="G1295" s="1021">
        <v>15</v>
      </c>
      <c r="H1295" s="1021"/>
      <c r="I1295" s="1019"/>
      <c r="J1295" s="507">
        <f>IF(I1295=0,1,I1295)*IF(H1295=0,1,H1295)*IF(G1295=0,1,G1295)*IF(F1295=0,1,F1295)*IF(E1295=0,1,E1295)*IF(D1295=0,1,D1295)*IF(C1295=0,1,C1295)</f>
        <v>127.5</v>
      </c>
      <c r="K1295" s="514"/>
      <c r="L1295" s="514"/>
      <c r="M1295" s="725"/>
      <c r="N1295" s="725"/>
      <c r="O1295" s="725"/>
      <c r="P1295" s="725"/>
      <c r="Q1295" s="618"/>
      <c r="R1295" s="618"/>
      <c r="S1295" s="618"/>
      <c r="T1295" s="618"/>
      <c r="U1295" s="618"/>
      <c r="V1295" s="641"/>
      <c r="W1295" s="641"/>
      <c r="X1295" s="641"/>
      <c r="Y1295" s="618"/>
      <c r="Z1295" s="618"/>
      <c r="AA1295" s="618"/>
      <c r="AB1295" s="618"/>
      <c r="AC1295" s="620"/>
      <c r="AD1295" s="620"/>
      <c r="AE1295" s="620"/>
      <c r="AF1295" s="471"/>
      <c r="AG1295" s="471"/>
      <c r="AH1295" s="471"/>
      <c r="AI1295" s="471"/>
      <c r="AJ1295" s="471"/>
      <c r="AK1295" s="425"/>
      <c r="AL1295" s="425"/>
      <c r="AM1295" s="425"/>
      <c r="AN1295" s="425"/>
      <c r="AO1295" s="425"/>
      <c r="AR1295" s="425"/>
      <c r="AU1295" s="425"/>
      <c r="AV1295" s="425"/>
    </row>
    <row r="1296" spans="1:48" s="393" customFormat="1" ht="22.25" customHeight="1">
      <c r="A1296" s="1017"/>
      <c r="B1296" s="1022"/>
      <c r="C1296" s="664"/>
      <c r="D1296" s="664"/>
      <c r="E1296" s="1019"/>
      <c r="F1296" s="947"/>
      <c r="G1296" s="1020"/>
      <c r="H1296" s="1021"/>
      <c r="I1296" s="1019"/>
      <c r="J1296" s="514"/>
      <c r="K1296" s="1029">
        <f>SUM(J1294:J1296)</f>
        <v>127.5</v>
      </c>
      <c r="L1296" s="1027" t="s">
        <v>45</v>
      </c>
      <c r="M1296" s="725"/>
      <c r="N1296" s="725"/>
      <c r="O1296" s="725"/>
      <c r="P1296" s="725"/>
      <c r="Q1296" s="618"/>
      <c r="R1296" s="618"/>
      <c r="S1296" s="618"/>
      <c r="T1296" s="618"/>
      <c r="U1296" s="618"/>
      <c r="V1296" s="641"/>
      <c r="W1296" s="641"/>
      <c r="X1296" s="641"/>
      <c r="Y1296" s="618"/>
      <c r="Z1296" s="618"/>
      <c r="AA1296" s="618"/>
      <c r="AB1296" s="618"/>
      <c r="AC1296" s="620"/>
      <c r="AD1296" s="620"/>
      <c r="AE1296" s="620"/>
      <c r="AF1296" s="471"/>
      <c r="AG1296" s="471"/>
      <c r="AH1296" s="471"/>
      <c r="AI1296" s="471"/>
      <c r="AJ1296" s="471"/>
      <c r="AK1296" s="425"/>
      <c r="AL1296" s="425"/>
      <c r="AM1296" s="425"/>
      <c r="AN1296" s="425"/>
      <c r="AO1296" s="425"/>
      <c r="AR1296" s="425"/>
      <c r="AU1296" s="425"/>
      <c r="AV1296" s="425"/>
    </row>
    <row r="1297" spans="1:48" s="393" customFormat="1" ht="22.25" customHeight="1">
      <c r="A1297" s="1017"/>
      <c r="B1297" s="1022"/>
      <c r="C1297" s="664"/>
      <c r="D1297" s="664"/>
      <c r="E1297" s="1019"/>
      <c r="F1297" s="947"/>
      <c r="G1297" s="1020"/>
      <c r="H1297" s="1021"/>
      <c r="I1297" s="1019"/>
      <c r="J1297" s="514"/>
      <c r="K1297" s="1029">
        <f>K1296/100</f>
        <v>1.2749999999999999</v>
      </c>
      <c r="L1297" s="1027" t="s">
        <v>315</v>
      </c>
      <c r="M1297" s="725"/>
      <c r="N1297" s="725"/>
      <c r="O1297" s="725"/>
      <c r="P1297" s="725"/>
      <c r="Q1297" s="618"/>
      <c r="R1297" s="618"/>
      <c r="S1297" s="618"/>
      <c r="T1297" s="618"/>
      <c r="U1297" s="618"/>
      <c r="V1297" s="641"/>
      <c r="W1297" s="641"/>
      <c r="X1297" s="641"/>
      <c r="Y1297" s="618"/>
      <c r="Z1297" s="618"/>
      <c r="AA1297" s="618"/>
      <c r="AB1297" s="618"/>
      <c r="AC1297" s="620"/>
      <c r="AD1297" s="620"/>
      <c r="AE1297" s="620"/>
      <c r="AF1297" s="471"/>
      <c r="AG1297" s="471"/>
      <c r="AH1297" s="471"/>
      <c r="AI1297" s="471"/>
      <c r="AJ1297" s="471"/>
      <c r="AK1297" s="425"/>
      <c r="AL1297" s="425"/>
      <c r="AM1297" s="425"/>
      <c r="AN1297" s="425"/>
      <c r="AO1297" s="425"/>
      <c r="AR1297" s="425"/>
      <c r="AU1297" s="425"/>
      <c r="AV1297" s="425"/>
    </row>
    <row r="1298" spans="1:48" s="393" customFormat="1" ht="22.25" customHeight="1">
      <c r="A1298" s="1017"/>
      <c r="B1298" s="1023" t="s">
        <v>809</v>
      </c>
      <c r="C1298" s="664"/>
      <c r="D1298" s="664"/>
      <c r="E1298" s="1019"/>
      <c r="F1298" s="947"/>
      <c r="G1298" s="1020"/>
      <c r="H1298" s="1021"/>
      <c r="I1298" s="1019"/>
      <c r="J1298" s="514"/>
      <c r="K1298" s="514"/>
      <c r="L1298" s="514"/>
      <c r="M1298" s="725"/>
      <c r="N1298" s="725"/>
      <c r="O1298" s="725"/>
      <c r="P1298" s="725"/>
      <c r="Q1298" s="618"/>
      <c r="R1298" s="618"/>
      <c r="S1298" s="618"/>
      <c r="T1298" s="618"/>
      <c r="U1298" s="618"/>
      <c r="V1298" s="641"/>
      <c r="W1298" s="641"/>
      <c r="X1298" s="641"/>
      <c r="Y1298" s="618"/>
      <c r="Z1298" s="618"/>
      <c r="AA1298" s="618"/>
      <c r="AB1298" s="618"/>
      <c r="AC1298" s="620"/>
      <c r="AD1298" s="620"/>
      <c r="AE1298" s="620"/>
      <c r="AF1298" s="471"/>
      <c r="AG1298" s="471"/>
      <c r="AH1298" s="471"/>
      <c r="AI1298" s="471"/>
      <c r="AJ1298" s="471"/>
      <c r="AK1298" s="425"/>
      <c r="AL1298" s="425"/>
      <c r="AM1298" s="425"/>
      <c r="AN1298" s="425"/>
      <c r="AO1298" s="425"/>
      <c r="AR1298" s="425"/>
      <c r="AU1298" s="425"/>
      <c r="AV1298" s="425"/>
    </row>
    <row r="1299" spans="1:48" s="393" customFormat="1" ht="22.25" customHeight="1">
      <c r="A1299" s="1017"/>
      <c r="B1299" s="1022" t="s">
        <v>165</v>
      </c>
      <c r="C1299" s="664"/>
      <c r="D1299" s="664"/>
      <c r="E1299" s="1019">
        <v>2</v>
      </c>
      <c r="F1299" s="947">
        <f>F1290*2+G1290*2</f>
        <v>25</v>
      </c>
      <c r="G1299" s="1037"/>
      <c r="H1299" s="1021">
        <v>13</v>
      </c>
      <c r="I1299" s="1019"/>
      <c r="J1299" s="507">
        <f>IF(I1299=0,1,I1299)*IF(H1299=0,1,H1299)*IF(G1299=0,1,G1299)*IF(F1299=0,1,F1299)*IF(E1299=0,1,E1299)*IF(D1299=0,1,D1299)*IF(C1299=0,1,C1299)</f>
        <v>650</v>
      </c>
      <c r="K1299" s="514"/>
      <c r="L1299" s="514"/>
      <c r="M1299" s="725"/>
      <c r="N1299" s="725"/>
      <c r="O1299" s="725"/>
      <c r="P1299" s="725"/>
      <c r="Q1299" s="618"/>
      <c r="R1299" s="618"/>
      <c r="S1299" s="618"/>
      <c r="T1299" s="618"/>
      <c r="U1299" s="618"/>
      <c r="V1299" s="641"/>
      <c r="W1299" s="641"/>
      <c r="X1299" s="641"/>
      <c r="Y1299" s="618"/>
      <c r="Z1299" s="618"/>
      <c r="AA1299" s="618"/>
      <c r="AB1299" s="618"/>
      <c r="AC1299" s="620"/>
      <c r="AD1299" s="620"/>
      <c r="AE1299" s="620"/>
      <c r="AF1299" s="471"/>
      <c r="AG1299" s="471"/>
      <c r="AH1299" s="471"/>
      <c r="AI1299" s="471"/>
      <c r="AJ1299" s="471"/>
      <c r="AK1299" s="425"/>
      <c r="AL1299" s="425"/>
      <c r="AM1299" s="425"/>
      <c r="AN1299" s="425"/>
      <c r="AO1299" s="425"/>
      <c r="AR1299" s="425"/>
      <c r="AU1299" s="425"/>
      <c r="AV1299" s="425"/>
    </row>
    <row r="1300" spans="1:48" s="393" customFormat="1" ht="22.25" customHeight="1">
      <c r="A1300" s="1017"/>
      <c r="B1300" s="1022" t="s">
        <v>805</v>
      </c>
      <c r="C1300" s="664"/>
      <c r="D1300" s="664"/>
      <c r="E1300" s="1019">
        <v>1</v>
      </c>
      <c r="F1300" s="947">
        <f>F1291*2+G1291*2</f>
        <v>29</v>
      </c>
      <c r="G1300" s="1020"/>
      <c r="H1300" s="1021">
        <f>H1299</f>
        <v>13</v>
      </c>
      <c r="I1300" s="1019"/>
      <c r="J1300" s="507">
        <f>IF(I1300=0,1,I1300)*IF(H1300=0,1,H1300)*IF(G1300=0,1,G1300)*IF(F1300=0,1,F1300)*IF(E1300=0,1,E1300)*IF(D1300=0,1,D1300)*IF(C1300=0,1,C1300)</f>
        <v>377</v>
      </c>
      <c r="K1300" s="514"/>
      <c r="L1300" s="514"/>
      <c r="M1300" s="725"/>
      <c r="N1300" s="725"/>
      <c r="O1300" s="725"/>
      <c r="P1300" s="725"/>
      <c r="Q1300" s="618"/>
      <c r="R1300" s="618"/>
      <c r="S1300" s="618"/>
      <c r="T1300" s="618"/>
      <c r="U1300" s="618"/>
      <c r="V1300" s="641"/>
      <c r="W1300" s="641"/>
      <c r="X1300" s="641"/>
      <c r="Y1300" s="618"/>
      <c r="Z1300" s="618"/>
      <c r="AA1300" s="618"/>
      <c r="AB1300" s="618"/>
      <c r="AC1300" s="620"/>
      <c r="AD1300" s="620"/>
      <c r="AE1300" s="620"/>
      <c r="AF1300" s="471"/>
      <c r="AG1300" s="471"/>
      <c r="AH1300" s="471"/>
      <c r="AI1300" s="471"/>
      <c r="AJ1300" s="471"/>
      <c r="AK1300" s="425"/>
      <c r="AL1300" s="425"/>
      <c r="AM1300" s="425"/>
      <c r="AN1300" s="425"/>
      <c r="AO1300" s="425"/>
      <c r="AR1300" s="425"/>
      <c r="AU1300" s="425"/>
      <c r="AV1300" s="425"/>
    </row>
    <row r="1301" spans="1:48" s="393" customFormat="1" ht="22.25" customHeight="1">
      <c r="A1301" s="1017"/>
      <c r="B1301" s="1028" t="s">
        <v>43</v>
      </c>
      <c r="C1301" s="664"/>
      <c r="D1301" s="664"/>
      <c r="E1301" s="1019"/>
      <c r="F1301" s="947"/>
      <c r="G1301" s="1020"/>
      <c r="H1301" s="1021"/>
      <c r="I1301" s="1019"/>
      <c r="J1301" s="507"/>
      <c r="K1301" s="514"/>
      <c r="L1301" s="514"/>
      <c r="M1301" s="725"/>
      <c r="N1301" s="725"/>
      <c r="O1301" s="725"/>
      <c r="P1301" s="725"/>
      <c r="Q1301" s="618"/>
      <c r="R1301" s="618"/>
      <c r="S1301" s="618"/>
      <c r="T1301" s="618"/>
      <c r="U1301" s="618"/>
      <c r="V1301" s="641"/>
      <c r="W1301" s="641"/>
      <c r="X1301" s="641"/>
      <c r="Y1301" s="618"/>
      <c r="Z1301" s="618"/>
      <c r="AA1301" s="618"/>
      <c r="AB1301" s="618"/>
      <c r="AC1301" s="620"/>
      <c r="AD1301" s="620"/>
      <c r="AE1301" s="620"/>
      <c r="AF1301" s="471"/>
      <c r="AG1301" s="471"/>
      <c r="AH1301" s="471"/>
      <c r="AI1301" s="471"/>
      <c r="AJ1301" s="471"/>
      <c r="AK1301" s="425"/>
      <c r="AL1301" s="425"/>
      <c r="AM1301" s="425"/>
      <c r="AN1301" s="425"/>
      <c r="AO1301" s="425"/>
      <c r="AR1301" s="425"/>
      <c r="AU1301" s="425"/>
      <c r="AV1301" s="425"/>
    </row>
    <row r="1302" spans="1:48" s="393" customFormat="1" ht="22.25" customHeight="1">
      <c r="A1302" s="1017"/>
      <c r="B1302" s="1022" t="str">
        <f>B1272</f>
        <v>D03 (2'-6"x6'-6")</v>
      </c>
      <c r="C1302" s="664"/>
      <c r="D1302" s="664"/>
      <c r="E1302" s="1019">
        <f>E1272</f>
        <v>4</v>
      </c>
      <c r="F1302" s="947">
        <f>F1272</f>
        <v>2.5</v>
      </c>
      <c r="G1302" s="1020"/>
      <c r="H1302" s="1021">
        <f>H1272</f>
        <v>6.5</v>
      </c>
      <c r="I1302" s="507">
        <f>IF(H1302=0,1,H1302)*IF(G1302=0,1,G1302)*IF(F1302=0,1,F1302)*IF(E1302=0,1,E1302)*IF(D1302=0,1,D1302)*IF(C1302=0,1,C1302)</f>
        <v>65</v>
      </c>
      <c r="J1302" s="507"/>
      <c r="K1302" s="514"/>
      <c r="L1302" s="514"/>
      <c r="M1302" s="725"/>
      <c r="N1302" s="725"/>
      <c r="O1302" s="725"/>
      <c r="P1302" s="725"/>
      <c r="Q1302" s="618"/>
      <c r="R1302" s="618"/>
      <c r="S1302" s="618"/>
      <c r="T1302" s="618"/>
      <c r="U1302" s="618"/>
      <c r="V1302" s="641"/>
      <c r="W1302" s="641"/>
      <c r="X1302" s="641"/>
      <c r="Y1302" s="618"/>
      <c r="Z1302" s="618"/>
      <c r="AA1302" s="618"/>
      <c r="AB1302" s="618"/>
      <c r="AC1302" s="620"/>
      <c r="AD1302" s="620"/>
      <c r="AE1302" s="620"/>
      <c r="AF1302" s="471"/>
      <c r="AG1302" s="471"/>
      <c r="AH1302" s="471"/>
      <c r="AI1302" s="471"/>
      <c r="AJ1302" s="471"/>
      <c r="AK1302" s="425"/>
      <c r="AL1302" s="425"/>
      <c r="AM1302" s="425"/>
      <c r="AN1302" s="425"/>
      <c r="AO1302" s="425"/>
      <c r="AR1302" s="425"/>
      <c r="AU1302" s="425"/>
      <c r="AV1302" s="425"/>
    </row>
    <row r="1303" spans="1:48" s="393" customFormat="1" ht="22.25" customHeight="1">
      <c r="A1303" s="1017"/>
      <c r="B1303" s="1022"/>
      <c r="C1303" s="664"/>
      <c r="D1303" s="664"/>
      <c r="E1303" s="1019"/>
      <c r="F1303" s="947"/>
      <c r="G1303" s="1020"/>
      <c r="H1303" s="1021"/>
      <c r="I1303" s="1019"/>
      <c r="J1303" s="514"/>
      <c r="K1303" s="1029">
        <f>SUM(J1298:J1303)-SUM(I1298:I1302)</f>
        <v>962</v>
      </c>
      <c r="L1303" s="1027" t="s">
        <v>45</v>
      </c>
      <c r="M1303" s="725"/>
      <c r="N1303" s="725"/>
      <c r="O1303" s="725"/>
      <c r="P1303" s="725"/>
      <c r="Q1303" s="618"/>
      <c r="R1303" s="618"/>
      <c r="S1303" s="618"/>
      <c r="T1303" s="618"/>
      <c r="U1303" s="618"/>
      <c r="V1303" s="641"/>
      <c r="W1303" s="641"/>
      <c r="X1303" s="641"/>
      <c r="Y1303" s="618"/>
      <c r="Z1303" s="618"/>
      <c r="AA1303" s="618"/>
      <c r="AB1303" s="618"/>
      <c r="AC1303" s="620"/>
      <c r="AD1303" s="620"/>
      <c r="AE1303" s="620"/>
      <c r="AF1303" s="471"/>
      <c r="AG1303" s="471"/>
      <c r="AH1303" s="471"/>
      <c r="AI1303" s="471"/>
      <c r="AJ1303" s="471"/>
      <c r="AK1303" s="425"/>
      <c r="AL1303" s="425"/>
      <c r="AM1303" s="425"/>
      <c r="AN1303" s="425"/>
      <c r="AO1303" s="425"/>
      <c r="AR1303" s="425"/>
      <c r="AU1303" s="425"/>
      <c r="AV1303" s="425"/>
    </row>
    <row r="1304" spans="1:48" s="393" customFormat="1" ht="22.25" customHeight="1">
      <c r="A1304" s="1017"/>
      <c r="B1304" s="1022"/>
      <c r="C1304" s="664"/>
      <c r="D1304" s="664"/>
      <c r="E1304" s="1019"/>
      <c r="F1304" s="947"/>
      <c r="G1304" s="1020"/>
      <c r="H1304" s="1021"/>
      <c r="I1304" s="1019"/>
      <c r="J1304" s="514"/>
      <c r="K1304" s="1029">
        <f>K1303/100</f>
        <v>9.6199999999999992</v>
      </c>
      <c r="L1304" s="1027" t="s">
        <v>315</v>
      </c>
      <c r="M1304" s="725"/>
      <c r="N1304" s="725"/>
      <c r="O1304" s="725"/>
      <c r="P1304" s="725"/>
      <c r="Q1304" s="618"/>
      <c r="R1304" s="618"/>
      <c r="S1304" s="618"/>
      <c r="T1304" s="618"/>
      <c r="U1304" s="618"/>
      <c r="V1304" s="641"/>
      <c r="W1304" s="641"/>
      <c r="X1304" s="641"/>
      <c r="Y1304" s="618"/>
      <c r="Z1304" s="618"/>
      <c r="AA1304" s="618"/>
      <c r="AB1304" s="618"/>
      <c r="AC1304" s="620"/>
      <c r="AD1304" s="620"/>
      <c r="AE1304" s="620"/>
      <c r="AF1304" s="471"/>
      <c r="AG1304" s="471"/>
      <c r="AH1304" s="471"/>
      <c r="AI1304" s="471"/>
      <c r="AJ1304" s="471"/>
      <c r="AK1304" s="425"/>
      <c r="AL1304" s="425"/>
      <c r="AM1304" s="425"/>
      <c r="AN1304" s="425"/>
      <c r="AO1304" s="425"/>
      <c r="AR1304" s="425"/>
      <c r="AU1304" s="425"/>
      <c r="AV1304" s="425"/>
    </row>
    <row r="1305" spans="1:48" s="393" customFormat="1" ht="22.25" customHeight="1">
      <c r="A1305" s="1017"/>
      <c r="B1305" s="1022"/>
      <c r="C1305" s="664"/>
      <c r="D1305" s="664"/>
      <c r="E1305" s="1019"/>
      <c r="F1305" s="947"/>
      <c r="G1305" s="1020"/>
      <c r="H1305" s="1021"/>
      <c r="I1305" s="1019"/>
      <c r="J1305" s="514"/>
      <c r="K1305" s="514"/>
      <c r="L1305" s="514"/>
      <c r="M1305" s="725"/>
      <c r="N1305" s="725"/>
      <c r="O1305" s="725"/>
      <c r="P1305" s="725"/>
      <c r="Q1305" s="618"/>
      <c r="R1305" s="618"/>
      <c r="S1305" s="618"/>
      <c r="T1305" s="618"/>
      <c r="U1305" s="618"/>
      <c r="V1305" s="641"/>
      <c r="W1305" s="641"/>
      <c r="X1305" s="641"/>
      <c r="Y1305" s="618"/>
      <c r="Z1305" s="618"/>
      <c r="AA1305" s="618"/>
      <c r="AB1305" s="618"/>
      <c r="AC1305" s="620"/>
      <c r="AD1305" s="620"/>
      <c r="AE1305" s="620"/>
      <c r="AF1305" s="471"/>
      <c r="AG1305" s="471"/>
      <c r="AH1305" s="471"/>
      <c r="AI1305" s="471"/>
      <c r="AJ1305" s="471"/>
      <c r="AK1305" s="425"/>
      <c r="AL1305" s="425"/>
      <c r="AM1305" s="425"/>
      <c r="AN1305" s="425"/>
      <c r="AO1305" s="425"/>
      <c r="AR1305" s="425"/>
      <c r="AU1305" s="425"/>
      <c r="AV1305" s="425"/>
    </row>
    <row r="1306" spans="1:48" s="393" customFormat="1" ht="22.25" customHeight="1">
      <c r="A1306" s="1017"/>
      <c r="B1306" s="1023" t="s">
        <v>812</v>
      </c>
      <c r="C1306" s="664"/>
      <c r="D1306" s="664"/>
      <c r="E1306" s="1019"/>
      <c r="F1306" s="947"/>
      <c r="G1306" s="1020"/>
      <c r="H1306" s="1021"/>
      <c r="I1306" s="1019"/>
      <c r="J1306" s="514"/>
      <c r="K1306" s="514"/>
      <c r="L1306" s="514"/>
      <c r="M1306" s="725"/>
      <c r="N1306" s="725"/>
      <c r="O1306" s="725"/>
      <c r="P1306" s="725"/>
      <c r="Q1306" s="618"/>
      <c r="R1306" s="618"/>
      <c r="S1306" s="618"/>
      <c r="T1306" s="618"/>
      <c r="U1306" s="618"/>
      <c r="V1306" s="641"/>
      <c r="W1306" s="641"/>
      <c r="X1306" s="641"/>
      <c r="Y1306" s="618"/>
      <c r="Z1306" s="618"/>
      <c r="AA1306" s="618"/>
      <c r="AB1306" s="618"/>
      <c r="AC1306" s="620"/>
      <c r="AD1306" s="620"/>
      <c r="AE1306" s="620"/>
      <c r="AF1306" s="471"/>
      <c r="AG1306" s="471"/>
      <c r="AH1306" s="471"/>
      <c r="AI1306" s="471"/>
      <c r="AJ1306" s="471"/>
      <c r="AK1306" s="425"/>
      <c r="AL1306" s="425"/>
      <c r="AM1306" s="425"/>
      <c r="AN1306" s="425"/>
      <c r="AO1306" s="425"/>
      <c r="AR1306" s="425"/>
      <c r="AU1306" s="425"/>
      <c r="AV1306" s="425"/>
    </row>
    <row r="1307" spans="1:48" s="393" customFormat="1" ht="22.25" customHeight="1">
      <c r="A1307" s="1017"/>
      <c r="B1307" s="1022" t="s">
        <v>811</v>
      </c>
      <c r="C1307" s="664"/>
      <c r="D1307" s="664"/>
      <c r="E1307" s="1019">
        <v>2</v>
      </c>
      <c r="F1307" s="947">
        <v>15</v>
      </c>
      <c r="G1307" s="1037"/>
      <c r="H1307" s="652">
        <v>1</v>
      </c>
      <c r="I1307" s="1019"/>
      <c r="J1307" s="507">
        <f>IF(I1307=0,1,I1307)*IF(H1307=0,1,H1307)*IF(G1307=0,1,G1307)*IF(F1307=0,1,F1307)*IF(E1307=0,1,E1307)*IF(D1307=0,1,D1307)*IF(C1307=0,1,C1307)</f>
        <v>30</v>
      </c>
      <c r="K1307" s="514"/>
      <c r="L1307" s="514"/>
      <c r="M1307" s="725"/>
      <c r="N1307" s="725"/>
      <c r="O1307" s="725"/>
      <c r="P1307" s="725"/>
      <c r="Q1307" s="618"/>
      <c r="R1307" s="618"/>
      <c r="S1307" s="618"/>
      <c r="T1307" s="618"/>
      <c r="U1307" s="618"/>
      <c r="V1307" s="641"/>
      <c r="W1307" s="641"/>
      <c r="X1307" s="641"/>
      <c r="Y1307" s="618"/>
      <c r="Z1307" s="618"/>
      <c r="AA1307" s="618"/>
      <c r="AB1307" s="618"/>
      <c r="AC1307" s="620"/>
      <c r="AD1307" s="620"/>
      <c r="AE1307" s="620"/>
      <c r="AF1307" s="471"/>
      <c r="AG1307" s="471"/>
      <c r="AH1307" s="471"/>
      <c r="AI1307" s="471"/>
      <c r="AJ1307" s="471"/>
      <c r="AK1307" s="425"/>
      <c r="AL1307" s="425"/>
      <c r="AM1307" s="425"/>
      <c r="AN1307" s="425"/>
      <c r="AO1307" s="425"/>
      <c r="AR1307" s="425"/>
      <c r="AU1307" s="425"/>
      <c r="AV1307" s="425"/>
    </row>
    <row r="1308" spans="1:48" s="393" customFormat="1" ht="22.25" customHeight="1">
      <c r="A1308" s="1017"/>
      <c r="B1308" s="1022"/>
      <c r="C1308" s="664"/>
      <c r="D1308" s="664"/>
      <c r="E1308" s="1019"/>
      <c r="F1308" s="947"/>
      <c r="G1308" s="1020"/>
      <c r="H1308" s="1021"/>
      <c r="I1308" s="1019"/>
      <c r="J1308" s="514"/>
      <c r="K1308" s="1029">
        <f>SUM(J1306:J1308)-SUM(I1306:I1307)</f>
        <v>30</v>
      </c>
      <c r="L1308" s="1027" t="s">
        <v>45</v>
      </c>
      <c r="M1308" s="725"/>
      <c r="N1308" s="725"/>
      <c r="O1308" s="725"/>
      <c r="P1308" s="725"/>
      <c r="Q1308" s="618"/>
      <c r="R1308" s="618"/>
      <c r="S1308" s="618"/>
      <c r="T1308" s="618"/>
      <c r="U1308" s="618"/>
      <c r="V1308" s="641"/>
      <c r="W1308" s="641"/>
      <c r="X1308" s="641"/>
      <c r="Y1308" s="618"/>
      <c r="Z1308" s="618"/>
      <c r="AA1308" s="618"/>
      <c r="AB1308" s="618"/>
      <c r="AC1308" s="620"/>
      <c r="AD1308" s="620"/>
      <c r="AE1308" s="620"/>
      <c r="AF1308" s="471"/>
      <c r="AG1308" s="471"/>
      <c r="AH1308" s="471"/>
      <c r="AI1308" s="471"/>
      <c r="AJ1308" s="471"/>
      <c r="AK1308" s="425"/>
      <c r="AL1308" s="425"/>
      <c r="AM1308" s="425"/>
      <c r="AN1308" s="425"/>
      <c r="AO1308" s="425"/>
      <c r="AR1308" s="425"/>
      <c r="AU1308" s="425"/>
      <c r="AV1308" s="425"/>
    </row>
    <row r="1309" spans="1:48" s="393" customFormat="1" ht="22.25" customHeight="1">
      <c r="A1309" s="1017"/>
      <c r="B1309" s="1022"/>
      <c r="C1309" s="664"/>
      <c r="D1309" s="664"/>
      <c r="E1309" s="1019"/>
      <c r="F1309" s="947"/>
      <c r="G1309" s="1020"/>
      <c r="H1309" s="1021"/>
      <c r="I1309" s="1019"/>
      <c r="J1309" s="514"/>
      <c r="K1309" s="1029">
        <f>K1308/100</f>
        <v>0.3</v>
      </c>
      <c r="L1309" s="1027" t="s">
        <v>315</v>
      </c>
      <c r="M1309" s="725"/>
      <c r="N1309" s="725"/>
      <c r="O1309" s="725"/>
      <c r="P1309" s="725"/>
      <c r="Q1309" s="618"/>
      <c r="R1309" s="618"/>
      <c r="S1309" s="618"/>
      <c r="T1309" s="618"/>
      <c r="U1309" s="618"/>
      <c r="V1309" s="641"/>
      <c r="W1309" s="641"/>
      <c r="X1309" s="641"/>
      <c r="Y1309" s="618"/>
      <c r="Z1309" s="618"/>
      <c r="AA1309" s="618"/>
      <c r="AB1309" s="618"/>
      <c r="AC1309" s="620"/>
      <c r="AD1309" s="620"/>
      <c r="AE1309" s="620"/>
      <c r="AF1309" s="471"/>
      <c r="AG1309" s="471"/>
      <c r="AH1309" s="471"/>
      <c r="AI1309" s="471"/>
      <c r="AJ1309" s="471"/>
      <c r="AK1309" s="425"/>
      <c r="AL1309" s="425"/>
      <c r="AM1309" s="425"/>
      <c r="AN1309" s="425"/>
      <c r="AO1309" s="425"/>
      <c r="AR1309" s="425"/>
      <c r="AU1309" s="425"/>
      <c r="AV1309" s="425"/>
    </row>
    <row r="1310" spans="1:48" s="393" customFormat="1" ht="22.25" customHeight="1">
      <c r="A1310" s="1017"/>
      <c r="B1310" s="1022"/>
      <c r="C1310" s="664"/>
      <c r="D1310" s="664"/>
      <c r="E1310" s="1019"/>
      <c r="F1310" s="947"/>
      <c r="G1310" s="1020"/>
      <c r="H1310" s="1021"/>
      <c r="I1310" s="1019"/>
      <c r="J1310" s="514"/>
      <c r="K1310" s="1029"/>
      <c r="L1310" s="1027"/>
      <c r="M1310" s="725"/>
      <c r="N1310" s="725"/>
      <c r="O1310" s="725"/>
      <c r="P1310" s="725"/>
      <c r="Q1310" s="618"/>
      <c r="R1310" s="618"/>
      <c r="S1310" s="618"/>
      <c r="T1310" s="618"/>
      <c r="U1310" s="618"/>
      <c r="V1310" s="641"/>
      <c r="W1310" s="641"/>
      <c r="X1310" s="641"/>
      <c r="Y1310" s="618"/>
      <c r="Z1310" s="618"/>
      <c r="AA1310" s="618"/>
      <c r="AB1310" s="618"/>
      <c r="AC1310" s="620"/>
      <c r="AD1310" s="620"/>
      <c r="AE1310" s="620"/>
      <c r="AF1310" s="471"/>
      <c r="AG1310" s="471"/>
      <c r="AH1310" s="471"/>
      <c r="AI1310" s="471"/>
      <c r="AJ1310" s="471"/>
      <c r="AK1310" s="425"/>
      <c r="AL1310" s="425"/>
      <c r="AM1310" s="425"/>
      <c r="AN1310" s="425"/>
      <c r="AO1310" s="425"/>
      <c r="AR1310" s="425"/>
      <c r="AU1310" s="425"/>
      <c r="AV1310" s="425"/>
    </row>
    <row r="1311" spans="1:48" s="393" customFormat="1" ht="22.25" customHeight="1">
      <c r="A1311" s="1017"/>
      <c r="B1311" s="1023" t="s">
        <v>810</v>
      </c>
      <c r="C1311" s="664"/>
      <c r="D1311" s="664"/>
      <c r="E1311" s="1019"/>
      <c r="F1311" s="947"/>
      <c r="G1311" s="1020"/>
      <c r="H1311" s="1021"/>
      <c r="I1311" s="1019"/>
      <c r="J1311" s="514"/>
      <c r="K1311" s="514"/>
      <c r="L1311" s="514"/>
      <c r="M1311" s="725"/>
      <c r="N1311" s="725"/>
      <c r="O1311" s="725"/>
      <c r="P1311" s="725"/>
      <c r="Q1311" s="618"/>
      <c r="R1311" s="618"/>
      <c r="S1311" s="618"/>
      <c r="T1311" s="618"/>
      <c r="U1311" s="618"/>
      <c r="V1311" s="641"/>
      <c r="W1311" s="641"/>
      <c r="X1311" s="641"/>
      <c r="Y1311" s="618"/>
      <c r="Z1311" s="618"/>
      <c r="AA1311" s="618"/>
      <c r="AB1311" s="618"/>
      <c r="AC1311" s="620"/>
      <c r="AD1311" s="620"/>
      <c r="AE1311" s="620"/>
      <c r="AF1311" s="471"/>
      <c r="AG1311" s="471"/>
      <c r="AH1311" s="471"/>
      <c r="AI1311" s="471"/>
      <c r="AJ1311" s="471"/>
      <c r="AK1311" s="425"/>
      <c r="AL1311" s="425"/>
      <c r="AM1311" s="425"/>
      <c r="AN1311" s="425"/>
      <c r="AO1311" s="425"/>
      <c r="AR1311" s="425"/>
      <c r="AU1311" s="425"/>
      <c r="AV1311" s="425"/>
    </row>
    <row r="1312" spans="1:48" s="393" customFormat="1" ht="22.25" customHeight="1">
      <c r="A1312" s="1017"/>
      <c r="B1312" s="1022" t="s">
        <v>811</v>
      </c>
      <c r="C1312" s="664"/>
      <c r="D1312" s="664"/>
      <c r="E1312" s="1019">
        <v>1</v>
      </c>
      <c r="F1312" s="947">
        <v>2</v>
      </c>
      <c r="G1312" s="1037"/>
      <c r="H1312" s="1021">
        <v>15</v>
      </c>
      <c r="I1312" s="1019"/>
      <c r="J1312" s="507">
        <f>IF(I1312=0,1,I1312)*IF(H1312=0,1,H1312)*IF(G1312=0,1,G1312)*IF(F1312=0,1,F1312)*IF(E1312=0,1,E1312)*IF(D1312=0,1,D1312)*IF(C1312=0,1,C1312)</f>
        <v>30</v>
      </c>
      <c r="K1312" s="514"/>
      <c r="L1312" s="514"/>
      <c r="M1312" s="725"/>
      <c r="N1312" s="725"/>
      <c r="O1312" s="725"/>
      <c r="P1312" s="725"/>
      <c r="Q1312" s="618"/>
      <c r="R1312" s="618"/>
      <c r="S1312" s="618"/>
      <c r="T1312" s="618"/>
      <c r="U1312" s="618"/>
      <c r="V1312" s="641"/>
      <c r="W1312" s="641"/>
      <c r="X1312" s="641"/>
      <c r="Y1312" s="618"/>
      <c r="Z1312" s="618"/>
      <c r="AA1312" s="618"/>
      <c r="AB1312" s="618"/>
      <c r="AC1312" s="620"/>
      <c r="AD1312" s="620"/>
      <c r="AE1312" s="620"/>
      <c r="AF1312" s="471"/>
      <c r="AG1312" s="471"/>
      <c r="AH1312" s="471"/>
      <c r="AI1312" s="471"/>
      <c r="AJ1312" s="471"/>
      <c r="AK1312" s="425"/>
      <c r="AL1312" s="425"/>
      <c r="AM1312" s="425"/>
      <c r="AN1312" s="425"/>
      <c r="AO1312" s="425"/>
      <c r="AR1312" s="425"/>
      <c r="AU1312" s="425"/>
      <c r="AV1312" s="425"/>
    </row>
    <row r="1313" spans="1:48" s="393" customFormat="1" ht="22.25" customHeight="1">
      <c r="A1313" s="1017"/>
      <c r="B1313" s="1022"/>
      <c r="C1313" s="664"/>
      <c r="D1313" s="664"/>
      <c r="E1313" s="1019"/>
      <c r="F1313" s="947"/>
      <c r="G1313" s="1020"/>
      <c r="H1313" s="1021"/>
      <c r="I1313" s="1019"/>
      <c r="J1313" s="514"/>
      <c r="K1313" s="1029">
        <f>SUM(J1311:J1313)</f>
        <v>30</v>
      </c>
      <c r="L1313" s="1027" t="s">
        <v>45</v>
      </c>
      <c r="M1313" s="725"/>
      <c r="N1313" s="725"/>
      <c r="O1313" s="725"/>
      <c r="P1313" s="725"/>
      <c r="Q1313" s="618"/>
      <c r="R1313" s="618"/>
      <c r="S1313" s="618"/>
      <c r="T1313" s="618"/>
      <c r="U1313" s="618"/>
      <c r="V1313" s="641"/>
      <c r="W1313" s="641"/>
      <c r="X1313" s="641"/>
      <c r="Y1313" s="618"/>
      <c r="Z1313" s="618"/>
      <c r="AA1313" s="618"/>
      <c r="AB1313" s="618"/>
      <c r="AC1313" s="620"/>
      <c r="AD1313" s="620"/>
      <c r="AE1313" s="620"/>
      <c r="AF1313" s="471"/>
      <c r="AG1313" s="471"/>
      <c r="AH1313" s="471"/>
      <c r="AI1313" s="471"/>
      <c r="AJ1313" s="471"/>
      <c r="AK1313" s="425"/>
      <c r="AL1313" s="425"/>
      <c r="AM1313" s="425"/>
      <c r="AN1313" s="425"/>
      <c r="AO1313" s="425"/>
      <c r="AR1313" s="425"/>
      <c r="AU1313" s="425"/>
      <c r="AV1313" s="425"/>
    </row>
    <row r="1314" spans="1:48" s="393" customFormat="1" ht="22.25" customHeight="1">
      <c r="A1314" s="1017"/>
      <c r="B1314" s="1022"/>
      <c r="C1314" s="664"/>
      <c r="D1314" s="664"/>
      <c r="E1314" s="1019"/>
      <c r="F1314" s="947"/>
      <c r="G1314" s="1020"/>
      <c r="H1314" s="1021"/>
      <c r="I1314" s="1019"/>
      <c r="J1314" s="514"/>
      <c r="K1314" s="1029">
        <f>K1313/100</f>
        <v>0.3</v>
      </c>
      <c r="L1314" s="1027" t="s">
        <v>315</v>
      </c>
      <c r="M1314" s="725"/>
      <c r="N1314" s="725"/>
      <c r="O1314" s="725"/>
      <c r="P1314" s="725"/>
      <c r="Q1314" s="618"/>
      <c r="R1314" s="618"/>
      <c r="S1314" s="618"/>
      <c r="T1314" s="618"/>
      <c r="U1314" s="618"/>
      <c r="V1314" s="641"/>
      <c r="W1314" s="641"/>
      <c r="X1314" s="641"/>
      <c r="Y1314" s="618"/>
      <c r="Z1314" s="618"/>
      <c r="AA1314" s="618"/>
      <c r="AB1314" s="618"/>
      <c r="AC1314" s="620"/>
      <c r="AD1314" s="620"/>
      <c r="AE1314" s="620"/>
      <c r="AF1314" s="471"/>
      <c r="AG1314" s="471"/>
      <c r="AH1314" s="471"/>
      <c r="AI1314" s="471"/>
      <c r="AJ1314" s="471"/>
      <c r="AK1314" s="425"/>
      <c r="AL1314" s="425"/>
      <c r="AM1314" s="425"/>
      <c r="AN1314" s="425"/>
      <c r="AO1314" s="425"/>
      <c r="AR1314" s="425"/>
      <c r="AU1314" s="425"/>
      <c r="AV1314" s="425"/>
    </row>
    <row r="1315" spans="1:48" s="393" customFormat="1" ht="22.25" customHeight="1">
      <c r="A1315" s="1017"/>
      <c r="B1315" s="1023" t="s">
        <v>813</v>
      </c>
      <c r="C1315" s="664"/>
      <c r="D1315" s="664"/>
      <c r="E1315" s="1019"/>
      <c r="F1315" s="947"/>
      <c r="G1315" s="1020"/>
      <c r="H1315" s="1021"/>
      <c r="I1315" s="1019"/>
      <c r="J1315" s="514"/>
      <c r="K1315" s="501"/>
      <c r="L1315" s="514"/>
      <c r="M1315" s="725"/>
      <c r="N1315" s="725"/>
      <c r="O1315" s="725"/>
      <c r="P1315" s="725"/>
      <c r="Q1315" s="618"/>
      <c r="R1315" s="618"/>
      <c r="S1315" s="618"/>
      <c r="T1315" s="618"/>
      <c r="U1315" s="618"/>
      <c r="V1315" s="641"/>
      <c r="W1315" s="641"/>
      <c r="X1315" s="641"/>
      <c r="Y1315" s="618"/>
      <c r="Z1315" s="618"/>
      <c r="AA1315" s="618"/>
      <c r="AB1315" s="618"/>
      <c r="AC1315" s="620"/>
      <c r="AD1315" s="620"/>
      <c r="AE1315" s="620"/>
      <c r="AF1315" s="471"/>
      <c r="AG1315" s="471"/>
      <c r="AH1315" s="471"/>
      <c r="AI1315" s="471"/>
      <c r="AJ1315" s="471"/>
      <c r="AK1315" s="425"/>
      <c r="AL1315" s="425"/>
      <c r="AM1315" s="425"/>
      <c r="AN1315" s="425"/>
      <c r="AO1315" s="425"/>
      <c r="AR1315" s="425"/>
      <c r="AU1315" s="425"/>
      <c r="AV1315" s="425"/>
    </row>
    <row r="1316" spans="1:48" s="393" customFormat="1" ht="22.25" customHeight="1">
      <c r="A1316" s="1017"/>
      <c r="B1316" s="1022" t="s">
        <v>350</v>
      </c>
      <c r="C1316" s="664"/>
      <c r="D1316" s="664">
        <v>3</v>
      </c>
      <c r="E1316" s="1019">
        <v>6</v>
      </c>
      <c r="F1316" s="947">
        <v>1</v>
      </c>
      <c r="G1316" s="1037">
        <f>1+0.5</f>
        <v>1.5</v>
      </c>
      <c r="H1316" s="1021"/>
      <c r="I1316" s="1019"/>
      <c r="J1316" s="507">
        <f>IF(I1316=0,1,I1316)*IF(H1316=0,1,H1316)*IF(G1316=0,1,G1316)*IF(F1316=0,1,F1316)*IF(E1316=0,1,E1316)*IF(D1316=0,1,D1316)*IF(C1316=0,1,C1316)</f>
        <v>27</v>
      </c>
      <c r="K1316" s="303"/>
      <c r="L1316" s="514"/>
      <c r="M1316" s="725"/>
      <c r="N1316" s="725"/>
      <c r="O1316" s="725"/>
      <c r="P1316" s="725"/>
      <c r="Q1316" s="618"/>
      <c r="R1316" s="618"/>
      <c r="S1316" s="618"/>
      <c r="T1316" s="618"/>
      <c r="U1316" s="618"/>
      <c r="V1316" s="641"/>
      <c r="W1316" s="641"/>
      <c r="X1316" s="641"/>
      <c r="Y1316" s="618"/>
      <c r="Z1316" s="618"/>
      <c r="AA1316" s="618"/>
      <c r="AB1316" s="618"/>
      <c r="AC1316" s="620"/>
      <c r="AD1316" s="620"/>
      <c r="AE1316" s="620"/>
      <c r="AF1316" s="471"/>
      <c r="AG1316" s="471"/>
      <c r="AH1316" s="471"/>
      <c r="AI1316" s="471"/>
      <c r="AJ1316" s="471"/>
      <c r="AK1316" s="425"/>
      <c r="AL1316" s="425"/>
      <c r="AM1316" s="425"/>
      <c r="AN1316" s="425"/>
      <c r="AO1316" s="425"/>
      <c r="AR1316" s="425"/>
      <c r="AU1316" s="425"/>
      <c r="AV1316" s="425"/>
    </row>
    <row r="1317" spans="1:48" s="393" customFormat="1" ht="22.25" customHeight="1">
      <c r="A1317" s="1017"/>
      <c r="B1317" s="1022"/>
      <c r="C1317" s="664"/>
      <c r="D1317" s="664"/>
      <c r="E1317" s="1019"/>
      <c r="F1317" s="947"/>
      <c r="G1317" s="1020"/>
      <c r="H1317" s="1021"/>
      <c r="I1317" s="1019"/>
      <c r="J1317" s="514"/>
      <c r="K1317" s="513">
        <f>E1316*D1316</f>
        <v>18</v>
      </c>
      <c r="L1317" s="1027" t="s">
        <v>814</v>
      </c>
      <c r="M1317" s="725"/>
      <c r="N1317" s="725"/>
      <c r="O1317" s="725"/>
      <c r="P1317" s="725"/>
      <c r="Q1317" s="618"/>
      <c r="R1317" s="618"/>
      <c r="S1317" s="618"/>
      <c r="T1317" s="618"/>
      <c r="U1317" s="618"/>
      <c r="V1317" s="641"/>
      <c r="W1317" s="641"/>
      <c r="X1317" s="641"/>
      <c r="Y1317" s="618"/>
      <c r="Z1317" s="618"/>
      <c r="AA1317" s="618"/>
      <c r="AB1317" s="618"/>
      <c r="AC1317" s="620"/>
      <c r="AD1317" s="620"/>
      <c r="AE1317" s="620"/>
      <c r="AF1317" s="471"/>
      <c r="AG1317" s="471"/>
      <c r="AH1317" s="471"/>
      <c r="AI1317" s="471"/>
      <c r="AJ1317" s="471"/>
      <c r="AK1317" s="425"/>
      <c r="AL1317" s="425"/>
      <c r="AM1317" s="425"/>
      <c r="AN1317" s="425"/>
      <c r="AO1317" s="425"/>
      <c r="AR1317" s="425"/>
      <c r="AU1317" s="425"/>
      <c r="AV1317" s="425"/>
    </row>
    <row r="1318" spans="1:48" s="393" customFormat="1" ht="22.25" customHeight="1">
      <c r="A1318" s="1017"/>
      <c r="B1318" s="1022" t="s">
        <v>778</v>
      </c>
      <c r="C1318" s="664"/>
      <c r="D1318" s="664">
        <v>3</v>
      </c>
      <c r="E1318" s="1019">
        <v>4</v>
      </c>
      <c r="F1318" s="947">
        <v>1</v>
      </c>
      <c r="G1318" s="1037">
        <f>1+0.5</f>
        <v>1.5</v>
      </c>
      <c r="H1318" s="1021"/>
      <c r="I1318" s="1019"/>
      <c r="J1318" s="507">
        <f>IF(I1318=0,1,I1318)*IF(H1318=0,1,H1318)*IF(G1318=0,1,G1318)*IF(F1318=0,1,F1318)*IF(E1318=0,1,E1318)*IF(D1318=0,1,D1318)*IF(C1318=0,1,C1318)</f>
        <v>18</v>
      </c>
      <c r="K1318" s="303"/>
      <c r="L1318" s="514"/>
      <c r="M1318" s="725"/>
      <c r="N1318" s="725"/>
      <c r="O1318" s="725"/>
      <c r="P1318" s="725"/>
      <c r="Q1318" s="618"/>
      <c r="R1318" s="618"/>
      <c r="S1318" s="618"/>
      <c r="T1318" s="618"/>
      <c r="U1318" s="618"/>
      <c r="V1318" s="641"/>
      <c r="W1318" s="641"/>
      <c r="X1318" s="641"/>
      <c r="Y1318" s="618"/>
      <c r="Z1318" s="618"/>
      <c r="AA1318" s="618"/>
      <c r="AB1318" s="618"/>
      <c r="AC1318" s="620"/>
      <c r="AD1318" s="620"/>
      <c r="AE1318" s="620"/>
      <c r="AF1318" s="471"/>
      <c r="AG1318" s="471"/>
      <c r="AH1318" s="471"/>
      <c r="AI1318" s="471"/>
      <c r="AJ1318" s="471"/>
      <c r="AK1318" s="425"/>
      <c r="AL1318" s="425"/>
      <c r="AM1318" s="425"/>
      <c r="AN1318" s="425"/>
      <c r="AO1318" s="425"/>
      <c r="AR1318" s="425"/>
      <c r="AU1318" s="425"/>
      <c r="AV1318" s="425"/>
    </row>
    <row r="1319" spans="1:48" s="393" customFormat="1" ht="22.25" customHeight="1">
      <c r="A1319" s="1017"/>
      <c r="B1319" s="1022"/>
      <c r="C1319" s="664"/>
      <c r="D1319" s="664"/>
      <c r="E1319" s="1019"/>
      <c r="F1319" s="947"/>
      <c r="G1319" s="1020"/>
      <c r="H1319" s="1021"/>
      <c r="I1319" s="1019"/>
      <c r="J1319" s="514"/>
      <c r="K1319" s="1029">
        <f>E1318*D1318</f>
        <v>12</v>
      </c>
      <c r="L1319" s="1027" t="s">
        <v>814</v>
      </c>
      <c r="M1319" s="725"/>
      <c r="N1319" s="725"/>
      <c r="O1319" s="725"/>
      <c r="P1319" s="725"/>
      <c r="Q1319" s="618"/>
      <c r="R1319" s="618"/>
      <c r="S1319" s="618"/>
      <c r="T1319" s="618"/>
      <c r="U1319" s="618"/>
      <c r="V1319" s="641"/>
      <c r="W1319" s="641"/>
      <c r="X1319" s="641"/>
      <c r="Y1319" s="618"/>
      <c r="Z1319" s="618"/>
      <c r="AA1319" s="618"/>
      <c r="AB1319" s="618"/>
      <c r="AC1319" s="620"/>
      <c r="AD1319" s="620"/>
      <c r="AE1319" s="620"/>
      <c r="AF1319" s="471"/>
      <c r="AG1319" s="471"/>
      <c r="AH1319" s="471"/>
      <c r="AI1319" s="471"/>
      <c r="AJ1319" s="471"/>
      <c r="AK1319" s="425"/>
      <c r="AL1319" s="425"/>
      <c r="AM1319" s="425"/>
      <c r="AN1319" s="425"/>
      <c r="AO1319" s="425"/>
      <c r="AR1319" s="425"/>
      <c r="AU1319" s="425"/>
      <c r="AV1319" s="425"/>
    </row>
    <row r="1320" spans="1:48" s="467" customFormat="1" ht="22.25" customHeight="1">
      <c r="A1320" s="1017"/>
      <c r="B1320" s="946"/>
      <c r="C1320" s="1018"/>
      <c r="D1320" s="1018"/>
      <c r="E1320" s="1030"/>
      <c r="F1320" s="1051"/>
      <c r="G1320" s="1052"/>
      <c r="H1320" s="1044"/>
      <c r="I1320" s="1030"/>
      <c r="J1320" s="1029"/>
      <c r="K1320" s="1029">
        <f>SUM(J1315:J1319)</f>
        <v>45</v>
      </c>
      <c r="L1320" s="1029" t="s">
        <v>45</v>
      </c>
      <c r="M1320" s="723"/>
      <c r="N1320" s="723"/>
      <c r="O1320" s="723"/>
      <c r="P1320" s="723"/>
      <c r="Q1320" s="1053"/>
      <c r="R1320" s="1053"/>
      <c r="S1320" s="1053"/>
      <c r="T1320" s="1053"/>
      <c r="U1320" s="1053"/>
      <c r="V1320" s="1054"/>
      <c r="W1320" s="1054"/>
      <c r="X1320" s="1054"/>
      <c r="Y1320" s="1053"/>
      <c r="Z1320" s="1053"/>
      <c r="AA1320" s="1053"/>
      <c r="AB1320" s="1053"/>
      <c r="AC1320" s="1055"/>
      <c r="AD1320" s="1055"/>
      <c r="AE1320" s="1055"/>
      <c r="AF1320" s="472"/>
      <c r="AG1320" s="472"/>
      <c r="AH1320" s="472"/>
      <c r="AI1320" s="472"/>
      <c r="AJ1320" s="472"/>
      <c r="AK1320" s="1056"/>
      <c r="AL1320" s="1056"/>
      <c r="AM1320" s="1056"/>
      <c r="AN1320" s="1056"/>
      <c r="AO1320" s="1056"/>
      <c r="AR1320" s="1056"/>
      <c r="AU1320" s="1056"/>
      <c r="AV1320" s="1056"/>
    </row>
    <row r="1321" spans="1:48" s="467" customFormat="1" ht="22.25" customHeight="1">
      <c r="A1321" s="1017"/>
      <c r="B1321" s="946"/>
      <c r="C1321" s="1018"/>
      <c r="D1321" s="1018"/>
      <c r="E1321" s="1030"/>
      <c r="F1321" s="1051"/>
      <c r="G1321" s="1052"/>
      <c r="H1321" s="1044"/>
      <c r="I1321" s="1030"/>
      <c r="J1321" s="1029"/>
      <c r="K1321" s="1029">
        <f>K1320/100</f>
        <v>0.45</v>
      </c>
      <c r="L1321" s="1027" t="s">
        <v>315</v>
      </c>
      <c r="M1321" s="723"/>
      <c r="N1321" s="723"/>
      <c r="O1321" s="723"/>
      <c r="P1321" s="723"/>
      <c r="Q1321" s="1053"/>
      <c r="R1321" s="1053"/>
      <c r="S1321" s="1053"/>
      <c r="T1321" s="1053"/>
      <c r="U1321" s="1053"/>
      <c r="V1321" s="1054"/>
      <c r="W1321" s="1054"/>
      <c r="X1321" s="1054"/>
      <c r="Y1321" s="1053"/>
      <c r="Z1321" s="1053"/>
      <c r="AA1321" s="1053"/>
      <c r="AB1321" s="1053"/>
      <c r="AC1321" s="1055"/>
      <c r="AD1321" s="1055"/>
      <c r="AE1321" s="1055"/>
      <c r="AF1321" s="472"/>
      <c r="AG1321" s="472"/>
      <c r="AH1321" s="472"/>
      <c r="AI1321" s="472"/>
      <c r="AJ1321" s="472"/>
      <c r="AK1321" s="1056"/>
      <c r="AL1321" s="1056"/>
      <c r="AM1321" s="1056"/>
      <c r="AN1321" s="1056"/>
      <c r="AO1321" s="1056"/>
      <c r="AR1321" s="1056"/>
      <c r="AU1321" s="1056"/>
      <c r="AV1321" s="1056"/>
    </row>
    <row r="1322" spans="1:48" s="393" customFormat="1" ht="22.25" customHeight="1">
      <c r="A1322" s="1017"/>
      <c r="B1322" s="946"/>
      <c r="C1322" s="664"/>
      <c r="D1322" s="664"/>
      <c r="E1322" s="1019"/>
      <c r="F1322" s="947"/>
      <c r="G1322" s="1020"/>
      <c r="H1322" s="1021"/>
      <c r="I1322" s="1019"/>
      <c r="J1322" s="514"/>
      <c r="K1322" s="514"/>
      <c r="L1322" s="514"/>
      <c r="M1322" s="725"/>
      <c r="N1322" s="725"/>
      <c r="O1322" s="725"/>
      <c r="P1322" s="725"/>
      <c r="Q1322" s="618"/>
      <c r="R1322" s="618"/>
      <c r="S1322" s="618"/>
      <c r="T1322" s="618"/>
      <c r="U1322" s="618"/>
      <c r="V1322" s="641"/>
      <c r="W1322" s="641"/>
      <c r="X1322" s="641"/>
      <c r="Y1322" s="618"/>
      <c r="Z1322" s="618"/>
      <c r="AA1322" s="618"/>
      <c r="AB1322" s="618"/>
      <c r="AC1322" s="620"/>
      <c r="AD1322" s="620"/>
      <c r="AE1322" s="620"/>
      <c r="AF1322" s="471"/>
      <c r="AG1322" s="471"/>
      <c r="AH1322" s="471"/>
      <c r="AI1322" s="471"/>
      <c r="AJ1322" s="471"/>
      <c r="AK1322" s="425"/>
      <c r="AL1322" s="425"/>
      <c r="AM1322" s="425"/>
      <c r="AN1322" s="425"/>
      <c r="AO1322" s="425"/>
      <c r="AR1322" s="425"/>
      <c r="AU1322" s="425"/>
      <c r="AV1322" s="425"/>
    </row>
    <row r="1323" spans="1:48" s="393" customFormat="1" ht="22.25" customHeight="1">
      <c r="A1323" s="1017"/>
      <c r="B1323" s="1023" t="s">
        <v>815</v>
      </c>
      <c r="C1323" s="664"/>
      <c r="D1323" s="664"/>
      <c r="E1323" s="1019"/>
      <c r="F1323" s="947"/>
      <c r="G1323" s="1020"/>
      <c r="H1323" s="1021"/>
      <c r="I1323" s="1019"/>
      <c r="J1323" s="514"/>
      <c r="K1323" s="514"/>
      <c r="L1323" s="514"/>
      <c r="M1323" s="725"/>
      <c r="N1323" s="725"/>
      <c r="O1323" s="725"/>
      <c r="P1323" s="725"/>
      <c r="Q1323" s="618"/>
      <c r="R1323" s="618"/>
      <c r="S1323" s="618"/>
      <c r="T1323" s="618"/>
      <c r="U1323" s="618"/>
      <c r="V1323" s="641"/>
      <c r="W1323" s="641"/>
      <c r="X1323" s="641"/>
      <c r="Y1323" s="618"/>
      <c r="Z1323" s="618"/>
      <c r="AA1323" s="618"/>
      <c r="AB1323" s="618"/>
      <c r="AC1323" s="620"/>
      <c r="AD1323" s="620"/>
      <c r="AE1323" s="620"/>
      <c r="AF1323" s="471"/>
      <c r="AG1323" s="471"/>
      <c r="AH1323" s="471"/>
      <c r="AI1323" s="471"/>
      <c r="AJ1323" s="471"/>
      <c r="AK1323" s="425"/>
      <c r="AL1323" s="425"/>
      <c r="AM1323" s="425"/>
      <c r="AN1323" s="425"/>
      <c r="AO1323" s="425"/>
      <c r="AR1323" s="425"/>
      <c r="AU1323" s="425"/>
      <c r="AV1323" s="425"/>
    </row>
    <row r="1324" spans="1:48" s="393" customFormat="1" ht="22.25" customHeight="1">
      <c r="A1324" s="1017"/>
      <c r="B1324" s="1022" t="str">
        <f>B1285</f>
        <v>F01 (2'-3"x2'-0")</v>
      </c>
      <c r="C1324" s="664"/>
      <c r="D1324" s="664"/>
      <c r="E1324" s="1019">
        <f>E1285</f>
        <v>3</v>
      </c>
      <c r="F1324" s="947">
        <f>(F1285+H1285)*2</f>
        <v>8.5</v>
      </c>
      <c r="G1324" s="1037"/>
      <c r="H1324" s="1021"/>
      <c r="I1324" s="1019"/>
      <c r="J1324" s="507">
        <f t="shared" ref="J1324:J1330" si="225">IF(I1324=0,1,I1324)*IF(H1324=0,1,H1324)*IF(G1324=0,1,G1324)*IF(F1324=0,1,F1324)*IF(E1324=0,1,E1324)*IF(D1324=0,1,D1324)*IF(C1324=0,1,C1324)</f>
        <v>25.5</v>
      </c>
      <c r="K1324" s="514"/>
      <c r="L1324" s="514"/>
      <c r="M1324" s="725"/>
      <c r="N1324" s="725"/>
      <c r="O1324" s="725"/>
      <c r="P1324" s="725"/>
      <c r="Q1324" s="618"/>
      <c r="R1324" s="618"/>
      <c r="S1324" s="618"/>
      <c r="T1324" s="618"/>
      <c r="U1324" s="618"/>
      <c r="V1324" s="641"/>
      <c r="W1324" s="641"/>
      <c r="X1324" s="641"/>
      <c r="Y1324" s="618"/>
      <c r="Z1324" s="618"/>
      <c r="AA1324" s="618"/>
      <c r="AB1324" s="618"/>
      <c r="AC1324" s="620"/>
      <c r="AD1324" s="620"/>
      <c r="AE1324" s="620"/>
      <c r="AF1324" s="471"/>
      <c r="AG1324" s="471"/>
      <c r="AH1324" s="471"/>
      <c r="AI1324" s="471"/>
      <c r="AJ1324" s="471"/>
      <c r="AK1324" s="425"/>
      <c r="AL1324" s="425"/>
      <c r="AM1324" s="425"/>
      <c r="AN1324" s="425"/>
      <c r="AO1324" s="425"/>
      <c r="AR1324" s="425"/>
      <c r="AU1324" s="425"/>
      <c r="AV1324" s="425"/>
    </row>
    <row r="1325" spans="1:48" s="393" customFormat="1" ht="22.25" customHeight="1">
      <c r="A1325" s="1017"/>
      <c r="B1325" s="1022" t="str">
        <f>B1272</f>
        <v>D03 (2'-6"x6'-6")</v>
      </c>
      <c r="C1325" s="664"/>
      <c r="D1325" s="664"/>
      <c r="E1325" s="1019">
        <f>E1272</f>
        <v>4</v>
      </c>
      <c r="F1325" s="947">
        <f>(F1272+H1272)*2</f>
        <v>18</v>
      </c>
      <c r="G1325" s="1020"/>
      <c r="H1325" s="1021"/>
      <c r="I1325" s="1019"/>
      <c r="J1325" s="507">
        <f t="shared" si="225"/>
        <v>72</v>
      </c>
      <c r="K1325" s="514"/>
      <c r="L1325" s="514"/>
      <c r="M1325" s="725"/>
      <c r="N1325" s="725"/>
      <c r="O1325" s="725"/>
      <c r="P1325" s="725"/>
      <c r="Q1325" s="618"/>
      <c r="R1325" s="618"/>
      <c r="S1325" s="618"/>
      <c r="T1325" s="618"/>
      <c r="U1325" s="618"/>
      <c r="V1325" s="641"/>
      <c r="W1325" s="641"/>
      <c r="X1325" s="641"/>
      <c r="Y1325" s="618"/>
      <c r="Z1325" s="618"/>
      <c r="AA1325" s="618"/>
      <c r="AB1325" s="618"/>
      <c r="AC1325" s="620"/>
      <c r="AD1325" s="620"/>
      <c r="AE1325" s="620"/>
      <c r="AF1325" s="471"/>
      <c r="AG1325" s="471"/>
      <c r="AH1325" s="471"/>
      <c r="AI1325" s="471"/>
      <c r="AJ1325" s="471"/>
      <c r="AK1325" s="425"/>
      <c r="AL1325" s="425"/>
      <c r="AM1325" s="425"/>
      <c r="AN1325" s="425"/>
      <c r="AO1325" s="425"/>
      <c r="AR1325" s="425"/>
      <c r="AU1325" s="425"/>
      <c r="AV1325" s="425"/>
    </row>
    <row r="1326" spans="1:48" s="393" customFormat="1" ht="22.25" customHeight="1">
      <c r="A1326" s="1017"/>
      <c r="B1326" s="1022"/>
      <c r="C1326" s="664"/>
      <c r="D1326" s="664"/>
      <c r="E1326" s="1019">
        <f>E1325</f>
        <v>4</v>
      </c>
      <c r="F1326" s="947">
        <f>F1272</f>
        <v>2.5</v>
      </c>
      <c r="G1326" s="1020"/>
      <c r="H1326" s="1021"/>
      <c r="I1326" s="1019"/>
      <c r="J1326" s="507">
        <f t="shared" si="225"/>
        <v>10</v>
      </c>
      <c r="K1326" s="514"/>
      <c r="L1326" s="514"/>
      <c r="M1326" s="725"/>
      <c r="N1326" s="725"/>
      <c r="O1326" s="725"/>
      <c r="P1326" s="725"/>
      <c r="Q1326" s="618"/>
      <c r="R1326" s="618"/>
      <c r="S1326" s="618"/>
      <c r="T1326" s="618"/>
      <c r="U1326" s="618"/>
      <c r="V1326" s="641"/>
      <c r="W1326" s="641"/>
      <c r="X1326" s="641"/>
      <c r="Y1326" s="618"/>
      <c r="Z1326" s="618"/>
      <c r="AA1326" s="618"/>
      <c r="AB1326" s="618"/>
      <c r="AC1326" s="620"/>
      <c r="AD1326" s="620"/>
      <c r="AE1326" s="620"/>
      <c r="AF1326" s="471"/>
      <c r="AG1326" s="471"/>
      <c r="AH1326" s="471"/>
      <c r="AI1326" s="471"/>
      <c r="AJ1326" s="471"/>
      <c r="AK1326" s="425"/>
      <c r="AL1326" s="425"/>
      <c r="AM1326" s="425"/>
      <c r="AN1326" s="425"/>
      <c r="AO1326" s="425"/>
      <c r="AR1326" s="425"/>
      <c r="AU1326" s="425"/>
      <c r="AV1326" s="425"/>
    </row>
    <row r="1327" spans="1:48" s="393" customFormat="1" ht="22.25" customHeight="1">
      <c r="A1327" s="1017"/>
      <c r="B1327" s="1022" t="s">
        <v>355</v>
      </c>
      <c r="C1327" s="664"/>
      <c r="D1327" s="664"/>
      <c r="E1327" s="1019">
        <v>2</v>
      </c>
      <c r="F1327" s="947">
        <v>13</v>
      </c>
      <c r="G1327" s="1020"/>
      <c r="H1327" s="1021"/>
      <c r="I1327" s="1019"/>
      <c r="J1327" s="507">
        <f t="shared" si="225"/>
        <v>26</v>
      </c>
      <c r="K1327" s="514"/>
      <c r="L1327" s="514"/>
      <c r="M1327" s="725"/>
      <c r="N1327" s="725"/>
      <c r="O1327" s="725"/>
      <c r="P1327" s="725"/>
      <c r="Q1327" s="618"/>
      <c r="R1327" s="618"/>
      <c r="S1327" s="618"/>
      <c r="T1327" s="618"/>
      <c r="U1327" s="618"/>
      <c r="V1327" s="641"/>
      <c r="W1327" s="641"/>
      <c r="X1327" s="641"/>
      <c r="Y1327" s="618"/>
      <c r="Z1327" s="618"/>
      <c r="AA1327" s="618"/>
      <c r="AB1327" s="618"/>
      <c r="AC1327" s="620"/>
      <c r="AD1327" s="620"/>
      <c r="AE1327" s="620"/>
      <c r="AF1327" s="471"/>
      <c r="AG1327" s="471"/>
      <c r="AH1327" s="471"/>
      <c r="AI1327" s="471"/>
      <c r="AJ1327" s="471"/>
      <c r="AK1327" s="425"/>
      <c r="AL1327" s="425"/>
      <c r="AM1327" s="425"/>
      <c r="AN1327" s="425"/>
      <c r="AO1327" s="425"/>
      <c r="AR1327" s="425"/>
      <c r="AU1327" s="425"/>
      <c r="AV1327" s="425"/>
    </row>
    <row r="1328" spans="1:48" s="393" customFormat="1" ht="22.25" customHeight="1">
      <c r="A1328" s="1017"/>
      <c r="B1328" s="1022" t="s">
        <v>167</v>
      </c>
      <c r="C1328" s="664"/>
      <c r="D1328" s="664"/>
      <c r="E1328" s="1019">
        <v>1</v>
      </c>
      <c r="F1328" s="947">
        <v>15</v>
      </c>
      <c r="G1328" s="1020"/>
      <c r="H1328" s="1021"/>
      <c r="I1328" s="1019"/>
      <c r="J1328" s="507">
        <f t="shared" si="225"/>
        <v>15</v>
      </c>
      <c r="K1328" s="514"/>
      <c r="L1328" s="514"/>
      <c r="M1328" s="725"/>
      <c r="N1328" s="725"/>
      <c r="O1328" s="725"/>
      <c r="P1328" s="725"/>
      <c r="Q1328" s="618"/>
      <c r="R1328" s="618"/>
      <c r="S1328" s="618"/>
      <c r="T1328" s="618"/>
      <c r="U1328" s="618"/>
      <c r="V1328" s="641"/>
      <c r="W1328" s="641"/>
      <c r="X1328" s="641"/>
      <c r="Y1328" s="618"/>
      <c r="Z1328" s="618"/>
      <c r="AA1328" s="618"/>
      <c r="AB1328" s="618"/>
      <c r="AC1328" s="620"/>
      <c r="AD1328" s="620"/>
      <c r="AE1328" s="620"/>
      <c r="AF1328" s="471"/>
      <c r="AG1328" s="471"/>
      <c r="AH1328" s="471"/>
      <c r="AI1328" s="471"/>
      <c r="AJ1328" s="471"/>
      <c r="AK1328" s="425"/>
      <c r="AL1328" s="425"/>
      <c r="AM1328" s="425"/>
      <c r="AN1328" s="425"/>
      <c r="AO1328" s="425"/>
      <c r="AR1328" s="425"/>
      <c r="AU1328" s="425"/>
      <c r="AV1328" s="425"/>
    </row>
    <row r="1329" spans="1:48" s="393" customFormat="1" ht="22.25" customHeight="1">
      <c r="A1329" s="1017"/>
      <c r="B1329" s="1022" t="s">
        <v>165</v>
      </c>
      <c r="C1329" s="664"/>
      <c r="D1329" s="664">
        <v>2</v>
      </c>
      <c r="E1329" s="1019">
        <v>1</v>
      </c>
      <c r="F1329" s="947">
        <f>8*2+4.5*2</f>
        <v>25</v>
      </c>
      <c r="G1329" s="1020"/>
      <c r="H1329" s="1021"/>
      <c r="I1329" s="1019"/>
      <c r="J1329" s="507">
        <f t="shared" si="225"/>
        <v>50</v>
      </c>
      <c r="K1329" s="514"/>
      <c r="L1329" s="514"/>
      <c r="M1329" s="725"/>
      <c r="N1329" s="725"/>
      <c r="O1329" s="725"/>
      <c r="P1329" s="725"/>
      <c r="Q1329" s="618"/>
      <c r="R1329" s="618"/>
      <c r="S1329" s="618"/>
      <c r="T1329" s="618"/>
      <c r="U1329" s="618"/>
      <c r="V1329" s="641"/>
      <c r="W1329" s="641"/>
      <c r="X1329" s="641"/>
      <c r="Y1329" s="618"/>
      <c r="Z1329" s="618"/>
      <c r="AA1329" s="618"/>
      <c r="AB1329" s="618"/>
      <c r="AC1329" s="620"/>
      <c r="AD1329" s="620"/>
      <c r="AE1329" s="620"/>
      <c r="AF1329" s="471"/>
      <c r="AG1329" s="471"/>
      <c r="AH1329" s="471"/>
      <c r="AI1329" s="471"/>
      <c r="AJ1329" s="471"/>
      <c r="AK1329" s="425"/>
      <c r="AL1329" s="425"/>
      <c r="AM1329" s="425"/>
      <c r="AN1329" s="425"/>
      <c r="AO1329" s="425"/>
      <c r="AR1329" s="425"/>
      <c r="AU1329" s="425"/>
      <c r="AV1329" s="425"/>
    </row>
    <row r="1330" spans="1:48" s="393" customFormat="1" ht="22.25" customHeight="1">
      <c r="A1330" s="1017"/>
      <c r="B1330" s="1022"/>
      <c r="C1330" s="664"/>
      <c r="D1330" s="664">
        <v>1</v>
      </c>
      <c r="E1330" s="1019">
        <v>1</v>
      </c>
      <c r="F1330" s="947">
        <f>9.5*2+5*4</f>
        <v>39</v>
      </c>
      <c r="G1330" s="1020"/>
      <c r="H1330" s="1021"/>
      <c r="I1330" s="1019"/>
      <c r="J1330" s="507">
        <f t="shared" si="225"/>
        <v>39</v>
      </c>
      <c r="K1330" s="514"/>
      <c r="L1330" s="514"/>
      <c r="M1330" s="725"/>
      <c r="N1330" s="725"/>
      <c r="O1330" s="725"/>
      <c r="P1330" s="725"/>
      <c r="Q1330" s="618"/>
      <c r="R1330" s="618"/>
      <c r="S1330" s="618"/>
      <c r="T1330" s="618"/>
      <c r="U1330" s="618"/>
      <c r="V1330" s="641"/>
      <c r="W1330" s="641"/>
      <c r="X1330" s="641"/>
      <c r="Y1330" s="618"/>
      <c r="Z1330" s="618"/>
      <c r="AA1330" s="618"/>
      <c r="AB1330" s="618"/>
      <c r="AC1330" s="620"/>
      <c r="AD1330" s="620"/>
      <c r="AE1330" s="620"/>
      <c r="AF1330" s="471"/>
      <c r="AG1330" s="471"/>
      <c r="AH1330" s="471"/>
      <c r="AI1330" s="471"/>
      <c r="AJ1330" s="471"/>
      <c r="AK1330" s="425"/>
      <c r="AL1330" s="425"/>
      <c r="AM1330" s="425"/>
      <c r="AN1330" s="425"/>
      <c r="AO1330" s="425"/>
      <c r="AR1330" s="425"/>
      <c r="AU1330" s="425"/>
      <c r="AV1330" s="425"/>
    </row>
    <row r="1331" spans="1:48" s="393" customFormat="1" ht="22.25" customHeight="1">
      <c r="A1331" s="1017"/>
      <c r="B1331" s="1022"/>
      <c r="C1331" s="664"/>
      <c r="D1331" s="664"/>
      <c r="E1331" s="1019"/>
      <c r="F1331" s="947"/>
      <c r="G1331" s="1020"/>
      <c r="H1331" s="1021"/>
      <c r="I1331" s="1019"/>
      <c r="J1331" s="514"/>
      <c r="K1331" s="1029">
        <f>SUM(J1323:J1331)</f>
        <v>237.5</v>
      </c>
      <c r="L1331" s="1027" t="s">
        <v>13</v>
      </c>
      <c r="M1331" s="725">
        <f>6*39</f>
        <v>234</v>
      </c>
      <c r="N1331" s="725"/>
      <c r="O1331" s="725"/>
      <c r="P1331" s="725"/>
      <c r="Q1331" s="618"/>
      <c r="R1331" s="618"/>
      <c r="S1331" s="618"/>
      <c r="T1331" s="618"/>
      <c r="U1331" s="618"/>
      <c r="V1331" s="641"/>
      <c r="W1331" s="641"/>
      <c r="X1331" s="641"/>
      <c r="Y1331" s="618"/>
      <c r="Z1331" s="618"/>
      <c r="AA1331" s="618"/>
      <c r="AB1331" s="618"/>
      <c r="AC1331" s="620"/>
      <c r="AD1331" s="620"/>
      <c r="AE1331" s="620"/>
      <c r="AF1331" s="471"/>
      <c r="AG1331" s="471"/>
      <c r="AH1331" s="471"/>
      <c r="AI1331" s="471"/>
      <c r="AJ1331" s="471"/>
      <c r="AK1331" s="425"/>
      <c r="AL1331" s="425"/>
      <c r="AM1331" s="425"/>
      <c r="AN1331" s="425"/>
      <c r="AO1331" s="425"/>
      <c r="AR1331" s="425"/>
      <c r="AU1331" s="425"/>
      <c r="AV1331" s="425"/>
    </row>
    <row r="1332" spans="1:48" s="393" customFormat="1" ht="22.25" customHeight="1">
      <c r="A1332" s="1017"/>
      <c r="B1332" s="1022"/>
      <c r="C1332" s="664"/>
      <c r="D1332" s="664"/>
      <c r="E1332" s="1019"/>
      <c r="F1332" s="947"/>
      <c r="G1332" s="1021"/>
      <c r="H1332" s="1021"/>
      <c r="I1332" s="1019"/>
      <c r="J1332" s="507"/>
      <c r="K1332" s="514"/>
      <c r="L1332" s="514"/>
      <c r="M1332" s="725"/>
      <c r="N1332" s="725"/>
      <c r="O1332" s="725"/>
      <c r="P1332" s="725"/>
      <c r="Q1332" s="618"/>
      <c r="R1332" s="618"/>
      <c r="S1332" s="618"/>
      <c r="T1332" s="618"/>
      <c r="U1332" s="618"/>
      <c r="V1332" s="641"/>
      <c r="W1332" s="641"/>
      <c r="X1332" s="641"/>
      <c r="Y1332" s="618"/>
      <c r="Z1332" s="618"/>
      <c r="AA1332" s="618"/>
      <c r="AB1332" s="618"/>
      <c r="AC1332" s="620"/>
      <c r="AD1332" s="620"/>
      <c r="AE1332" s="620"/>
      <c r="AF1332" s="471"/>
      <c r="AG1332" s="471"/>
      <c r="AH1332" s="471"/>
      <c r="AI1332" s="471"/>
      <c r="AJ1332" s="471"/>
      <c r="AK1332" s="425"/>
      <c r="AL1332" s="425"/>
      <c r="AM1332" s="425"/>
      <c r="AN1332" s="425"/>
      <c r="AO1332" s="425"/>
      <c r="AR1332" s="425"/>
      <c r="AU1332" s="425"/>
      <c r="AV1332" s="425"/>
    </row>
    <row r="1333" spans="1:48" s="393" customFormat="1" ht="22.25" customHeight="1">
      <c r="A1333" s="1017">
        <v>34</v>
      </c>
      <c r="B1333" s="946" t="s">
        <v>817</v>
      </c>
      <c r="C1333" s="664"/>
      <c r="D1333" s="664"/>
      <c r="E1333" s="1019"/>
      <c r="F1333" s="947"/>
      <c r="G1333" s="1020"/>
      <c r="H1333" s="1021"/>
      <c r="I1333" s="1019"/>
      <c r="J1333" s="514"/>
      <c r="K1333" s="513"/>
      <c r="L1333" s="458"/>
      <c r="M1333" s="725"/>
      <c r="N1333" s="725"/>
      <c r="O1333" s="725"/>
      <c r="P1333" s="725"/>
      <c r="Q1333" s="618"/>
      <c r="R1333" s="618"/>
      <c r="S1333" s="618"/>
      <c r="T1333" s="618"/>
      <c r="U1333" s="618"/>
      <c r="V1333" s="641"/>
      <c r="W1333" s="641"/>
      <c r="X1333" s="641"/>
      <c r="Y1333" s="618"/>
      <c r="Z1333" s="618"/>
      <c r="AA1333" s="618"/>
      <c r="AB1333" s="618"/>
      <c r="AC1333" s="620"/>
      <c r="AD1333" s="620"/>
      <c r="AE1333" s="620"/>
      <c r="AF1333" s="471"/>
      <c r="AG1333" s="471"/>
      <c r="AH1333" s="471"/>
      <c r="AI1333" s="471"/>
      <c r="AJ1333" s="471"/>
      <c r="AK1333" s="425"/>
      <c r="AL1333" s="425"/>
      <c r="AM1333" s="425"/>
      <c r="AN1333" s="425"/>
      <c r="AO1333" s="425"/>
      <c r="AR1333" s="425"/>
      <c r="AU1333" s="425"/>
      <c r="AV1333" s="425"/>
    </row>
    <row r="1334" spans="1:48" s="393" customFormat="1" ht="22.25" customHeight="1">
      <c r="A1334" s="1017"/>
      <c r="B1334" s="1022" t="s">
        <v>818</v>
      </c>
      <c r="C1334" s="664"/>
      <c r="D1334" s="664">
        <v>4</v>
      </c>
      <c r="E1334" s="1019">
        <v>4</v>
      </c>
      <c r="F1334" s="947">
        <v>1</v>
      </c>
      <c r="G1334" s="1020"/>
      <c r="H1334" s="1021">
        <v>8.5</v>
      </c>
      <c r="I1334" s="1019"/>
      <c r="J1334" s="507">
        <f>IF(I1334=0,1,I1334)*IF(H1334=0,1,H1334)*IF(G1334=0,1,G1334)*IF(F1334=0,1,F1334)*IF(E1334=0,1,E1334)*IF(D1334=0,1,D1334)*IF(C1334=0,1,C1334)</f>
        <v>136</v>
      </c>
      <c r="K1334" s="501"/>
      <c r="L1334" s="501"/>
      <c r="M1334" s="725"/>
      <c r="N1334" s="725"/>
      <c r="O1334" s="725"/>
      <c r="P1334" s="725"/>
      <c r="Q1334" s="618"/>
      <c r="R1334" s="618"/>
      <c r="S1334" s="618"/>
      <c r="T1334" s="618"/>
      <c r="U1334" s="618"/>
      <c r="V1334" s="641"/>
      <c r="W1334" s="641"/>
      <c r="X1334" s="641"/>
      <c r="Y1334" s="618"/>
      <c r="Z1334" s="618"/>
      <c r="AA1334" s="618"/>
      <c r="AB1334" s="618"/>
      <c r="AC1334" s="620"/>
      <c r="AD1334" s="620"/>
      <c r="AE1334" s="620"/>
      <c r="AF1334" s="471"/>
      <c r="AG1334" s="471"/>
      <c r="AH1334" s="471"/>
      <c r="AI1334" s="471"/>
      <c r="AJ1334" s="471"/>
      <c r="AK1334" s="425"/>
      <c r="AL1334" s="425"/>
      <c r="AM1334" s="425"/>
      <c r="AN1334" s="425"/>
      <c r="AO1334" s="425"/>
      <c r="AR1334" s="425"/>
      <c r="AU1334" s="425"/>
      <c r="AV1334" s="425"/>
    </row>
    <row r="1335" spans="1:48" s="393" customFormat="1" ht="22.25" customHeight="1">
      <c r="A1335" s="1017"/>
      <c r="B1335" s="1022"/>
      <c r="C1335" s="664"/>
      <c r="D1335" s="664">
        <v>2</v>
      </c>
      <c r="E1335" s="1019">
        <v>2</v>
      </c>
      <c r="F1335" s="947">
        <v>5</v>
      </c>
      <c r="G1335" s="1020"/>
      <c r="H1335" s="1021">
        <v>1.5</v>
      </c>
      <c r="I1335" s="1019"/>
      <c r="J1335" s="507">
        <f>IF(I1335=0,1,I1335)*IF(H1335=0,1,H1335)*IF(G1335=0,1,G1335)*IF(F1335=0,1,F1335)*IF(E1335=0,1,E1335)*IF(D1335=0,1,D1335)*IF(C1335=0,1,C1335)</f>
        <v>30</v>
      </c>
      <c r="K1335" s="501"/>
      <c r="L1335" s="501"/>
      <c r="M1335" s="725"/>
      <c r="N1335" s="725"/>
      <c r="O1335" s="725"/>
      <c r="P1335" s="725"/>
      <c r="Q1335" s="618"/>
      <c r="R1335" s="618"/>
      <c r="S1335" s="618"/>
      <c r="T1335" s="618"/>
      <c r="U1335" s="618"/>
      <c r="V1335" s="641"/>
      <c r="W1335" s="641"/>
      <c r="X1335" s="641"/>
      <c r="Y1335" s="618"/>
      <c r="Z1335" s="618"/>
      <c r="AA1335" s="618"/>
      <c r="AB1335" s="618"/>
      <c r="AC1335" s="620"/>
      <c r="AD1335" s="620"/>
      <c r="AE1335" s="620"/>
      <c r="AF1335" s="471"/>
      <c r="AG1335" s="471"/>
      <c r="AH1335" s="471"/>
      <c r="AI1335" s="471"/>
      <c r="AJ1335" s="471"/>
      <c r="AK1335" s="425"/>
      <c r="AL1335" s="425"/>
      <c r="AM1335" s="425"/>
      <c r="AN1335" s="425"/>
      <c r="AO1335" s="425"/>
      <c r="AR1335" s="425"/>
      <c r="AU1335" s="425"/>
      <c r="AV1335" s="425"/>
    </row>
    <row r="1336" spans="1:48" s="393" customFormat="1" ht="22.25" customHeight="1">
      <c r="A1336" s="1017"/>
      <c r="B1336" s="1028" t="s">
        <v>43</v>
      </c>
      <c r="C1336" s="664"/>
      <c r="D1336" s="664"/>
      <c r="E1336" s="1019"/>
      <c r="F1336" s="947"/>
      <c r="G1336" s="1020"/>
      <c r="H1336" s="1021"/>
      <c r="I1336" s="1019"/>
      <c r="J1336" s="507"/>
      <c r="K1336" s="501"/>
      <c r="L1336" s="501"/>
      <c r="M1336" s="725"/>
      <c r="N1336" s="725"/>
      <c r="O1336" s="725"/>
      <c r="P1336" s="725"/>
      <c r="Q1336" s="618"/>
      <c r="R1336" s="618"/>
      <c r="S1336" s="618"/>
      <c r="T1336" s="618"/>
      <c r="U1336" s="618"/>
      <c r="V1336" s="641"/>
      <c r="W1336" s="641"/>
      <c r="X1336" s="641"/>
      <c r="Y1336" s="618"/>
      <c r="Z1336" s="618"/>
      <c r="AA1336" s="618"/>
      <c r="AB1336" s="618"/>
      <c r="AC1336" s="620"/>
      <c r="AD1336" s="620"/>
      <c r="AE1336" s="620"/>
      <c r="AF1336" s="471"/>
      <c r="AG1336" s="471"/>
      <c r="AH1336" s="471"/>
      <c r="AI1336" s="471"/>
      <c r="AJ1336" s="471"/>
      <c r="AK1336" s="425"/>
      <c r="AL1336" s="425"/>
      <c r="AM1336" s="425"/>
      <c r="AN1336" s="425"/>
      <c r="AO1336" s="425"/>
      <c r="AR1336" s="425"/>
      <c r="AU1336" s="425"/>
      <c r="AV1336" s="425"/>
    </row>
    <row r="1337" spans="1:48" s="393" customFormat="1" ht="22.25" customHeight="1">
      <c r="A1337" s="1017"/>
      <c r="B1337" s="1022" t="s">
        <v>892</v>
      </c>
      <c r="C1337" s="664">
        <v>2</v>
      </c>
      <c r="D1337" s="664">
        <v>2</v>
      </c>
      <c r="E1337" s="1019">
        <v>3</v>
      </c>
      <c r="F1337" s="947">
        <v>1</v>
      </c>
      <c r="G1337" s="1020"/>
      <c r="H1337" s="1021">
        <v>0.5</v>
      </c>
      <c r="I1337" s="507">
        <f>IF(H1337=0,1,H1337)*IF(G1337=0,1,G1337)*IF(F1337=0,1,F1337)*IF(E1337=0,1,E1337)*IF(D1337=0,1,D1337)*IF(C1337=0,1,C1337)</f>
        <v>6</v>
      </c>
      <c r="K1337" s="501"/>
      <c r="L1337" s="501"/>
      <c r="M1337" s="725"/>
      <c r="N1337" s="725"/>
      <c r="O1337" s="725"/>
      <c r="P1337" s="725"/>
      <c r="Q1337" s="618"/>
      <c r="R1337" s="618"/>
      <c r="S1337" s="618"/>
      <c r="T1337" s="618"/>
      <c r="U1337" s="618"/>
      <c r="V1337" s="641"/>
      <c r="W1337" s="641"/>
      <c r="X1337" s="641"/>
      <c r="Y1337" s="618"/>
      <c r="Z1337" s="618"/>
      <c r="AA1337" s="618"/>
      <c r="AB1337" s="618"/>
      <c r="AC1337" s="620"/>
      <c r="AD1337" s="620"/>
      <c r="AE1337" s="620"/>
      <c r="AF1337" s="471"/>
      <c r="AG1337" s="471"/>
      <c r="AH1337" s="471"/>
      <c r="AI1337" s="471"/>
      <c r="AJ1337" s="471"/>
      <c r="AK1337" s="425"/>
      <c r="AL1337" s="425"/>
      <c r="AM1337" s="425"/>
      <c r="AN1337" s="425"/>
      <c r="AO1337" s="425"/>
      <c r="AR1337" s="425"/>
      <c r="AU1337" s="425"/>
      <c r="AV1337" s="425"/>
    </row>
    <row r="1338" spans="1:48" s="393" customFormat="1" ht="22.25" customHeight="1" thickBot="1">
      <c r="A1338" s="1017"/>
      <c r="B1338" s="1022" t="s">
        <v>892</v>
      </c>
      <c r="C1338" s="664">
        <v>2</v>
      </c>
      <c r="D1338" s="664">
        <v>2</v>
      </c>
      <c r="E1338" s="1019">
        <v>1</v>
      </c>
      <c r="F1338" s="947">
        <v>3</v>
      </c>
      <c r="G1338" s="1020"/>
      <c r="H1338" s="1021">
        <v>1.5</v>
      </c>
      <c r="I1338" s="507">
        <f>IF(H1338=0,1,H1338)*IF(G1338=0,1,G1338)*IF(F1338=0,1,F1338)*IF(E1338=0,1,E1338)*IF(D1338=0,1,D1338)*IF(C1338=0,1,C1338)</f>
        <v>18</v>
      </c>
      <c r="K1338" s="1038"/>
      <c r="L1338" s="1038"/>
      <c r="M1338" s="725"/>
      <c r="N1338" s="725"/>
      <c r="O1338" s="725"/>
      <c r="P1338" s="725"/>
      <c r="Q1338" s="618"/>
      <c r="R1338" s="618"/>
      <c r="S1338" s="618"/>
      <c r="T1338" s="618"/>
      <c r="U1338" s="618"/>
      <c r="V1338" s="641"/>
      <c r="W1338" s="641"/>
      <c r="X1338" s="641"/>
      <c r="Y1338" s="618"/>
      <c r="Z1338" s="618"/>
      <c r="AA1338" s="618"/>
      <c r="AB1338" s="618"/>
      <c r="AC1338" s="620"/>
      <c r="AD1338" s="620"/>
      <c r="AE1338" s="620"/>
      <c r="AF1338" s="471"/>
      <c r="AG1338" s="471"/>
      <c r="AH1338" s="471"/>
      <c r="AI1338" s="471"/>
      <c r="AJ1338" s="471"/>
      <c r="AK1338" s="425"/>
      <c r="AL1338" s="425"/>
      <c r="AM1338" s="425"/>
      <c r="AN1338" s="425"/>
      <c r="AO1338" s="425"/>
      <c r="AR1338" s="425"/>
      <c r="AU1338" s="425"/>
      <c r="AV1338" s="425"/>
    </row>
    <row r="1339" spans="1:48" s="393" customFormat="1" ht="22.25" customHeight="1" thickBot="1">
      <c r="A1339" s="1017"/>
      <c r="B1339" s="1022"/>
      <c r="C1339" s="664"/>
      <c r="D1339" s="664"/>
      <c r="E1339" s="1019"/>
      <c r="F1339" s="947"/>
      <c r="G1339" s="1020"/>
      <c r="H1339" s="1021"/>
      <c r="I1339" s="1019"/>
      <c r="J1339" s="514"/>
      <c r="K1339" s="1039">
        <f>SUM(J1333:J1339)-SUM(I1333:I1339)</f>
        <v>142</v>
      </c>
      <c r="L1339" s="1039" t="s">
        <v>45</v>
      </c>
      <c r="M1339" s="725"/>
      <c r="N1339" s="725"/>
      <c r="O1339" s="725"/>
      <c r="P1339" s="725"/>
      <c r="Q1339" s="618"/>
      <c r="R1339" s="618"/>
      <c r="S1339" s="618"/>
      <c r="T1339" s="618"/>
      <c r="U1339" s="618"/>
      <c r="V1339" s="641"/>
      <c r="W1339" s="641"/>
      <c r="X1339" s="641"/>
      <c r="Y1339" s="618"/>
      <c r="Z1339" s="618"/>
      <c r="AA1339" s="618"/>
      <c r="AB1339" s="618"/>
      <c r="AC1339" s="620"/>
      <c r="AD1339" s="620"/>
      <c r="AE1339" s="620"/>
      <c r="AF1339" s="471"/>
      <c r="AG1339" s="471"/>
      <c r="AH1339" s="471"/>
      <c r="AI1339" s="471"/>
      <c r="AJ1339" s="471"/>
      <c r="AK1339" s="425"/>
      <c r="AL1339" s="425"/>
      <c r="AM1339" s="425"/>
      <c r="AN1339" s="425"/>
      <c r="AO1339" s="425"/>
      <c r="AR1339" s="425"/>
      <c r="AU1339" s="425"/>
      <c r="AV1339" s="425"/>
    </row>
    <row r="1340" spans="1:48" s="393" customFormat="1" ht="22.25" customHeight="1" thickBot="1">
      <c r="A1340" s="1017"/>
      <c r="B1340" s="1022"/>
      <c r="C1340" s="664"/>
      <c r="D1340" s="664"/>
      <c r="E1340" s="1019"/>
      <c r="F1340" s="947"/>
      <c r="G1340" s="1020"/>
      <c r="H1340" s="1021"/>
      <c r="I1340" s="1019"/>
      <c r="J1340" s="514"/>
      <c r="K1340" s="882">
        <f>K1339/100</f>
        <v>1.42</v>
      </c>
      <c r="L1340" s="882" t="s">
        <v>315</v>
      </c>
      <c r="M1340" s="725"/>
      <c r="N1340" s="725"/>
      <c r="O1340" s="725"/>
      <c r="P1340" s="725"/>
      <c r="Q1340" s="618"/>
      <c r="R1340" s="618"/>
      <c r="S1340" s="618"/>
      <c r="T1340" s="618"/>
      <c r="U1340" s="618"/>
      <c r="V1340" s="641"/>
      <c r="W1340" s="641"/>
      <c r="X1340" s="641"/>
      <c r="Y1340" s="618"/>
      <c r="Z1340" s="618"/>
      <c r="AA1340" s="618"/>
      <c r="AB1340" s="618"/>
      <c r="AC1340" s="620"/>
      <c r="AD1340" s="620"/>
      <c r="AE1340" s="620"/>
      <c r="AF1340" s="471"/>
      <c r="AG1340" s="471"/>
      <c r="AH1340" s="471"/>
      <c r="AI1340" s="471"/>
      <c r="AJ1340" s="471"/>
      <c r="AK1340" s="425"/>
      <c r="AL1340" s="425"/>
      <c r="AM1340" s="425"/>
      <c r="AN1340" s="425"/>
      <c r="AO1340" s="425"/>
      <c r="AR1340" s="425"/>
      <c r="AU1340" s="425"/>
      <c r="AV1340" s="425"/>
    </row>
    <row r="1341" spans="1:48" s="393" customFormat="1" ht="22.25" customHeight="1" thickTop="1">
      <c r="A1341" s="1017"/>
      <c r="B1341" s="1022"/>
      <c r="C1341" s="664"/>
      <c r="D1341" s="664"/>
      <c r="E1341" s="1019"/>
      <c r="F1341" s="947"/>
      <c r="G1341" s="1020"/>
      <c r="H1341" s="1021"/>
      <c r="I1341" s="1019"/>
      <c r="J1341" s="514"/>
      <c r="K1341" s="1040"/>
      <c r="L1341" s="1040"/>
      <c r="M1341" s="725"/>
      <c r="N1341" s="725"/>
      <c r="O1341" s="725"/>
      <c r="P1341" s="725"/>
      <c r="Q1341" s="618"/>
      <c r="R1341" s="618"/>
      <c r="S1341" s="618"/>
      <c r="T1341" s="618"/>
      <c r="U1341" s="618"/>
      <c r="V1341" s="641"/>
      <c r="W1341" s="641"/>
      <c r="X1341" s="641"/>
      <c r="Y1341" s="618"/>
      <c r="Z1341" s="618"/>
      <c r="AA1341" s="618"/>
      <c r="AB1341" s="618"/>
      <c r="AC1341" s="620"/>
      <c r="AD1341" s="620"/>
      <c r="AE1341" s="620"/>
      <c r="AF1341" s="471"/>
      <c r="AG1341" s="471"/>
      <c r="AH1341" s="471"/>
      <c r="AI1341" s="471"/>
      <c r="AJ1341" s="471"/>
      <c r="AK1341" s="425"/>
      <c r="AL1341" s="425"/>
      <c r="AM1341" s="425"/>
      <c r="AN1341" s="425"/>
      <c r="AO1341" s="425"/>
      <c r="AR1341" s="425"/>
      <c r="AU1341" s="425"/>
      <c r="AV1341" s="425"/>
    </row>
    <row r="1342" spans="1:48" s="393" customFormat="1" ht="22.25" customHeight="1">
      <c r="A1342" s="1017">
        <v>35</v>
      </c>
      <c r="B1342" s="946" t="s">
        <v>948</v>
      </c>
      <c r="C1342" s="664"/>
      <c r="D1342" s="664"/>
      <c r="E1342" s="1019"/>
      <c r="F1342" s="947"/>
      <c r="G1342" s="1020"/>
      <c r="H1342" s="1021"/>
      <c r="I1342" s="1019"/>
      <c r="J1342" s="514"/>
      <c r="K1342" s="1029"/>
      <c r="L1342" s="1027"/>
      <c r="M1342" s="725"/>
      <c r="N1342" s="725"/>
      <c r="O1342" s="725"/>
      <c r="P1342" s="725"/>
      <c r="Q1342" s="618"/>
      <c r="R1342" s="618"/>
      <c r="S1342" s="618"/>
      <c r="T1342" s="618"/>
      <c r="U1342" s="618"/>
      <c r="V1342" s="641"/>
      <c r="W1342" s="641"/>
      <c r="X1342" s="641"/>
      <c r="Y1342" s="618"/>
      <c r="Z1342" s="618"/>
      <c r="AA1342" s="618"/>
      <c r="AB1342" s="618"/>
      <c r="AC1342" s="620"/>
      <c r="AD1342" s="620"/>
      <c r="AE1342" s="620"/>
      <c r="AF1342" s="471"/>
      <c r="AG1342" s="471"/>
      <c r="AH1342" s="471"/>
      <c r="AI1342" s="471"/>
      <c r="AJ1342" s="471"/>
      <c r="AK1342" s="425"/>
      <c r="AL1342" s="425"/>
      <c r="AM1342" s="425"/>
      <c r="AN1342" s="425"/>
      <c r="AO1342" s="425"/>
      <c r="AR1342" s="425"/>
      <c r="AU1342" s="425"/>
      <c r="AV1342" s="425"/>
    </row>
    <row r="1343" spans="1:48" s="393" customFormat="1" ht="22.25" customHeight="1">
      <c r="A1343" s="1017"/>
      <c r="B1343" s="1022"/>
      <c r="C1343" s="664"/>
      <c r="D1343" s="664"/>
      <c r="E1343" s="1019">
        <v>1</v>
      </c>
      <c r="F1343" s="947">
        <f>35</f>
        <v>35</v>
      </c>
      <c r="G1343" s="1020">
        <f>45</f>
        <v>45</v>
      </c>
      <c r="H1343" s="1021"/>
      <c r="I1343" s="1019"/>
      <c r="J1343" s="507">
        <f>IF(I1343=0,1,I1343)*IF(H1343=0,1,H1343)*IF(G1343=0,1,G1343)*IF(F1343=0,1,F1343)*IF(E1343=0,1,E1343)*IF(D1343=0,1,D1343)*IF(C1343=0,1,C1343)</f>
        <v>1575</v>
      </c>
      <c r="K1343" s="514"/>
      <c r="L1343" s="514"/>
      <c r="M1343" s="725"/>
      <c r="N1343" s="725"/>
      <c r="O1343" s="725"/>
      <c r="P1343" s="725"/>
      <c r="Q1343" s="618"/>
      <c r="R1343" s="618"/>
      <c r="S1343" s="618"/>
      <c r="T1343" s="618"/>
      <c r="U1343" s="618"/>
      <c r="V1343" s="641"/>
      <c r="W1343" s="641"/>
      <c r="X1343" s="641"/>
      <c r="Y1343" s="618"/>
      <c r="Z1343" s="618"/>
      <c r="AA1343" s="618"/>
      <c r="AB1343" s="618"/>
      <c r="AC1343" s="620"/>
      <c r="AD1343" s="620"/>
      <c r="AE1343" s="620"/>
      <c r="AF1343" s="471"/>
      <c r="AG1343" s="471"/>
      <c r="AH1343" s="471"/>
      <c r="AI1343" s="471"/>
      <c r="AJ1343" s="471"/>
      <c r="AK1343" s="425"/>
      <c r="AL1343" s="425"/>
      <c r="AM1343" s="425"/>
      <c r="AN1343" s="425"/>
      <c r="AO1343" s="425"/>
      <c r="AR1343" s="425"/>
      <c r="AU1343" s="425"/>
      <c r="AV1343" s="425"/>
    </row>
    <row r="1344" spans="1:48" s="393" customFormat="1" ht="22.25" customHeight="1">
      <c r="A1344" s="1017"/>
      <c r="B1344" s="1028" t="s">
        <v>43</v>
      </c>
      <c r="C1344" s="664"/>
      <c r="D1344" s="664"/>
      <c r="E1344" s="1019"/>
      <c r="F1344" s="947"/>
      <c r="G1344" s="1020"/>
      <c r="H1344" s="1021"/>
      <c r="I1344" s="1019"/>
      <c r="J1344" s="514"/>
      <c r="K1344" s="514"/>
      <c r="L1344" s="514"/>
      <c r="M1344" s="725"/>
      <c r="N1344" s="725"/>
      <c r="O1344" s="725"/>
      <c r="P1344" s="725"/>
      <c r="Q1344" s="618"/>
      <c r="R1344" s="618"/>
      <c r="S1344" s="618"/>
      <c r="T1344" s="618"/>
      <c r="U1344" s="618"/>
      <c r="V1344" s="641"/>
      <c r="W1344" s="641"/>
      <c r="X1344" s="641"/>
      <c r="Y1344" s="618"/>
      <c r="Z1344" s="618"/>
      <c r="AA1344" s="618"/>
      <c r="AB1344" s="618"/>
      <c r="AC1344" s="620"/>
      <c r="AD1344" s="620"/>
      <c r="AE1344" s="620"/>
      <c r="AF1344" s="471"/>
      <c r="AG1344" s="471"/>
      <c r="AH1344" s="471"/>
      <c r="AI1344" s="471"/>
      <c r="AJ1344" s="471"/>
      <c r="AK1344" s="425"/>
      <c r="AL1344" s="425"/>
      <c r="AM1344" s="425"/>
      <c r="AN1344" s="425"/>
      <c r="AO1344" s="425"/>
      <c r="AR1344" s="425"/>
      <c r="AU1344" s="425"/>
      <c r="AV1344" s="425"/>
    </row>
    <row r="1345" spans="1:48" s="393" customFormat="1" ht="22.25" customHeight="1">
      <c r="A1345" s="1017"/>
      <c r="B1345" s="1022" t="s">
        <v>165</v>
      </c>
      <c r="C1345" s="664"/>
      <c r="D1345" s="664"/>
      <c r="E1345" s="1019">
        <v>2</v>
      </c>
      <c r="F1345" s="947">
        <v>8</v>
      </c>
      <c r="G1345" s="1020">
        <v>4.5</v>
      </c>
      <c r="H1345" s="1021"/>
      <c r="I1345" s="507">
        <f>IF(H1345=0,1,H1345)*IF(G1345=0,1,G1345)*IF(F1345=0,1,F1345)*IF(E1345=0,1,E1345)*IF(D1345=0,1,D1345)*IF(C1345=0,1,C1345)</f>
        <v>72</v>
      </c>
      <c r="J1345" s="514"/>
      <c r="K1345" s="514"/>
      <c r="L1345" s="514"/>
      <c r="M1345" s="725"/>
      <c r="N1345" s="725"/>
      <c r="O1345" s="725"/>
      <c r="P1345" s="725"/>
      <c r="Q1345" s="618"/>
      <c r="R1345" s="618"/>
      <c r="S1345" s="618"/>
      <c r="T1345" s="618"/>
      <c r="U1345" s="618"/>
      <c r="V1345" s="641"/>
      <c r="W1345" s="641"/>
      <c r="X1345" s="641"/>
      <c r="Y1345" s="618"/>
      <c r="Z1345" s="618"/>
      <c r="AA1345" s="618"/>
      <c r="AB1345" s="618"/>
      <c r="AC1345" s="620"/>
      <c r="AD1345" s="620"/>
      <c r="AE1345" s="620"/>
      <c r="AF1345" s="471"/>
      <c r="AG1345" s="471"/>
      <c r="AH1345" s="471"/>
      <c r="AI1345" s="471"/>
      <c r="AJ1345" s="471"/>
      <c r="AK1345" s="425"/>
      <c r="AL1345" s="425"/>
      <c r="AM1345" s="425"/>
      <c r="AN1345" s="425"/>
      <c r="AO1345" s="425"/>
      <c r="AR1345" s="425"/>
      <c r="AU1345" s="425"/>
      <c r="AV1345" s="425"/>
    </row>
    <row r="1346" spans="1:48" s="393" customFormat="1" ht="22.25" customHeight="1">
      <c r="A1346" s="1017"/>
      <c r="B1346" s="1022" t="s">
        <v>167</v>
      </c>
      <c r="C1346" s="664"/>
      <c r="D1346" s="664"/>
      <c r="E1346" s="1019">
        <v>1</v>
      </c>
      <c r="F1346" s="947">
        <v>8.5</v>
      </c>
      <c r="G1346" s="1020">
        <v>15</v>
      </c>
      <c r="H1346" s="1021"/>
      <c r="I1346" s="507">
        <f>IF(H1346=0,1,H1346)*IF(G1346=0,1,G1346)*IF(F1346=0,1,F1346)*IF(E1346=0,1,E1346)*IF(D1346=0,1,D1346)*IF(C1346=0,1,C1346)</f>
        <v>127.5</v>
      </c>
      <c r="J1346" s="514"/>
      <c r="K1346" s="514"/>
      <c r="L1346" s="514"/>
      <c r="M1346" s="725"/>
      <c r="N1346" s="725"/>
      <c r="O1346" s="725"/>
      <c r="P1346" s="725"/>
      <c r="Q1346" s="618"/>
      <c r="R1346" s="618"/>
      <c r="S1346" s="618"/>
      <c r="T1346" s="618"/>
      <c r="U1346" s="618"/>
      <c r="V1346" s="641"/>
      <c r="W1346" s="641"/>
      <c r="X1346" s="641"/>
      <c r="Y1346" s="618"/>
      <c r="Z1346" s="618"/>
      <c r="AA1346" s="618"/>
      <c r="AB1346" s="618"/>
      <c r="AC1346" s="620"/>
      <c r="AD1346" s="620"/>
      <c r="AE1346" s="620"/>
      <c r="AF1346" s="471"/>
      <c r="AG1346" s="471"/>
      <c r="AH1346" s="471"/>
      <c r="AI1346" s="471"/>
      <c r="AJ1346" s="471"/>
      <c r="AK1346" s="425"/>
      <c r="AL1346" s="425"/>
      <c r="AM1346" s="425"/>
      <c r="AN1346" s="425"/>
      <c r="AO1346" s="425"/>
      <c r="AR1346" s="425"/>
      <c r="AU1346" s="425"/>
      <c r="AV1346" s="425"/>
    </row>
    <row r="1347" spans="1:48" s="393" customFormat="1" ht="22.25" customHeight="1">
      <c r="A1347" s="1017"/>
      <c r="B1347" s="1022" t="s">
        <v>168</v>
      </c>
      <c r="C1347" s="664"/>
      <c r="D1347" s="664"/>
      <c r="E1347" s="1019">
        <v>1</v>
      </c>
      <c r="F1347" s="947">
        <f>(35+45)*2+14.5*4+30*2+(8+4.5)*2</f>
        <v>303</v>
      </c>
      <c r="G1347" s="1020">
        <v>0.5</v>
      </c>
      <c r="H1347" s="1021"/>
      <c r="I1347" s="507">
        <f>IF(H1347=0,1,H1347)*IF(G1347=0,1,G1347)*IF(F1347=0,1,F1347)*IF(E1347=0,1,E1347)*IF(D1347=0,1,D1347)*IF(C1347=0,1,C1347)</f>
        <v>151.5</v>
      </c>
      <c r="J1347" s="514"/>
      <c r="K1347" s="1038"/>
      <c r="L1347" s="1038"/>
      <c r="M1347" s="725"/>
      <c r="N1347" s="725"/>
      <c r="O1347" s="725"/>
      <c r="P1347" s="725"/>
      <c r="Q1347" s="618"/>
      <c r="R1347" s="618"/>
      <c r="S1347" s="618"/>
      <c r="T1347" s="618"/>
      <c r="U1347" s="618"/>
      <c r="V1347" s="641"/>
      <c r="W1347" s="641"/>
      <c r="X1347" s="641"/>
      <c r="Y1347" s="618"/>
      <c r="Z1347" s="618"/>
      <c r="AA1347" s="618"/>
      <c r="AB1347" s="618"/>
      <c r="AC1347" s="620"/>
      <c r="AD1347" s="620"/>
      <c r="AE1347" s="620"/>
      <c r="AF1347" s="471"/>
      <c r="AG1347" s="471"/>
      <c r="AH1347" s="471"/>
      <c r="AI1347" s="471"/>
      <c r="AJ1347" s="471"/>
      <c r="AK1347" s="425"/>
      <c r="AL1347" s="425"/>
      <c r="AM1347" s="425"/>
      <c r="AN1347" s="425"/>
      <c r="AO1347" s="425"/>
      <c r="AR1347" s="425"/>
      <c r="AU1347" s="425"/>
      <c r="AV1347" s="425"/>
    </row>
    <row r="1348" spans="1:48" s="393" customFormat="1" ht="22.25" customHeight="1" thickBot="1">
      <c r="A1348" s="1017"/>
      <c r="B1348" s="1022"/>
      <c r="C1348" s="664"/>
      <c r="D1348" s="664"/>
      <c r="E1348" s="1019"/>
      <c r="F1348" s="947"/>
      <c r="G1348" s="1020"/>
      <c r="H1348" s="1021"/>
      <c r="I1348" s="1019"/>
      <c r="J1348" s="514"/>
      <c r="K1348" s="1041">
        <f>SUM(J1342:J1347)-SUM(I1342:I1347)</f>
        <v>1224</v>
      </c>
      <c r="L1348" s="1041" t="s">
        <v>45</v>
      </c>
      <c r="M1348" s="725"/>
      <c r="N1348" s="725"/>
      <c r="O1348" s="725"/>
      <c r="P1348" s="725"/>
      <c r="Q1348" s="618"/>
      <c r="R1348" s="618"/>
      <c r="S1348" s="618"/>
      <c r="T1348" s="618"/>
      <c r="U1348" s="618"/>
      <c r="V1348" s="641"/>
      <c r="W1348" s="641"/>
      <c r="X1348" s="641"/>
      <c r="Y1348" s="618"/>
      <c r="Z1348" s="618"/>
      <c r="AA1348" s="618"/>
      <c r="AB1348" s="618"/>
      <c r="AC1348" s="620"/>
      <c r="AD1348" s="620"/>
      <c r="AE1348" s="620"/>
      <c r="AF1348" s="471"/>
      <c r="AG1348" s="471"/>
      <c r="AH1348" s="471"/>
      <c r="AI1348" s="471"/>
      <c r="AJ1348" s="471"/>
      <c r="AK1348" s="425"/>
      <c r="AL1348" s="425"/>
      <c r="AM1348" s="425"/>
      <c r="AN1348" s="425"/>
      <c r="AO1348" s="425"/>
      <c r="AR1348" s="425"/>
      <c r="AU1348" s="425"/>
      <c r="AV1348" s="425"/>
    </row>
    <row r="1349" spans="1:48" s="393" customFormat="1" ht="22.25" customHeight="1" thickBot="1">
      <c r="A1349" s="1017"/>
      <c r="B1349" s="1022"/>
      <c r="C1349" s="664"/>
      <c r="D1349" s="664"/>
      <c r="E1349" s="1019"/>
      <c r="F1349" s="947"/>
      <c r="G1349" s="1020"/>
      <c r="H1349" s="1021"/>
      <c r="I1349" s="1019"/>
      <c r="J1349" s="514"/>
      <c r="K1349" s="882">
        <f>K1348/100</f>
        <v>12.24</v>
      </c>
      <c r="L1349" s="882" t="s">
        <v>315</v>
      </c>
      <c r="M1349" s="725"/>
      <c r="N1349" s="725"/>
      <c r="O1349" s="725"/>
      <c r="P1349" s="725"/>
      <c r="Q1349" s="618"/>
      <c r="R1349" s="618"/>
      <c r="S1349" s="618"/>
      <c r="T1349" s="618"/>
      <c r="U1349" s="618"/>
      <c r="V1349" s="641"/>
      <c r="W1349" s="641"/>
      <c r="X1349" s="641"/>
      <c r="Y1349" s="618"/>
      <c r="Z1349" s="618"/>
      <c r="AA1349" s="618"/>
      <c r="AB1349" s="618"/>
      <c r="AC1349" s="620"/>
      <c r="AD1349" s="620"/>
      <c r="AE1349" s="620"/>
      <c r="AF1349" s="471"/>
      <c r="AG1349" s="471"/>
      <c r="AH1349" s="471"/>
      <c r="AI1349" s="471"/>
      <c r="AJ1349" s="471"/>
      <c r="AK1349" s="425"/>
      <c r="AL1349" s="425"/>
      <c r="AM1349" s="425"/>
      <c r="AN1349" s="425"/>
      <c r="AO1349" s="425"/>
      <c r="AR1349" s="425"/>
      <c r="AU1349" s="425"/>
      <c r="AV1349" s="425"/>
    </row>
    <row r="1350" spans="1:48" s="393" customFormat="1" ht="22.25" customHeight="1" thickTop="1">
      <c r="A1350" s="1017"/>
      <c r="B1350" s="1022"/>
      <c r="C1350" s="664"/>
      <c r="D1350" s="664"/>
      <c r="E1350" s="1019"/>
      <c r="F1350" s="947"/>
      <c r="G1350" s="1020"/>
      <c r="H1350" s="1021"/>
      <c r="I1350" s="1019"/>
      <c r="J1350" s="514"/>
      <c r="K1350" s="1038"/>
      <c r="L1350" s="1038"/>
      <c r="M1350" s="725"/>
      <c r="N1350" s="725"/>
      <c r="O1350" s="725"/>
      <c r="P1350" s="725"/>
      <c r="Q1350" s="618"/>
      <c r="R1350" s="618"/>
      <c r="S1350" s="618"/>
      <c r="T1350" s="618"/>
      <c r="U1350" s="618"/>
      <c r="V1350" s="641"/>
      <c r="W1350" s="641"/>
      <c r="X1350" s="641"/>
      <c r="Y1350" s="618"/>
      <c r="Z1350" s="618"/>
      <c r="AA1350" s="618"/>
      <c r="AB1350" s="618"/>
      <c r="AC1350" s="620"/>
      <c r="AD1350" s="620"/>
      <c r="AE1350" s="620"/>
      <c r="AF1350" s="471"/>
      <c r="AG1350" s="471"/>
      <c r="AH1350" s="471"/>
      <c r="AI1350" s="471"/>
      <c r="AJ1350" s="471"/>
      <c r="AK1350" s="425"/>
      <c r="AL1350" s="425"/>
      <c r="AM1350" s="425"/>
      <c r="AN1350" s="425"/>
      <c r="AO1350" s="425"/>
      <c r="AR1350" s="425"/>
      <c r="AU1350" s="425"/>
      <c r="AV1350" s="425"/>
    </row>
    <row r="1351" spans="1:48" s="393" customFormat="1" ht="22.25" customHeight="1">
      <c r="A1351" s="1017"/>
      <c r="B1351" s="946" t="s">
        <v>827</v>
      </c>
      <c r="C1351" s="664"/>
      <c r="D1351" s="664"/>
      <c r="E1351" s="1019"/>
      <c r="F1351" s="947"/>
      <c r="G1351" s="1020"/>
      <c r="H1351" s="1021"/>
      <c r="I1351" s="1019"/>
      <c r="J1351" s="514"/>
      <c r="K1351" s="514"/>
      <c r="L1351" s="514"/>
      <c r="M1351" s="725"/>
      <c r="N1351" s="725"/>
      <c r="O1351" s="725"/>
      <c r="P1351" s="725"/>
      <c r="Q1351" s="618"/>
      <c r="R1351" s="618"/>
      <c r="S1351" s="618"/>
      <c r="T1351" s="618"/>
      <c r="U1351" s="618"/>
      <c r="V1351" s="641"/>
      <c r="W1351" s="641"/>
      <c r="X1351" s="641"/>
      <c r="Y1351" s="618"/>
      <c r="Z1351" s="618"/>
      <c r="AA1351" s="618"/>
      <c r="AB1351" s="618"/>
      <c r="AC1351" s="620"/>
      <c r="AD1351" s="620"/>
      <c r="AE1351" s="620"/>
      <c r="AF1351" s="471"/>
      <c r="AG1351" s="471"/>
      <c r="AH1351" s="471"/>
      <c r="AI1351" s="471"/>
      <c r="AJ1351" s="471"/>
      <c r="AK1351" s="425"/>
      <c r="AL1351" s="425"/>
      <c r="AM1351" s="425"/>
      <c r="AN1351" s="425"/>
      <c r="AO1351" s="425"/>
      <c r="AR1351" s="425"/>
      <c r="AU1351" s="425"/>
      <c r="AV1351" s="425"/>
    </row>
    <row r="1352" spans="1:48" s="393" customFormat="1" ht="22.25" customHeight="1">
      <c r="A1352" s="1017"/>
      <c r="B1352" s="1022" t="s">
        <v>828</v>
      </c>
      <c r="C1352" s="664"/>
      <c r="D1352" s="664"/>
      <c r="E1352" s="1019">
        <v>1</v>
      </c>
      <c r="F1352" s="947">
        <f>(35+45)*2</f>
        <v>160</v>
      </c>
      <c r="G1352" s="1020"/>
      <c r="H1352" s="1021"/>
      <c r="I1352" s="507"/>
      <c r="J1352" s="507">
        <f>IF(I1352=0,1,I1352)*IF(H1352=0,1,H1352)*IF(G1352=0,1,G1352)*IF(F1352=0,1,F1352)*IF(E1352=0,1,E1352)*IF(D1352=0,1,D1352)*IF(C1352=0,1,C1352)</f>
        <v>160</v>
      </c>
      <c r="K1352" s="514"/>
      <c r="L1352" s="514"/>
      <c r="M1352" s="725"/>
      <c r="N1352" s="725"/>
      <c r="O1352" s="725"/>
      <c r="P1352" s="725"/>
      <c r="Q1352" s="618"/>
      <c r="R1352" s="618"/>
      <c r="S1352" s="618"/>
      <c r="T1352" s="618"/>
      <c r="U1352" s="618"/>
      <c r="V1352" s="641"/>
      <c r="W1352" s="641"/>
      <c r="X1352" s="641"/>
      <c r="Y1352" s="618"/>
      <c r="Z1352" s="618"/>
      <c r="AA1352" s="618"/>
      <c r="AB1352" s="618"/>
      <c r="AC1352" s="620"/>
      <c r="AD1352" s="620"/>
      <c r="AE1352" s="620"/>
      <c r="AF1352" s="471"/>
      <c r="AG1352" s="471"/>
      <c r="AH1352" s="471"/>
      <c r="AI1352" s="471"/>
      <c r="AJ1352" s="471"/>
      <c r="AK1352" s="425"/>
      <c r="AL1352" s="425"/>
      <c r="AM1352" s="425"/>
      <c r="AN1352" s="425"/>
      <c r="AO1352" s="425"/>
      <c r="AR1352" s="425"/>
      <c r="AU1352" s="425"/>
      <c r="AV1352" s="425"/>
    </row>
    <row r="1353" spans="1:48" s="393" customFormat="1" ht="22.25" customHeight="1">
      <c r="A1353" s="1017"/>
      <c r="B1353" s="1022" t="s">
        <v>829</v>
      </c>
      <c r="C1353" s="664"/>
      <c r="D1353" s="664"/>
      <c r="E1353" s="1019">
        <v>2</v>
      </c>
      <c r="F1353" s="947">
        <f>14.5*4+30*2</f>
        <v>118</v>
      </c>
      <c r="G1353" s="1020"/>
      <c r="H1353" s="1021"/>
      <c r="I1353" s="507"/>
      <c r="J1353" s="507">
        <f>IF(I1353=0,1,I1353)*IF(H1353=0,1,H1353)*IF(G1353=0,1,G1353)*IF(F1353=0,1,F1353)*IF(E1353=0,1,E1353)*IF(D1353=0,1,D1353)*IF(C1353=0,1,C1353)</f>
        <v>236</v>
      </c>
      <c r="K1353" s="514"/>
      <c r="L1353" s="514"/>
      <c r="M1353" s="725"/>
      <c r="N1353" s="725"/>
      <c r="O1353" s="725"/>
      <c r="P1353" s="725"/>
      <c r="Q1353" s="618"/>
      <c r="R1353" s="618"/>
      <c r="S1353" s="618"/>
      <c r="T1353" s="618"/>
      <c r="U1353" s="618"/>
      <c r="V1353" s="641"/>
      <c r="W1353" s="641"/>
      <c r="X1353" s="641"/>
      <c r="Y1353" s="618"/>
      <c r="Z1353" s="618"/>
      <c r="AA1353" s="618"/>
      <c r="AB1353" s="618"/>
      <c r="AC1353" s="620"/>
      <c r="AD1353" s="620"/>
      <c r="AE1353" s="620"/>
      <c r="AF1353" s="471"/>
      <c r="AG1353" s="471"/>
      <c r="AH1353" s="471"/>
      <c r="AI1353" s="471"/>
      <c r="AJ1353" s="471"/>
      <c r="AK1353" s="425"/>
      <c r="AL1353" s="425"/>
      <c r="AM1353" s="425"/>
      <c r="AN1353" s="425"/>
      <c r="AO1353" s="425"/>
      <c r="AR1353" s="425"/>
      <c r="AU1353" s="425"/>
      <c r="AV1353" s="425"/>
    </row>
    <row r="1354" spans="1:48" s="393" customFormat="1" ht="22.25" customHeight="1" thickBot="1">
      <c r="A1354" s="1017"/>
      <c r="B1354" s="1022" t="str">
        <f>B1271</f>
        <v>D01 (3'-4"x7'-2")</v>
      </c>
      <c r="C1354" s="664"/>
      <c r="D1354" s="664"/>
      <c r="E1354" s="1019">
        <f>E1271</f>
        <v>4</v>
      </c>
      <c r="F1354" s="947">
        <f>H1271*2</f>
        <v>14.34</v>
      </c>
      <c r="G1354" s="1020"/>
      <c r="H1354" s="1021"/>
      <c r="I1354" s="507"/>
      <c r="J1354" s="507">
        <f>IF(I1354=0,1,I1354)*IF(H1354=0,1,H1354)*IF(G1354=0,1,G1354)*IF(F1354=0,1,F1354)*IF(E1354=0,1,E1354)*IF(D1354=0,1,D1354)*IF(C1354=0,1,C1354)</f>
        <v>57.36</v>
      </c>
      <c r="K1354" s="514"/>
      <c r="L1354" s="514"/>
      <c r="M1354" s="725"/>
      <c r="N1354" s="725"/>
      <c r="O1354" s="725"/>
      <c r="P1354" s="725"/>
      <c r="Q1354" s="618"/>
      <c r="R1354" s="618"/>
      <c r="S1354" s="618"/>
      <c r="T1354" s="618"/>
      <c r="U1354" s="618"/>
      <c r="V1354" s="641"/>
      <c r="W1354" s="641"/>
      <c r="X1354" s="641"/>
      <c r="Y1354" s="618"/>
      <c r="Z1354" s="618"/>
      <c r="AA1354" s="618"/>
      <c r="AB1354" s="618"/>
      <c r="AC1354" s="620"/>
      <c r="AD1354" s="620"/>
      <c r="AE1354" s="620"/>
      <c r="AF1354" s="471"/>
      <c r="AG1354" s="471"/>
      <c r="AH1354" s="471"/>
      <c r="AI1354" s="471"/>
      <c r="AJ1354" s="471"/>
      <c r="AK1354" s="425"/>
      <c r="AL1354" s="425"/>
      <c r="AM1354" s="425"/>
      <c r="AN1354" s="425"/>
      <c r="AO1354" s="425"/>
      <c r="AR1354" s="425"/>
      <c r="AU1354" s="425"/>
      <c r="AV1354" s="425"/>
    </row>
    <row r="1355" spans="1:48" s="393" customFormat="1" ht="22.25" customHeight="1" thickBot="1">
      <c r="A1355" s="1017"/>
      <c r="B1355" s="1022"/>
      <c r="C1355" s="664"/>
      <c r="D1355" s="664"/>
      <c r="E1355" s="1019"/>
      <c r="F1355" s="947"/>
      <c r="G1355" s="1020"/>
      <c r="H1355" s="1021"/>
      <c r="I1355" s="1019"/>
      <c r="J1355" s="514"/>
      <c r="K1355" s="882">
        <f>SUM(J1351:J1355)</f>
        <v>453.36</v>
      </c>
      <c r="L1355" s="882" t="s">
        <v>13</v>
      </c>
      <c r="M1355" s="725"/>
      <c r="N1355" s="725"/>
      <c r="O1355" s="725"/>
      <c r="P1355" s="725"/>
      <c r="Q1355" s="618"/>
      <c r="R1355" s="618"/>
      <c r="S1355" s="618"/>
      <c r="T1355" s="618"/>
      <c r="U1355" s="618"/>
      <c r="V1355" s="641"/>
      <c r="W1355" s="641"/>
      <c r="X1355" s="641"/>
      <c r="Y1355" s="618"/>
      <c r="Z1355" s="618"/>
      <c r="AA1355" s="618"/>
      <c r="AB1355" s="618"/>
      <c r="AC1355" s="620"/>
      <c r="AD1355" s="620"/>
      <c r="AE1355" s="620"/>
      <c r="AF1355" s="471"/>
      <c r="AG1355" s="471"/>
      <c r="AH1355" s="471"/>
      <c r="AI1355" s="471"/>
      <c r="AJ1355" s="471"/>
      <c r="AK1355" s="425"/>
      <c r="AL1355" s="425"/>
      <c r="AM1355" s="425"/>
      <c r="AN1355" s="425"/>
      <c r="AO1355" s="425"/>
      <c r="AR1355" s="425"/>
      <c r="AU1355" s="425"/>
      <c r="AV1355" s="425"/>
    </row>
    <row r="1356" spans="1:48" s="393" customFormat="1" ht="22.25" customHeight="1" thickTop="1">
      <c r="A1356" s="1017"/>
      <c r="B1356" s="1022"/>
      <c r="C1356" s="664"/>
      <c r="D1356" s="664"/>
      <c r="E1356" s="1019"/>
      <c r="F1356" s="947"/>
      <c r="G1356" s="1020"/>
      <c r="H1356" s="1021"/>
      <c r="I1356" s="1019"/>
      <c r="J1356" s="514"/>
      <c r="K1356" s="1038"/>
      <c r="L1356" s="1038"/>
      <c r="M1356" s="725"/>
      <c r="N1356" s="725"/>
      <c r="O1356" s="725"/>
      <c r="P1356" s="725"/>
      <c r="Q1356" s="618"/>
      <c r="R1356" s="618"/>
      <c r="S1356" s="618"/>
      <c r="T1356" s="618"/>
      <c r="U1356" s="618"/>
      <c r="V1356" s="641"/>
      <c r="W1356" s="641"/>
      <c r="X1356" s="641"/>
      <c r="Y1356" s="618"/>
      <c r="Z1356" s="618"/>
      <c r="AA1356" s="618"/>
      <c r="AB1356" s="618"/>
      <c r="AC1356" s="620"/>
      <c r="AD1356" s="620"/>
      <c r="AE1356" s="620"/>
      <c r="AF1356" s="471"/>
      <c r="AG1356" s="471"/>
      <c r="AH1356" s="471"/>
      <c r="AI1356" s="471"/>
      <c r="AJ1356" s="471"/>
      <c r="AK1356" s="425"/>
      <c r="AL1356" s="425"/>
      <c r="AM1356" s="425"/>
      <c r="AN1356" s="425"/>
      <c r="AO1356" s="425"/>
      <c r="AR1356" s="425"/>
      <c r="AU1356" s="425"/>
      <c r="AV1356" s="425"/>
    </row>
    <row r="1357" spans="1:48" s="393" customFormat="1" ht="22.25" customHeight="1">
      <c r="A1357" s="1017">
        <v>36</v>
      </c>
      <c r="B1357" s="946" t="s">
        <v>831</v>
      </c>
      <c r="C1357" s="664"/>
      <c r="D1357" s="664"/>
      <c r="E1357" s="1019"/>
      <c r="F1357" s="947"/>
      <c r="G1357" s="1020"/>
      <c r="H1357" s="1021"/>
      <c r="I1357" s="1019"/>
      <c r="J1357" s="514"/>
      <c r="K1357" s="514"/>
      <c r="L1357" s="514"/>
      <c r="M1357" s="725"/>
      <c r="N1357" s="725"/>
      <c r="O1357" s="725"/>
      <c r="P1357" s="725"/>
      <c r="Q1357" s="618"/>
      <c r="R1357" s="618"/>
      <c r="S1357" s="618"/>
      <c r="T1357" s="618"/>
      <c r="U1357" s="618"/>
      <c r="V1357" s="641"/>
      <c r="W1357" s="641"/>
      <c r="X1357" s="641"/>
      <c r="Y1357" s="618"/>
      <c r="Z1357" s="618"/>
      <c r="AA1357" s="618"/>
      <c r="AB1357" s="618"/>
      <c r="AC1357" s="620"/>
      <c r="AD1357" s="620"/>
      <c r="AE1357" s="620"/>
      <c r="AF1357" s="471"/>
      <c r="AG1357" s="471"/>
      <c r="AH1357" s="471"/>
      <c r="AI1357" s="471"/>
      <c r="AJ1357" s="471"/>
      <c r="AK1357" s="425"/>
      <c r="AL1357" s="425"/>
      <c r="AM1357" s="425"/>
      <c r="AN1357" s="425"/>
      <c r="AO1357" s="425"/>
      <c r="AR1357" s="425"/>
      <c r="AU1357" s="425"/>
      <c r="AV1357" s="425"/>
    </row>
    <row r="1358" spans="1:48" s="393" customFormat="1" ht="22.25" customHeight="1" thickBot="1">
      <c r="A1358" s="1017"/>
      <c r="B1358" s="1022" t="str">
        <f>B1270</f>
        <v>MD (5'-0"x8'-11")</v>
      </c>
      <c r="C1358" s="664"/>
      <c r="D1358" s="664"/>
      <c r="E1358" s="1019">
        <f>E1270</f>
        <v>2</v>
      </c>
      <c r="F1358" s="947">
        <f>F1270+H1270*2</f>
        <v>22.84</v>
      </c>
      <c r="G1358" s="1020"/>
      <c r="H1358" s="1021"/>
      <c r="I1358" s="1019"/>
      <c r="J1358" s="507">
        <f>IF(I1358=0,1,I1358)*IF(H1358=0,1,H1358)*IF(G1358=0,1,G1358)*IF(F1358=0,1,F1358)*IF(E1358=0,1,E1358)*IF(D1358=0,1,D1358)*IF(C1358=0,1,C1358)</f>
        <v>45.68</v>
      </c>
      <c r="K1358" s="514"/>
      <c r="L1358" s="514"/>
      <c r="M1358" s="725"/>
      <c r="N1358" s="725"/>
      <c r="O1358" s="725"/>
      <c r="P1358" s="725"/>
      <c r="Q1358" s="618"/>
      <c r="R1358" s="618"/>
      <c r="S1358" s="618"/>
      <c r="T1358" s="618"/>
      <c r="U1358" s="618"/>
      <c r="V1358" s="641"/>
      <c r="W1358" s="641"/>
      <c r="X1358" s="641"/>
      <c r="Y1358" s="618"/>
      <c r="Z1358" s="618"/>
      <c r="AA1358" s="618"/>
      <c r="AB1358" s="618"/>
      <c r="AC1358" s="620"/>
      <c r="AD1358" s="620"/>
      <c r="AE1358" s="620"/>
      <c r="AF1358" s="471"/>
      <c r="AG1358" s="471"/>
      <c r="AH1358" s="471"/>
      <c r="AI1358" s="471"/>
      <c r="AJ1358" s="471"/>
      <c r="AK1358" s="425"/>
      <c r="AL1358" s="425"/>
      <c r="AM1358" s="425"/>
      <c r="AN1358" s="425"/>
      <c r="AO1358" s="425"/>
      <c r="AR1358" s="425"/>
      <c r="AU1358" s="425"/>
      <c r="AV1358" s="425"/>
    </row>
    <row r="1359" spans="1:48" s="393" customFormat="1" ht="22.25" customHeight="1" thickBot="1">
      <c r="A1359" s="1017"/>
      <c r="B1359" s="1022"/>
      <c r="C1359" s="664"/>
      <c r="D1359" s="664"/>
      <c r="E1359" s="1019"/>
      <c r="F1359" s="947"/>
      <c r="G1359" s="1020"/>
      <c r="H1359" s="1021"/>
      <c r="I1359" s="1019"/>
      <c r="J1359" s="514"/>
      <c r="K1359" s="882">
        <f>SUM(J1355:J1359)</f>
        <v>45.68</v>
      </c>
      <c r="L1359" s="882" t="s">
        <v>13</v>
      </c>
      <c r="M1359" s="725"/>
      <c r="N1359" s="725"/>
      <c r="O1359" s="725"/>
      <c r="P1359" s="725"/>
      <c r="Q1359" s="618"/>
      <c r="R1359" s="618"/>
      <c r="S1359" s="618"/>
      <c r="T1359" s="618"/>
      <c r="U1359" s="618"/>
      <c r="V1359" s="641"/>
      <c r="W1359" s="641"/>
      <c r="X1359" s="641"/>
      <c r="Y1359" s="618"/>
      <c r="Z1359" s="618"/>
      <c r="AA1359" s="618"/>
      <c r="AB1359" s="618"/>
      <c r="AC1359" s="620"/>
      <c r="AD1359" s="620"/>
      <c r="AE1359" s="620"/>
      <c r="AF1359" s="471"/>
      <c r="AG1359" s="471"/>
      <c r="AH1359" s="471"/>
      <c r="AI1359" s="471"/>
      <c r="AJ1359" s="471"/>
      <c r="AK1359" s="425"/>
      <c r="AL1359" s="425"/>
      <c r="AM1359" s="425"/>
      <c r="AN1359" s="425"/>
      <c r="AO1359" s="425"/>
      <c r="AR1359" s="425"/>
      <c r="AU1359" s="425"/>
      <c r="AV1359" s="425"/>
    </row>
    <row r="1360" spans="1:48" s="393" customFormat="1" ht="22.25" customHeight="1" thickTop="1">
      <c r="A1360" s="1017"/>
      <c r="B1360" s="1022"/>
      <c r="C1360" s="664"/>
      <c r="D1360" s="664"/>
      <c r="E1360" s="1019"/>
      <c r="F1360" s="947"/>
      <c r="G1360" s="1020"/>
      <c r="H1360" s="1021"/>
      <c r="I1360" s="1019"/>
      <c r="J1360" s="514"/>
      <c r="K1360" s="514"/>
      <c r="L1360" s="514"/>
      <c r="M1360" s="725"/>
      <c r="N1360" s="725"/>
      <c r="O1360" s="725"/>
      <c r="P1360" s="725"/>
      <c r="Q1360" s="618"/>
      <c r="R1360" s="618"/>
      <c r="S1360" s="618"/>
      <c r="T1360" s="618"/>
      <c r="U1360" s="618"/>
      <c r="V1360" s="641"/>
      <c r="W1360" s="641"/>
      <c r="X1360" s="641"/>
      <c r="Y1360" s="618"/>
      <c r="Z1360" s="618"/>
      <c r="AA1360" s="618"/>
      <c r="AB1360" s="618"/>
      <c r="AC1360" s="620"/>
      <c r="AD1360" s="620"/>
      <c r="AE1360" s="620"/>
      <c r="AF1360" s="471"/>
      <c r="AG1360" s="471"/>
      <c r="AH1360" s="471"/>
      <c r="AI1360" s="471"/>
      <c r="AJ1360" s="471"/>
      <c r="AK1360" s="425"/>
      <c r="AL1360" s="425"/>
      <c r="AM1360" s="425"/>
      <c r="AN1360" s="425"/>
      <c r="AO1360" s="425"/>
      <c r="AR1360" s="425"/>
      <c r="AU1360" s="425"/>
      <c r="AV1360" s="425"/>
    </row>
    <row r="1361" spans="1:48" s="393" customFormat="1" ht="22.25" customHeight="1">
      <c r="A1361" s="541"/>
      <c r="B1361" s="541"/>
      <c r="C1361" s="541"/>
      <c r="D1361" s="541"/>
      <c r="E1361" s="541"/>
      <c r="F1361" s="541"/>
      <c r="G1361" s="541"/>
      <c r="H1361" s="541"/>
      <c r="I1361" s="1017"/>
      <c r="J1361" s="541"/>
      <c r="K1361" s="541"/>
      <c r="L1361" s="541"/>
      <c r="M1361" s="725"/>
      <c r="N1361" s="725"/>
      <c r="O1361" s="725"/>
      <c r="P1361" s="725"/>
      <c r="Q1361" s="618"/>
      <c r="R1361" s="618"/>
      <c r="S1361" s="618"/>
      <c r="T1361" s="618"/>
      <c r="U1361" s="618"/>
      <c r="V1361" s="641"/>
      <c r="W1361" s="641"/>
      <c r="X1361" s="641"/>
      <c r="Y1361" s="618"/>
      <c r="Z1361" s="618"/>
      <c r="AA1361" s="618"/>
      <c r="AB1361" s="618"/>
      <c r="AC1361" s="620"/>
      <c r="AD1361" s="620"/>
      <c r="AE1361" s="620"/>
      <c r="AF1361" s="471"/>
      <c r="AG1361" s="471"/>
      <c r="AH1361" s="471"/>
      <c r="AI1361" s="471"/>
      <c r="AJ1361" s="471"/>
      <c r="AK1361" s="425"/>
      <c r="AL1361" s="425"/>
      <c r="AM1361" s="425"/>
      <c r="AN1361" s="425"/>
      <c r="AO1361" s="425"/>
      <c r="AR1361" s="425"/>
      <c r="AU1361" s="425"/>
      <c r="AV1361" s="425"/>
    </row>
    <row r="1362" spans="1:48" ht="22.25" customHeight="1">
      <c r="B1362" s="486"/>
      <c r="C1362" s="493"/>
      <c r="D1362" s="486"/>
      <c r="E1362" s="486"/>
      <c r="F1362" s="486"/>
      <c r="G1362" s="486"/>
      <c r="H1362" s="486"/>
      <c r="I1362" s="486"/>
      <c r="J1362" s="486"/>
      <c r="K1362" s="486"/>
      <c r="L1362" s="486"/>
      <c r="M1362" s="727"/>
      <c r="N1362" s="727"/>
      <c r="O1362" s="727"/>
      <c r="P1362" s="727"/>
      <c r="AF1362" s="475"/>
      <c r="AG1362" s="475"/>
      <c r="AH1362" s="475"/>
      <c r="AI1362" s="475"/>
      <c r="AJ1362" s="475"/>
    </row>
    <row r="1363" spans="1:48" ht="22.25" customHeight="1">
      <c r="B1363" s="486"/>
      <c r="C1363" s="493"/>
      <c r="D1363" s="486"/>
      <c r="E1363" s="486"/>
      <c r="F1363" s="486"/>
      <c r="G1363" s="486"/>
      <c r="H1363" s="486"/>
      <c r="I1363" s="486"/>
      <c r="J1363" s="486"/>
      <c r="K1363" s="486"/>
      <c r="L1363" s="486"/>
      <c r="M1363" s="727"/>
      <c r="N1363" s="727"/>
      <c r="O1363" s="727"/>
      <c r="P1363" s="727"/>
      <c r="AF1363" s="475"/>
      <c r="AG1363" s="475"/>
      <c r="AH1363" s="475"/>
      <c r="AI1363" s="475"/>
      <c r="AJ1363" s="475"/>
    </row>
    <row r="1364" spans="1:48" ht="22.25" customHeight="1">
      <c r="B1364" s="486"/>
      <c r="C1364" s="493"/>
      <c r="D1364" s="486"/>
      <c r="E1364" s="486"/>
      <c r="F1364" s="486"/>
      <c r="G1364" s="486"/>
      <c r="H1364" s="486"/>
      <c r="I1364" s="486"/>
      <c r="J1364" s="486"/>
      <c r="K1364" s="486"/>
      <c r="L1364" s="486"/>
      <c r="M1364" s="727"/>
      <c r="N1364" s="727"/>
      <c r="O1364" s="727"/>
      <c r="P1364" s="727"/>
      <c r="AF1364" s="475"/>
      <c r="AG1364" s="475"/>
      <c r="AH1364" s="475"/>
      <c r="AI1364" s="475"/>
      <c r="AJ1364" s="475"/>
    </row>
    <row r="1365" spans="1:48" ht="22.25" customHeight="1">
      <c r="B1365" s="486"/>
      <c r="C1365" s="493"/>
      <c r="D1365" s="486"/>
      <c r="E1365" s="486"/>
      <c r="F1365" s="486"/>
      <c r="G1365" s="486"/>
      <c r="H1365" s="486"/>
      <c r="I1365" s="486"/>
      <c r="J1365" s="486"/>
      <c r="K1365" s="486"/>
      <c r="L1365" s="486"/>
      <c r="M1365" s="727"/>
      <c r="N1365" s="727"/>
      <c r="O1365" s="727"/>
      <c r="P1365" s="727"/>
      <c r="AF1365" s="475"/>
      <c r="AG1365" s="475"/>
      <c r="AH1365" s="475"/>
      <c r="AI1365" s="475"/>
      <c r="AJ1365" s="475"/>
    </row>
    <row r="1366" spans="1:48" ht="22.25" customHeight="1">
      <c r="B1366" s="486"/>
      <c r="C1366" s="493"/>
      <c r="D1366" s="486"/>
      <c r="E1366" s="486"/>
      <c r="F1366" s="486"/>
      <c r="G1366" s="486"/>
      <c r="H1366" s="486"/>
      <c r="I1366" s="486"/>
      <c r="J1366" s="486"/>
      <c r="K1366" s="486"/>
      <c r="L1366" s="486"/>
      <c r="M1366" s="727"/>
      <c r="N1366" s="727"/>
      <c r="O1366" s="727"/>
      <c r="P1366" s="727"/>
      <c r="AF1366" s="475"/>
      <c r="AG1366" s="475"/>
      <c r="AH1366" s="475"/>
      <c r="AI1366" s="475"/>
      <c r="AJ1366" s="475"/>
    </row>
    <row r="1367" spans="1:48" ht="22.25" customHeight="1">
      <c r="B1367" s="486"/>
      <c r="C1367" s="493"/>
      <c r="D1367" s="486"/>
      <c r="E1367" s="486"/>
      <c r="F1367" s="486"/>
      <c r="G1367" s="486"/>
      <c r="H1367" s="486"/>
      <c r="I1367" s="486"/>
      <c r="J1367" s="486"/>
      <c r="K1367" s="486"/>
      <c r="L1367" s="486"/>
      <c r="M1367" s="727"/>
      <c r="N1367" s="727"/>
      <c r="O1367" s="727"/>
      <c r="P1367" s="727"/>
      <c r="AF1367" s="475"/>
      <c r="AG1367" s="475"/>
      <c r="AH1367" s="475"/>
      <c r="AI1367" s="475"/>
      <c r="AJ1367" s="475"/>
    </row>
    <row r="1368" spans="1:48" ht="22.25" customHeight="1">
      <c r="B1368" s="486"/>
      <c r="C1368" s="493"/>
      <c r="D1368" s="486"/>
      <c r="E1368" s="486"/>
      <c r="F1368" s="486"/>
      <c r="G1368" s="486"/>
      <c r="H1368" s="486"/>
      <c r="I1368" s="486"/>
      <c r="J1368" s="486"/>
      <c r="K1368" s="486"/>
      <c r="L1368" s="486"/>
      <c r="M1368" s="727"/>
      <c r="N1368" s="727"/>
      <c r="O1368" s="727"/>
      <c r="P1368" s="727"/>
      <c r="AF1368" s="475"/>
      <c r="AG1368" s="475"/>
      <c r="AH1368" s="475"/>
      <c r="AI1368" s="475"/>
      <c r="AJ1368" s="475"/>
    </row>
    <row r="1369" spans="1:48" ht="22.25" customHeight="1">
      <c r="B1369" s="486"/>
      <c r="C1369" s="493"/>
      <c r="D1369" s="486"/>
      <c r="E1369" s="486"/>
      <c r="F1369" s="486"/>
      <c r="G1369" s="486"/>
      <c r="H1369" s="486"/>
      <c r="I1369" s="486"/>
      <c r="J1369" s="486"/>
      <c r="K1369" s="486"/>
      <c r="L1369" s="486"/>
      <c r="M1369" s="727"/>
      <c r="N1369" s="727"/>
      <c r="O1369" s="727"/>
      <c r="P1369" s="727"/>
      <c r="AF1369" s="475"/>
      <c r="AG1369" s="475"/>
      <c r="AH1369" s="475"/>
      <c r="AI1369" s="475"/>
      <c r="AJ1369" s="475"/>
    </row>
    <row r="1370" spans="1:48" ht="22.25" customHeight="1">
      <c r="B1370" s="486"/>
      <c r="C1370" s="493"/>
      <c r="D1370" s="486"/>
      <c r="E1370" s="486"/>
      <c r="F1370" s="486"/>
      <c r="G1370" s="486"/>
      <c r="H1370" s="486"/>
      <c r="I1370" s="486"/>
      <c r="J1370" s="486"/>
      <c r="K1370" s="486"/>
      <c r="L1370" s="486"/>
      <c r="M1370" s="727"/>
      <c r="N1370" s="727"/>
      <c r="O1370" s="727"/>
      <c r="P1370" s="727"/>
      <c r="AF1370" s="475"/>
      <c r="AG1370" s="475"/>
      <c r="AH1370" s="475"/>
      <c r="AI1370" s="475"/>
      <c r="AJ1370" s="475"/>
    </row>
    <row r="1371" spans="1:48" ht="22.25" customHeight="1">
      <c r="B1371" s="486"/>
      <c r="C1371" s="493"/>
      <c r="D1371" s="486"/>
      <c r="E1371" s="486"/>
      <c r="F1371" s="486"/>
      <c r="G1371" s="486"/>
      <c r="H1371" s="486"/>
      <c r="I1371" s="486"/>
      <c r="J1371" s="486"/>
      <c r="K1371" s="486"/>
      <c r="L1371" s="486"/>
      <c r="M1371" s="727"/>
      <c r="N1371" s="727"/>
      <c r="O1371" s="727"/>
      <c r="P1371" s="727"/>
      <c r="AF1371" s="475"/>
      <c r="AG1371" s="475"/>
      <c r="AH1371" s="475"/>
      <c r="AI1371" s="475"/>
      <c r="AJ1371" s="475"/>
    </row>
    <row r="1372" spans="1:48" ht="22.25" customHeight="1">
      <c r="B1372" s="486"/>
      <c r="C1372" s="493"/>
      <c r="D1372" s="486"/>
      <c r="E1372" s="486"/>
      <c r="F1372" s="486"/>
      <c r="G1372" s="486"/>
      <c r="H1372" s="486"/>
      <c r="I1372" s="486"/>
      <c r="J1372" s="486"/>
      <c r="K1372" s="486"/>
      <c r="L1372" s="486"/>
      <c r="M1372" s="727"/>
      <c r="N1372" s="727"/>
      <c r="O1372" s="727"/>
      <c r="P1372" s="727"/>
      <c r="AF1372" s="475"/>
      <c r="AG1372" s="475"/>
      <c r="AH1372" s="475"/>
      <c r="AI1372" s="475"/>
      <c r="AJ1372" s="475"/>
    </row>
    <row r="1373" spans="1:48" ht="22.25" customHeight="1">
      <c r="B1373" s="486"/>
      <c r="C1373" s="493"/>
      <c r="D1373" s="486"/>
      <c r="E1373" s="486"/>
      <c r="F1373" s="486"/>
      <c r="G1373" s="486"/>
      <c r="H1373" s="486"/>
      <c r="I1373" s="486"/>
      <c r="J1373" s="486"/>
      <c r="K1373" s="486"/>
      <c r="L1373" s="486"/>
      <c r="M1373" s="727"/>
      <c r="N1373" s="727"/>
      <c r="O1373" s="727"/>
      <c r="P1373" s="727"/>
      <c r="AF1373" s="475"/>
      <c r="AG1373" s="475"/>
      <c r="AH1373" s="475"/>
      <c r="AI1373" s="475"/>
      <c r="AJ1373" s="475"/>
    </row>
    <row r="1374" spans="1:48" ht="22.25" customHeight="1">
      <c r="B1374" s="486"/>
      <c r="C1374" s="493"/>
      <c r="D1374" s="486"/>
      <c r="E1374" s="486"/>
      <c r="F1374" s="486"/>
      <c r="G1374" s="486"/>
      <c r="H1374" s="486"/>
      <c r="I1374" s="486"/>
      <c r="J1374" s="486"/>
      <c r="K1374" s="486"/>
      <c r="L1374" s="486"/>
      <c r="M1374" s="727"/>
      <c r="N1374" s="727"/>
      <c r="O1374" s="727"/>
      <c r="P1374" s="727"/>
      <c r="AF1374" s="475"/>
      <c r="AG1374" s="475"/>
      <c r="AH1374" s="475"/>
      <c r="AI1374" s="475"/>
      <c r="AJ1374" s="475"/>
    </row>
    <row r="1375" spans="1:48" ht="22.25" customHeight="1">
      <c r="B1375" s="486"/>
      <c r="C1375" s="493"/>
      <c r="D1375" s="486"/>
      <c r="E1375" s="486"/>
      <c r="F1375" s="486"/>
      <c r="G1375" s="486"/>
      <c r="H1375" s="486"/>
      <c r="I1375" s="486"/>
      <c r="J1375" s="486"/>
      <c r="K1375" s="486"/>
      <c r="L1375" s="486"/>
      <c r="M1375" s="727"/>
      <c r="N1375" s="727"/>
      <c r="O1375" s="727"/>
      <c r="P1375" s="727"/>
      <c r="AF1375" s="475"/>
      <c r="AG1375" s="475"/>
      <c r="AH1375" s="475"/>
      <c r="AI1375" s="475"/>
      <c r="AJ1375" s="475"/>
    </row>
    <row r="1376" spans="1:48" ht="22.25" customHeight="1">
      <c r="B1376" s="486"/>
      <c r="C1376" s="493"/>
      <c r="D1376" s="486"/>
      <c r="E1376" s="486"/>
      <c r="F1376" s="486"/>
      <c r="G1376" s="486"/>
      <c r="H1376" s="486"/>
      <c r="I1376" s="486"/>
      <c r="J1376" s="486"/>
      <c r="K1376" s="486"/>
      <c r="L1376" s="486"/>
      <c r="M1376" s="727"/>
      <c r="N1376" s="727"/>
      <c r="O1376" s="727"/>
      <c r="P1376" s="727"/>
      <c r="AF1376" s="475"/>
      <c r="AG1376" s="475"/>
      <c r="AH1376" s="475"/>
      <c r="AI1376" s="475"/>
      <c r="AJ1376" s="475"/>
    </row>
    <row r="1377" spans="2:36" ht="22.25" customHeight="1">
      <c r="B1377" s="486"/>
      <c r="C1377" s="493"/>
      <c r="D1377" s="486"/>
      <c r="E1377" s="486"/>
      <c r="F1377" s="486"/>
      <c r="G1377" s="486"/>
      <c r="H1377" s="486"/>
      <c r="I1377" s="486"/>
      <c r="J1377" s="486"/>
      <c r="K1377" s="486"/>
      <c r="L1377" s="486"/>
      <c r="M1377" s="727"/>
      <c r="N1377" s="727"/>
      <c r="O1377" s="727"/>
      <c r="P1377" s="727"/>
      <c r="AF1377" s="475"/>
      <c r="AG1377" s="475"/>
      <c r="AH1377" s="475"/>
      <c r="AI1377" s="475"/>
      <c r="AJ1377" s="475"/>
    </row>
    <row r="1378" spans="2:36" ht="22.25" customHeight="1">
      <c r="B1378" s="486"/>
      <c r="C1378" s="493"/>
      <c r="D1378" s="486"/>
      <c r="E1378" s="486"/>
      <c r="F1378" s="486"/>
      <c r="G1378" s="486"/>
      <c r="H1378" s="486"/>
      <c r="I1378" s="486"/>
      <c r="J1378" s="486"/>
      <c r="K1378" s="486"/>
      <c r="L1378" s="486"/>
      <c r="M1378" s="727"/>
      <c r="N1378" s="727"/>
      <c r="O1378" s="727"/>
      <c r="P1378" s="727"/>
      <c r="AF1378" s="475"/>
      <c r="AG1378" s="475"/>
      <c r="AH1378" s="475"/>
      <c r="AI1378" s="475"/>
      <c r="AJ1378" s="475"/>
    </row>
    <row r="1379" spans="2:36" ht="22.25" customHeight="1">
      <c r="B1379" s="486"/>
      <c r="C1379" s="493"/>
      <c r="D1379" s="486"/>
      <c r="E1379" s="486"/>
      <c r="F1379" s="486"/>
      <c r="G1379" s="486"/>
      <c r="H1379" s="486"/>
      <c r="I1379" s="486"/>
      <c r="J1379" s="486"/>
      <c r="K1379" s="486"/>
      <c r="L1379" s="486"/>
      <c r="M1379" s="727"/>
      <c r="N1379" s="727"/>
      <c r="O1379" s="727"/>
      <c r="P1379" s="727"/>
      <c r="AF1379" s="475"/>
      <c r="AG1379" s="475"/>
      <c r="AH1379" s="475"/>
      <c r="AI1379" s="475"/>
      <c r="AJ1379" s="475"/>
    </row>
    <row r="1380" spans="2:36" ht="22.25" customHeight="1">
      <c r="B1380" s="486"/>
      <c r="C1380" s="493"/>
      <c r="D1380" s="486"/>
      <c r="E1380" s="486"/>
      <c r="F1380" s="486"/>
      <c r="G1380" s="486"/>
      <c r="H1380" s="486"/>
      <c r="I1380" s="486"/>
      <c r="J1380" s="486"/>
      <c r="K1380" s="486"/>
      <c r="L1380" s="486"/>
      <c r="M1380" s="727"/>
      <c r="N1380" s="727"/>
      <c r="O1380" s="727"/>
      <c r="P1380" s="727"/>
      <c r="AF1380" s="475"/>
      <c r="AG1380" s="475"/>
      <c r="AH1380" s="475"/>
      <c r="AI1380" s="475"/>
      <c r="AJ1380" s="475"/>
    </row>
    <row r="1381" spans="2:36" ht="22.25" customHeight="1">
      <c r="B1381" s="486"/>
      <c r="C1381" s="493"/>
      <c r="D1381" s="486"/>
      <c r="E1381" s="486"/>
      <c r="F1381" s="486"/>
      <c r="G1381" s="486"/>
      <c r="H1381" s="486"/>
      <c r="I1381" s="486"/>
      <c r="J1381" s="486"/>
      <c r="K1381" s="486"/>
      <c r="L1381" s="486"/>
      <c r="M1381" s="727"/>
      <c r="N1381" s="727"/>
      <c r="O1381" s="727"/>
      <c r="P1381" s="727"/>
      <c r="AF1381" s="475"/>
      <c r="AG1381" s="475"/>
      <c r="AH1381" s="475"/>
      <c r="AI1381" s="475"/>
      <c r="AJ1381" s="475"/>
    </row>
    <row r="1382" spans="2:36" ht="22.25" customHeight="1">
      <c r="B1382" s="486"/>
      <c r="C1382" s="493"/>
      <c r="D1382" s="486"/>
      <c r="E1382" s="486"/>
      <c r="F1382" s="486"/>
      <c r="G1382" s="486"/>
      <c r="H1382" s="486"/>
      <c r="I1382" s="486"/>
      <c r="J1382" s="486"/>
      <c r="K1382" s="486"/>
      <c r="L1382" s="486"/>
      <c r="M1382" s="727"/>
      <c r="N1382" s="727"/>
      <c r="O1382" s="727"/>
      <c r="P1382" s="727"/>
      <c r="AF1382" s="475"/>
      <c r="AG1382" s="475"/>
      <c r="AH1382" s="475"/>
      <c r="AI1382" s="475"/>
      <c r="AJ1382" s="475"/>
    </row>
    <row r="1383" spans="2:36" ht="22.25" customHeight="1">
      <c r="B1383" s="486"/>
      <c r="C1383" s="493"/>
      <c r="D1383" s="486"/>
      <c r="E1383" s="486"/>
      <c r="F1383" s="486"/>
      <c r="G1383" s="486"/>
      <c r="H1383" s="486"/>
      <c r="I1383" s="486"/>
      <c r="J1383" s="486"/>
      <c r="K1383" s="486"/>
      <c r="L1383" s="486"/>
      <c r="M1383" s="727"/>
      <c r="N1383" s="727"/>
      <c r="O1383" s="727"/>
      <c r="P1383" s="727"/>
      <c r="AF1383" s="475"/>
      <c r="AG1383" s="475"/>
      <c r="AH1383" s="475"/>
      <c r="AI1383" s="475"/>
      <c r="AJ1383" s="475"/>
    </row>
    <row r="1384" spans="2:36" ht="22.25" customHeight="1">
      <c r="B1384" s="486"/>
      <c r="C1384" s="493"/>
      <c r="D1384" s="486"/>
      <c r="E1384" s="486"/>
      <c r="F1384" s="486"/>
      <c r="G1384" s="486"/>
      <c r="H1384" s="486"/>
      <c r="I1384" s="486"/>
      <c r="J1384" s="486"/>
      <c r="K1384" s="486"/>
      <c r="L1384" s="486"/>
      <c r="M1384" s="727"/>
      <c r="N1384" s="727"/>
      <c r="O1384" s="727"/>
      <c r="P1384" s="727"/>
      <c r="AF1384" s="475"/>
      <c r="AG1384" s="475"/>
      <c r="AH1384" s="475"/>
      <c r="AI1384" s="475"/>
      <c r="AJ1384" s="475"/>
    </row>
    <row r="1385" spans="2:36" ht="22.25" customHeight="1">
      <c r="B1385" s="486"/>
      <c r="C1385" s="493"/>
      <c r="D1385" s="486"/>
      <c r="E1385" s="486"/>
      <c r="F1385" s="486"/>
      <c r="G1385" s="486"/>
      <c r="H1385" s="486"/>
      <c r="I1385" s="486"/>
      <c r="J1385" s="486"/>
      <c r="K1385" s="486"/>
      <c r="L1385" s="486"/>
      <c r="M1385" s="727"/>
      <c r="N1385" s="727"/>
      <c r="O1385" s="727"/>
      <c r="P1385" s="727"/>
      <c r="AF1385" s="475"/>
      <c r="AG1385" s="475"/>
      <c r="AH1385" s="475"/>
      <c r="AI1385" s="475"/>
      <c r="AJ1385" s="475"/>
    </row>
    <row r="1386" spans="2:36" ht="22.25" customHeight="1">
      <c r="B1386" s="486"/>
      <c r="C1386" s="493"/>
      <c r="D1386" s="486"/>
      <c r="E1386" s="486"/>
      <c r="F1386" s="486"/>
      <c r="G1386" s="486"/>
      <c r="H1386" s="486"/>
      <c r="I1386" s="486"/>
      <c r="J1386" s="486"/>
      <c r="K1386" s="486"/>
      <c r="L1386" s="486"/>
      <c r="M1386" s="727"/>
      <c r="N1386" s="727"/>
      <c r="O1386" s="727"/>
      <c r="P1386" s="727"/>
      <c r="AF1386" s="475"/>
      <c r="AG1386" s="475"/>
      <c r="AH1386" s="475"/>
      <c r="AI1386" s="475"/>
      <c r="AJ1386" s="475"/>
    </row>
    <row r="1387" spans="2:36" ht="22.25" customHeight="1">
      <c r="B1387" s="486"/>
      <c r="C1387" s="493"/>
      <c r="D1387" s="486"/>
      <c r="E1387" s="486"/>
      <c r="F1387" s="486"/>
      <c r="G1387" s="486"/>
      <c r="H1387" s="486"/>
      <c r="I1387" s="486"/>
      <c r="J1387" s="486"/>
      <c r="K1387" s="486"/>
      <c r="L1387" s="486"/>
      <c r="M1387" s="727"/>
      <c r="N1387" s="727"/>
      <c r="O1387" s="727"/>
      <c r="P1387" s="727"/>
      <c r="AF1387" s="475"/>
      <c r="AG1387" s="475"/>
      <c r="AH1387" s="475"/>
      <c r="AI1387" s="475"/>
      <c r="AJ1387" s="475"/>
    </row>
    <row r="1388" spans="2:36" ht="22.25" customHeight="1">
      <c r="B1388" s="486"/>
      <c r="C1388" s="493"/>
      <c r="D1388" s="486"/>
      <c r="E1388" s="486"/>
      <c r="F1388" s="486"/>
      <c r="G1388" s="486"/>
      <c r="H1388" s="486"/>
      <c r="I1388" s="486"/>
      <c r="J1388" s="486"/>
      <c r="K1388" s="486"/>
      <c r="L1388" s="486"/>
      <c r="M1388" s="727"/>
      <c r="N1388" s="727"/>
      <c r="O1388" s="727"/>
      <c r="P1388" s="727"/>
      <c r="AF1388" s="475"/>
      <c r="AG1388" s="475"/>
      <c r="AH1388" s="475"/>
      <c r="AI1388" s="475"/>
      <c r="AJ1388" s="475"/>
    </row>
    <row r="1389" spans="2:36" ht="22.25" customHeight="1">
      <c r="B1389" s="486"/>
      <c r="C1389" s="493"/>
      <c r="D1389" s="486"/>
      <c r="E1389" s="486"/>
      <c r="F1389" s="486"/>
      <c r="G1389" s="486"/>
      <c r="H1389" s="486"/>
      <c r="I1389" s="486"/>
      <c r="J1389" s="486"/>
      <c r="K1389" s="486"/>
      <c r="L1389" s="486"/>
      <c r="M1389" s="727"/>
      <c r="N1389" s="727"/>
      <c r="O1389" s="727"/>
      <c r="P1389" s="727"/>
    </row>
    <row r="1390" spans="2:36" ht="22.25" customHeight="1">
      <c r="B1390" s="486"/>
      <c r="C1390" s="493"/>
      <c r="D1390" s="486"/>
      <c r="E1390" s="486"/>
      <c r="F1390" s="486"/>
      <c r="G1390" s="486"/>
      <c r="H1390" s="486"/>
      <c r="I1390" s="486"/>
      <c r="J1390" s="486"/>
      <c r="K1390" s="486"/>
      <c r="L1390" s="486"/>
    </row>
    <row r="1391" spans="2:36" ht="22.25" customHeight="1">
      <c r="B1391" s="486"/>
      <c r="C1391" s="493"/>
      <c r="D1391" s="486"/>
      <c r="E1391" s="486"/>
      <c r="F1391" s="486"/>
      <c r="G1391" s="486"/>
      <c r="H1391" s="486"/>
      <c r="I1391" s="486"/>
      <c r="J1391" s="486"/>
      <c r="K1391" s="486"/>
      <c r="L1391" s="486"/>
    </row>
    <row r="1392" spans="2:36" ht="22.25" customHeight="1">
      <c r="B1392" s="486"/>
      <c r="C1392" s="493"/>
      <c r="D1392" s="486"/>
      <c r="E1392" s="486"/>
      <c r="F1392" s="486"/>
      <c r="G1392" s="486"/>
      <c r="H1392" s="486"/>
      <c r="I1392" s="486"/>
      <c r="J1392" s="486"/>
      <c r="K1392" s="486"/>
      <c r="L1392" s="486"/>
    </row>
    <row r="1393" spans="2:12" ht="22.25" customHeight="1">
      <c r="B1393" s="486"/>
      <c r="C1393" s="493"/>
      <c r="D1393" s="486"/>
      <c r="E1393" s="486"/>
      <c r="F1393" s="486"/>
      <c r="G1393" s="486"/>
      <c r="H1393" s="486"/>
      <c r="I1393" s="486"/>
      <c r="J1393" s="486"/>
      <c r="K1393" s="486"/>
      <c r="L1393" s="486"/>
    </row>
    <row r="1394" spans="2:12" ht="22.25" customHeight="1">
      <c r="B1394" s="486"/>
      <c r="C1394" s="493"/>
      <c r="D1394" s="486"/>
      <c r="E1394" s="486"/>
      <c r="F1394" s="486"/>
      <c r="G1394" s="486"/>
      <c r="H1394" s="486"/>
      <c r="I1394" s="486"/>
      <c r="J1394" s="486"/>
      <c r="K1394" s="486"/>
      <c r="L1394" s="486"/>
    </row>
    <row r="1395" spans="2:12" ht="22.25" customHeight="1">
      <c r="B1395" s="486"/>
      <c r="C1395" s="493"/>
      <c r="D1395" s="486"/>
      <c r="E1395" s="486"/>
      <c r="F1395" s="486"/>
      <c r="G1395" s="486"/>
      <c r="H1395" s="486"/>
      <c r="I1395" s="486"/>
      <c r="J1395" s="486"/>
      <c r="K1395" s="486"/>
      <c r="L1395" s="486"/>
    </row>
    <row r="1396" spans="2:12" ht="22.25" customHeight="1">
      <c r="B1396" s="486"/>
      <c r="C1396" s="493"/>
      <c r="D1396" s="486"/>
      <c r="E1396" s="486"/>
      <c r="F1396" s="486"/>
      <c r="G1396" s="486"/>
      <c r="H1396" s="486"/>
      <c r="I1396" s="486"/>
      <c r="J1396" s="486"/>
      <c r="K1396" s="486"/>
      <c r="L1396" s="486"/>
    </row>
    <row r="1397" spans="2:12" ht="22.25" customHeight="1">
      <c r="B1397" s="486"/>
      <c r="C1397" s="493"/>
      <c r="D1397" s="486"/>
      <c r="E1397" s="486"/>
      <c r="F1397" s="486"/>
      <c r="G1397" s="486"/>
      <c r="H1397" s="486"/>
      <c r="I1397" s="486"/>
      <c r="J1397" s="486"/>
      <c r="K1397" s="486"/>
      <c r="L1397" s="486"/>
    </row>
    <row r="1398" spans="2:12" ht="22.25" customHeight="1">
      <c r="B1398" s="486"/>
      <c r="C1398" s="493"/>
      <c r="D1398" s="486"/>
      <c r="E1398" s="486"/>
      <c r="F1398" s="486"/>
      <c r="G1398" s="486"/>
      <c r="H1398" s="486"/>
      <c r="I1398" s="486"/>
      <c r="J1398" s="486"/>
      <c r="K1398" s="486"/>
      <c r="L1398" s="486"/>
    </row>
    <row r="1399" spans="2:12" ht="22.25" customHeight="1">
      <c r="B1399" s="486"/>
      <c r="C1399" s="493"/>
      <c r="D1399" s="486"/>
      <c r="E1399" s="486"/>
      <c r="F1399" s="486"/>
      <c r="G1399" s="486"/>
      <c r="H1399" s="486"/>
      <c r="I1399" s="486"/>
      <c r="J1399" s="486"/>
      <c r="K1399" s="486"/>
      <c r="L1399" s="486"/>
    </row>
    <row r="1400" spans="2:12" ht="22.25" customHeight="1">
      <c r="B1400" s="486"/>
      <c r="C1400" s="493"/>
      <c r="D1400" s="486"/>
      <c r="E1400" s="486"/>
      <c r="F1400" s="486"/>
      <c r="G1400" s="486"/>
      <c r="H1400" s="486"/>
      <c r="I1400" s="486"/>
      <c r="J1400" s="486"/>
      <c r="K1400" s="486"/>
      <c r="L1400" s="486"/>
    </row>
    <row r="1401" spans="2:12" ht="22.25" customHeight="1">
      <c r="B1401" s="486"/>
      <c r="C1401" s="493"/>
      <c r="D1401" s="486"/>
      <c r="E1401" s="486"/>
      <c r="F1401" s="486"/>
      <c r="G1401" s="486"/>
      <c r="H1401" s="486"/>
      <c r="I1401" s="486"/>
      <c r="J1401" s="486"/>
      <c r="K1401" s="486"/>
      <c r="L1401" s="486"/>
    </row>
    <row r="1402" spans="2:12" ht="22.25" customHeight="1">
      <c r="B1402" s="486"/>
      <c r="C1402" s="493"/>
      <c r="D1402" s="486"/>
      <c r="E1402" s="486"/>
      <c r="F1402" s="486"/>
      <c r="G1402" s="486"/>
      <c r="H1402" s="486"/>
      <c r="I1402" s="486"/>
      <c r="J1402" s="486"/>
      <c r="K1402" s="486"/>
      <c r="L1402" s="486"/>
    </row>
    <row r="1403" spans="2:12" ht="22.25" customHeight="1">
      <c r="B1403" s="486"/>
      <c r="C1403" s="493"/>
      <c r="D1403" s="486"/>
      <c r="E1403" s="486"/>
      <c r="F1403" s="486"/>
      <c r="G1403" s="486"/>
      <c r="H1403" s="486"/>
      <c r="I1403" s="486"/>
      <c r="J1403" s="486"/>
      <c r="K1403" s="486"/>
      <c r="L1403" s="486"/>
    </row>
    <row r="1404" spans="2:12" ht="22.25" customHeight="1">
      <c r="B1404" s="486"/>
      <c r="C1404" s="493"/>
      <c r="D1404" s="486"/>
      <c r="E1404" s="486"/>
      <c r="F1404" s="486"/>
      <c r="G1404" s="486"/>
      <c r="H1404" s="486"/>
      <c r="I1404" s="486"/>
      <c r="J1404" s="486"/>
      <c r="K1404" s="486"/>
      <c r="L1404" s="486"/>
    </row>
    <row r="1405" spans="2:12" ht="22.25" customHeight="1">
      <c r="B1405" s="486"/>
      <c r="C1405" s="493"/>
      <c r="D1405" s="486"/>
      <c r="E1405" s="486"/>
      <c r="F1405" s="486"/>
      <c r="G1405" s="486"/>
      <c r="H1405" s="486"/>
      <c r="I1405" s="486"/>
      <c r="J1405" s="486"/>
      <c r="K1405" s="486"/>
      <c r="L1405" s="486"/>
    </row>
    <row r="1406" spans="2:12" ht="22.25" customHeight="1">
      <c r="B1406" s="486"/>
      <c r="C1406" s="493"/>
      <c r="D1406" s="486"/>
      <c r="E1406" s="486"/>
      <c r="F1406" s="486"/>
      <c r="G1406" s="486"/>
      <c r="H1406" s="486"/>
      <c r="I1406" s="486"/>
      <c r="J1406" s="486"/>
      <c r="K1406" s="486"/>
      <c r="L1406" s="486"/>
    </row>
    <row r="1407" spans="2:12" ht="22.25" customHeight="1">
      <c r="B1407" s="486"/>
      <c r="C1407" s="493"/>
      <c r="D1407" s="486"/>
      <c r="E1407" s="486"/>
      <c r="F1407" s="486"/>
      <c r="G1407" s="486"/>
      <c r="H1407" s="486"/>
      <c r="I1407" s="486"/>
      <c r="J1407" s="486"/>
      <c r="K1407" s="486"/>
      <c r="L1407" s="486"/>
    </row>
    <row r="1408" spans="2:12" ht="22.25" customHeight="1">
      <c r="B1408" s="486"/>
      <c r="C1408" s="493"/>
      <c r="D1408" s="486"/>
      <c r="E1408" s="486"/>
      <c r="F1408" s="486"/>
      <c r="G1408" s="486"/>
      <c r="H1408" s="486"/>
      <c r="I1408" s="486"/>
      <c r="J1408" s="486"/>
      <c r="K1408" s="486"/>
      <c r="L1408" s="486"/>
    </row>
    <row r="1409" spans="2:12" ht="22.25" customHeight="1">
      <c r="B1409" s="486"/>
      <c r="C1409" s="493"/>
      <c r="D1409" s="486"/>
      <c r="E1409" s="486"/>
      <c r="F1409" s="486"/>
      <c r="G1409" s="486"/>
      <c r="H1409" s="486"/>
      <c r="I1409" s="486"/>
      <c r="J1409" s="486"/>
      <c r="K1409" s="486"/>
      <c r="L1409" s="486"/>
    </row>
    <row r="1410" spans="2:12" ht="22.25" customHeight="1">
      <c r="B1410" s="486"/>
      <c r="C1410" s="493"/>
      <c r="D1410" s="486"/>
      <c r="E1410" s="486"/>
      <c r="F1410" s="486"/>
      <c r="G1410" s="486"/>
      <c r="H1410" s="486"/>
      <c r="I1410" s="486"/>
      <c r="J1410" s="486"/>
      <c r="K1410" s="486"/>
      <c r="L1410" s="486"/>
    </row>
    <row r="1411" spans="2:12" ht="22.25" customHeight="1">
      <c r="B1411" s="486"/>
      <c r="C1411" s="493"/>
      <c r="D1411" s="486"/>
      <c r="E1411" s="486"/>
      <c r="F1411" s="486"/>
      <c r="G1411" s="486"/>
      <c r="H1411" s="486"/>
      <c r="I1411" s="486"/>
      <c r="J1411" s="486"/>
      <c r="K1411" s="486"/>
      <c r="L1411" s="486"/>
    </row>
    <row r="1412" spans="2:12" ht="22.25" customHeight="1">
      <c r="B1412" s="486"/>
      <c r="C1412" s="493"/>
      <c r="D1412" s="486"/>
      <c r="E1412" s="486"/>
      <c r="F1412" s="486"/>
      <c r="G1412" s="486"/>
      <c r="H1412" s="486"/>
      <c r="I1412" s="486"/>
      <c r="J1412" s="486"/>
      <c r="K1412" s="486"/>
      <c r="L1412" s="486"/>
    </row>
    <row r="1413" spans="2:12" ht="22.25" customHeight="1">
      <c r="B1413" s="486"/>
      <c r="C1413" s="493"/>
      <c r="D1413" s="486"/>
      <c r="E1413" s="486"/>
      <c r="F1413" s="486"/>
      <c r="G1413" s="486"/>
      <c r="H1413" s="486"/>
      <c r="I1413" s="486"/>
      <c r="J1413" s="486"/>
      <c r="K1413" s="486"/>
      <c r="L1413" s="486"/>
    </row>
    <row r="1414" spans="2:12" ht="22.25" customHeight="1">
      <c r="B1414" s="486"/>
      <c r="C1414" s="493"/>
      <c r="D1414" s="486"/>
      <c r="E1414" s="486"/>
      <c r="F1414" s="486"/>
      <c r="G1414" s="486"/>
      <c r="H1414" s="486"/>
      <c r="I1414" s="486"/>
      <c r="J1414" s="486"/>
      <c r="K1414" s="486"/>
      <c r="L1414" s="486"/>
    </row>
    <row r="1415" spans="2:12" ht="22.25" customHeight="1">
      <c r="B1415" s="486"/>
      <c r="C1415" s="493"/>
      <c r="D1415" s="486"/>
      <c r="E1415" s="486"/>
      <c r="F1415" s="486"/>
      <c r="G1415" s="486"/>
      <c r="H1415" s="486"/>
      <c r="I1415" s="486"/>
      <c r="J1415" s="486"/>
      <c r="K1415" s="486"/>
      <c r="L1415" s="486"/>
    </row>
    <row r="1416" spans="2:12" ht="22.25" customHeight="1">
      <c r="B1416" s="486"/>
      <c r="C1416" s="493"/>
      <c r="D1416" s="486"/>
      <c r="E1416" s="486"/>
      <c r="F1416" s="486"/>
      <c r="G1416" s="486"/>
      <c r="H1416" s="486"/>
      <c r="I1416" s="486"/>
      <c r="J1416" s="486"/>
      <c r="K1416" s="486"/>
      <c r="L1416" s="486"/>
    </row>
    <row r="1417" spans="2:12" ht="22.25" customHeight="1">
      <c r="B1417" s="486"/>
      <c r="C1417" s="493"/>
      <c r="D1417" s="486"/>
      <c r="E1417" s="486"/>
      <c r="F1417" s="486"/>
      <c r="G1417" s="486"/>
      <c r="H1417" s="486"/>
      <c r="I1417" s="486"/>
      <c r="J1417" s="486"/>
      <c r="K1417" s="486"/>
      <c r="L1417" s="486"/>
    </row>
    <row r="1418" spans="2:12" ht="22.25" customHeight="1">
      <c r="B1418" s="486"/>
      <c r="C1418" s="493"/>
      <c r="D1418" s="486"/>
      <c r="E1418" s="486"/>
      <c r="F1418" s="486"/>
      <c r="G1418" s="486"/>
      <c r="H1418" s="486"/>
      <c r="I1418" s="486"/>
      <c r="J1418" s="486"/>
      <c r="K1418" s="486"/>
      <c r="L1418" s="486"/>
    </row>
    <row r="1419" spans="2:12" ht="22.25" customHeight="1">
      <c r="B1419" s="486"/>
      <c r="C1419" s="493"/>
      <c r="D1419" s="486"/>
      <c r="E1419" s="486"/>
      <c r="F1419" s="486"/>
      <c r="G1419" s="486"/>
      <c r="H1419" s="486"/>
      <c r="I1419" s="486"/>
      <c r="J1419" s="486"/>
      <c r="K1419" s="486"/>
      <c r="L1419" s="486"/>
    </row>
    <row r="1420" spans="2:12" ht="22.25" customHeight="1">
      <c r="B1420" s="486"/>
      <c r="C1420" s="493"/>
      <c r="D1420" s="486"/>
      <c r="E1420" s="486"/>
      <c r="F1420" s="486"/>
      <c r="G1420" s="486"/>
      <c r="H1420" s="486"/>
      <c r="I1420" s="486"/>
      <c r="J1420" s="486"/>
      <c r="K1420" s="486"/>
      <c r="L1420" s="486"/>
    </row>
    <row r="1421" spans="2:12" ht="22.25" customHeight="1">
      <c r="B1421" s="486"/>
      <c r="C1421" s="493"/>
      <c r="D1421" s="486"/>
      <c r="E1421" s="486"/>
      <c r="F1421" s="486"/>
      <c r="G1421" s="486"/>
      <c r="H1421" s="486"/>
      <c r="I1421" s="486"/>
      <c r="J1421" s="486"/>
      <c r="K1421" s="486"/>
      <c r="L1421" s="486"/>
    </row>
    <row r="1422" spans="2:12" ht="22.25" customHeight="1">
      <c r="B1422" s="486"/>
      <c r="C1422" s="493"/>
      <c r="D1422" s="486"/>
      <c r="E1422" s="486"/>
      <c r="F1422" s="486"/>
      <c r="G1422" s="486"/>
      <c r="H1422" s="486"/>
      <c r="I1422" s="486"/>
      <c r="J1422" s="486"/>
      <c r="K1422" s="486"/>
      <c r="L1422" s="486"/>
    </row>
    <row r="1423" spans="2:12" ht="22.25" customHeight="1">
      <c r="B1423" s="486"/>
      <c r="C1423" s="493"/>
      <c r="D1423" s="486"/>
      <c r="E1423" s="486"/>
      <c r="F1423" s="486"/>
      <c r="G1423" s="486"/>
      <c r="H1423" s="486"/>
      <c r="I1423" s="486"/>
      <c r="J1423" s="486"/>
      <c r="K1423" s="486"/>
      <c r="L1423" s="486"/>
    </row>
    <row r="1424" spans="2:12" ht="22.25" customHeight="1">
      <c r="B1424" s="486"/>
      <c r="C1424" s="493"/>
      <c r="D1424" s="486"/>
      <c r="E1424" s="486"/>
      <c r="F1424" s="486"/>
      <c r="G1424" s="486"/>
      <c r="H1424" s="486"/>
      <c r="I1424" s="486"/>
      <c r="J1424" s="486"/>
      <c r="K1424" s="486"/>
      <c r="L1424" s="486"/>
    </row>
    <row r="1425" spans="2:12" ht="22.25" customHeight="1">
      <c r="B1425" s="486"/>
      <c r="C1425" s="493"/>
      <c r="D1425" s="486"/>
      <c r="E1425" s="486"/>
      <c r="F1425" s="486"/>
      <c r="G1425" s="486"/>
      <c r="H1425" s="486"/>
      <c r="I1425" s="486"/>
      <c r="J1425" s="486"/>
      <c r="K1425" s="486"/>
      <c r="L1425" s="486"/>
    </row>
    <row r="1426" spans="2:12" ht="22.25" customHeight="1">
      <c r="B1426" s="486"/>
      <c r="C1426" s="493"/>
      <c r="D1426" s="486"/>
      <c r="E1426" s="486"/>
      <c r="F1426" s="486"/>
      <c r="G1426" s="486"/>
      <c r="H1426" s="486"/>
      <c r="I1426" s="486"/>
      <c r="J1426" s="486"/>
      <c r="K1426" s="486"/>
      <c r="L1426" s="486"/>
    </row>
    <row r="1427" spans="2:12" ht="22.25" customHeight="1">
      <c r="B1427" s="486"/>
      <c r="C1427" s="493"/>
      <c r="D1427" s="486"/>
      <c r="E1427" s="486"/>
      <c r="F1427" s="486"/>
      <c r="G1427" s="486"/>
      <c r="H1427" s="486"/>
      <c r="I1427" s="486"/>
      <c r="J1427" s="486"/>
      <c r="K1427" s="486"/>
      <c r="L1427" s="486"/>
    </row>
    <row r="1428" spans="2:12" ht="22.25" customHeight="1">
      <c r="B1428" s="486"/>
      <c r="C1428" s="493"/>
      <c r="D1428" s="486"/>
      <c r="E1428" s="486"/>
      <c r="F1428" s="486"/>
      <c r="G1428" s="486"/>
      <c r="H1428" s="486"/>
      <c r="I1428" s="486"/>
      <c r="J1428" s="486"/>
      <c r="K1428" s="486"/>
      <c r="L1428" s="486"/>
    </row>
    <row r="1429" spans="2:12" ht="22.25" customHeight="1">
      <c r="B1429" s="486"/>
      <c r="C1429" s="493"/>
      <c r="D1429" s="486"/>
      <c r="E1429" s="486"/>
      <c r="F1429" s="486"/>
      <c r="G1429" s="486"/>
      <c r="H1429" s="486"/>
      <c r="I1429" s="486"/>
      <c r="J1429" s="486"/>
      <c r="K1429" s="486"/>
      <c r="L1429" s="486"/>
    </row>
    <row r="1430" spans="2:12" ht="22.25" customHeight="1">
      <c r="B1430" s="486"/>
      <c r="C1430" s="493"/>
      <c r="D1430" s="486"/>
      <c r="E1430" s="486"/>
      <c r="F1430" s="486"/>
      <c r="G1430" s="486"/>
      <c r="H1430" s="486"/>
      <c r="I1430" s="486"/>
      <c r="J1430" s="486"/>
      <c r="K1430" s="486"/>
      <c r="L1430" s="486"/>
    </row>
    <row r="1431" spans="2:12" ht="22.25" customHeight="1">
      <c r="B1431" s="486"/>
      <c r="C1431" s="493"/>
      <c r="D1431" s="486"/>
      <c r="E1431" s="486"/>
      <c r="F1431" s="486"/>
      <c r="G1431" s="486"/>
      <c r="H1431" s="486"/>
      <c r="I1431" s="486"/>
      <c r="J1431" s="486"/>
      <c r="K1431" s="486"/>
      <c r="L1431" s="486"/>
    </row>
    <row r="1432" spans="2:12" ht="22.25" customHeight="1">
      <c r="B1432" s="486"/>
      <c r="C1432" s="493"/>
      <c r="D1432" s="486"/>
      <c r="E1432" s="486"/>
      <c r="F1432" s="486"/>
      <c r="G1432" s="486"/>
      <c r="H1432" s="486"/>
      <c r="I1432" s="486"/>
      <c r="J1432" s="486"/>
      <c r="K1432" s="486"/>
      <c r="L1432" s="486"/>
    </row>
    <row r="1433" spans="2:12" ht="22.25" customHeight="1">
      <c r="B1433" s="486"/>
      <c r="C1433" s="493"/>
      <c r="D1433" s="486"/>
      <c r="E1433" s="486"/>
      <c r="F1433" s="486"/>
      <c r="G1433" s="486"/>
      <c r="H1433" s="486"/>
      <c r="I1433" s="486"/>
      <c r="J1433" s="486"/>
      <c r="K1433" s="486"/>
      <c r="L1433" s="486"/>
    </row>
    <row r="1434" spans="2:12" ht="22.25" customHeight="1">
      <c r="B1434" s="486"/>
      <c r="C1434" s="493"/>
      <c r="D1434" s="486"/>
      <c r="E1434" s="486"/>
      <c r="F1434" s="486"/>
      <c r="G1434" s="486"/>
      <c r="H1434" s="486"/>
      <c r="I1434" s="486"/>
      <c r="J1434" s="486"/>
      <c r="K1434" s="486"/>
      <c r="L1434" s="486"/>
    </row>
    <row r="1435" spans="2:12" ht="22.25" customHeight="1">
      <c r="B1435" s="486"/>
      <c r="C1435" s="493"/>
      <c r="D1435" s="486"/>
      <c r="E1435" s="486"/>
      <c r="F1435" s="486"/>
      <c r="G1435" s="486"/>
      <c r="H1435" s="486"/>
      <c r="I1435" s="486"/>
      <c r="J1435" s="486"/>
      <c r="K1435" s="486"/>
      <c r="L1435" s="486"/>
    </row>
    <row r="1436" spans="2:12" ht="22.25" customHeight="1">
      <c r="B1436" s="486"/>
      <c r="C1436" s="493"/>
      <c r="D1436" s="486"/>
      <c r="E1436" s="486"/>
      <c r="F1436" s="486"/>
      <c r="G1436" s="486"/>
      <c r="H1436" s="486"/>
      <c r="I1436" s="486"/>
      <c r="J1436" s="486"/>
      <c r="K1436" s="486"/>
      <c r="L1436" s="486"/>
    </row>
    <row r="1437" spans="2:12" ht="22.25" customHeight="1">
      <c r="B1437" s="486"/>
      <c r="C1437" s="493"/>
      <c r="D1437" s="486"/>
      <c r="E1437" s="486"/>
      <c r="F1437" s="486"/>
      <c r="G1437" s="486"/>
      <c r="H1437" s="486"/>
      <c r="I1437" s="486"/>
      <c r="J1437" s="486"/>
      <c r="K1437" s="486"/>
      <c r="L1437" s="486"/>
    </row>
    <row r="1438" spans="2:12" ht="22.25" customHeight="1">
      <c r="B1438" s="486"/>
      <c r="C1438" s="493"/>
      <c r="D1438" s="486"/>
      <c r="E1438" s="486"/>
      <c r="F1438" s="486"/>
      <c r="G1438" s="486"/>
      <c r="H1438" s="486"/>
      <c r="I1438" s="486"/>
      <c r="J1438" s="486"/>
      <c r="K1438" s="486"/>
      <c r="L1438" s="486"/>
    </row>
    <row r="1439" spans="2:12" ht="22.25" customHeight="1">
      <c r="B1439" s="486"/>
      <c r="C1439" s="493"/>
      <c r="D1439" s="486"/>
      <c r="E1439" s="486"/>
      <c r="F1439" s="486"/>
      <c r="G1439" s="486"/>
      <c r="H1439" s="486"/>
      <c r="I1439" s="486"/>
      <c r="J1439" s="486"/>
      <c r="K1439" s="486"/>
      <c r="L1439" s="486"/>
    </row>
    <row r="1440" spans="2:12" ht="22.25" customHeight="1">
      <c r="B1440" s="486"/>
      <c r="C1440" s="493"/>
      <c r="D1440" s="486"/>
      <c r="E1440" s="486"/>
      <c r="F1440" s="486"/>
      <c r="G1440" s="486"/>
      <c r="H1440" s="486"/>
      <c r="I1440" s="486"/>
      <c r="J1440" s="486"/>
      <c r="K1440" s="486"/>
      <c r="L1440" s="486"/>
    </row>
    <row r="1441" spans="2:12" ht="22.25" customHeight="1">
      <c r="B1441" s="486"/>
      <c r="C1441" s="493"/>
      <c r="D1441" s="486"/>
      <c r="E1441" s="486"/>
      <c r="F1441" s="486"/>
      <c r="G1441" s="486"/>
      <c r="H1441" s="486"/>
      <c r="I1441" s="486"/>
      <c r="J1441" s="486"/>
      <c r="K1441" s="486"/>
      <c r="L1441" s="486"/>
    </row>
    <row r="1442" spans="2:12" ht="22.25" customHeight="1">
      <c r="B1442" s="486"/>
      <c r="C1442" s="493"/>
      <c r="D1442" s="486"/>
      <c r="E1442" s="486"/>
      <c r="F1442" s="486"/>
      <c r="G1442" s="486"/>
      <c r="H1442" s="486"/>
      <c r="I1442" s="486"/>
      <c r="J1442" s="486"/>
      <c r="K1442" s="486"/>
      <c r="L1442" s="486"/>
    </row>
    <row r="1443" spans="2:12" ht="22.25" customHeight="1">
      <c r="B1443" s="486"/>
      <c r="C1443" s="493"/>
      <c r="D1443" s="486"/>
      <c r="E1443" s="486"/>
      <c r="F1443" s="486"/>
      <c r="G1443" s="486"/>
      <c r="H1443" s="486"/>
      <c r="I1443" s="486"/>
      <c r="J1443" s="486"/>
      <c r="K1443" s="486"/>
      <c r="L1443" s="486"/>
    </row>
    <row r="1444" spans="2:12" ht="22.25" customHeight="1">
      <c r="B1444" s="486"/>
      <c r="C1444" s="493"/>
      <c r="D1444" s="486"/>
      <c r="E1444" s="486"/>
      <c r="F1444" s="486"/>
      <c r="G1444" s="486"/>
      <c r="H1444" s="486"/>
      <c r="I1444" s="486"/>
      <c r="J1444" s="486"/>
      <c r="K1444" s="486"/>
      <c r="L1444" s="486"/>
    </row>
    <row r="1445" spans="2:12" ht="22.25" customHeight="1">
      <c r="B1445" s="486"/>
      <c r="C1445" s="493"/>
      <c r="D1445" s="486"/>
      <c r="E1445" s="486"/>
      <c r="F1445" s="486"/>
      <c r="G1445" s="486"/>
      <c r="H1445" s="486"/>
      <c r="I1445" s="486"/>
      <c r="J1445" s="486"/>
      <c r="K1445" s="486"/>
      <c r="L1445" s="486"/>
    </row>
    <row r="1446" spans="2:12" ht="22.25" customHeight="1">
      <c r="B1446" s="486"/>
      <c r="C1446" s="493"/>
      <c r="D1446" s="486"/>
      <c r="E1446" s="486"/>
      <c r="F1446" s="486"/>
      <c r="G1446" s="486"/>
      <c r="H1446" s="486"/>
      <c r="I1446" s="486"/>
      <c r="J1446" s="486"/>
      <c r="K1446" s="486"/>
      <c r="L1446" s="486"/>
    </row>
    <row r="1447" spans="2:12" ht="22.25" customHeight="1">
      <c r="B1447" s="486"/>
      <c r="C1447" s="493"/>
      <c r="D1447" s="486"/>
      <c r="E1447" s="486"/>
      <c r="F1447" s="486"/>
      <c r="G1447" s="486"/>
      <c r="H1447" s="486"/>
      <c r="I1447" s="486"/>
      <c r="J1447" s="486"/>
      <c r="K1447" s="486"/>
      <c r="L1447" s="486"/>
    </row>
    <row r="1448" spans="2:12" ht="22.25" customHeight="1">
      <c r="B1448" s="486"/>
      <c r="C1448" s="493"/>
      <c r="D1448" s="486"/>
      <c r="E1448" s="486"/>
      <c r="F1448" s="486"/>
      <c r="G1448" s="486"/>
      <c r="H1448" s="486"/>
      <c r="I1448" s="486"/>
      <c r="J1448" s="486"/>
      <c r="K1448" s="486"/>
      <c r="L1448" s="486"/>
    </row>
    <row r="1449" spans="2:12" ht="22.25" customHeight="1">
      <c r="B1449" s="486"/>
      <c r="C1449" s="493"/>
      <c r="D1449" s="486"/>
      <c r="E1449" s="486"/>
      <c r="F1449" s="486"/>
      <c r="G1449" s="486"/>
      <c r="H1449" s="486"/>
      <c r="I1449" s="486"/>
      <c r="J1449" s="486"/>
      <c r="K1449" s="486"/>
      <c r="L1449" s="486"/>
    </row>
    <row r="1450" spans="2:12" ht="22.25" customHeight="1">
      <c r="B1450" s="486"/>
      <c r="C1450" s="493"/>
      <c r="D1450" s="486"/>
      <c r="E1450" s="486"/>
      <c r="F1450" s="486"/>
      <c r="G1450" s="486"/>
      <c r="H1450" s="486"/>
      <c r="I1450" s="486"/>
      <c r="J1450" s="486"/>
      <c r="K1450" s="486"/>
      <c r="L1450" s="486"/>
    </row>
    <row r="1451" spans="2:12" ht="22.25" customHeight="1">
      <c r="B1451" s="486"/>
      <c r="C1451" s="493"/>
      <c r="D1451" s="486"/>
      <c r="E1451" s="486"/>
      <c r="F1451" s="486"/>
      <c r="G1451" s="486"/>
      <c r="H1451" s="486"/>
      <c r="I1451" s="486"/>
      <c r="J1451" s="486"/>
      <c r="K1451" s="486"/>
      <c r="L1451" s="486"/>
    </row>
    <row r="1452" spans="2:12" ht="22.25" customHeight="1">
      <c r="B1452" s="486"/>
      <c r="C1452" s="493"/>
      <c r="D1452" s="486"/>
      <c r="E1452" s="486"/>
      <c r="F1452" s="486"/>
      <c r="G1452" s="486"/>
      <c r="H1452" s="486"/>
      <c r="I1452" s="486"/>
      <c r="J1452" s="486"/>
      <c r="K1452" s="486"/>
      <c r="L1452" s="486"/>
    </row>
    <row r="1453" spans="2:12" ht="22.25" customHeight="1">
      <c r="B1453" s="486"/>
      <c r="C1453" s="493"/>
      <c r="D1453" s="486"/>
      <c r="E1453" s="486"/>
      <c r="F1453" s="486"/>
      <c r="G1453" s="486"/>
      <c r="H1453" s="486"/>
      <c r="I1453" s="486"/>
      <c r="J1453" s="486"/>
      <c r="K1453" s="486"/>
      <c r="L1453" s="486"/>
    </row>
    <row r="1454" spans="2:12" ht="22.25" customHeight="1">
      <c r="B1454" s="486"/>
      <c r="C1454" s="493"/>
      <c r="D1454" s="486"/>
      <c r="E1454" s="486"/>
      <c r="F1454" s="486"/>
      <c r="G1454" s="486"/>
      <c r="H1454" s="486"/>
      <c r="I1454" s="486"/>
      <c r="J1454" s="486"/>
      <c r="K1454" s="486"/>
      <c r="L1454" s="486"/>
    </row>
    <row r="1455" spans="2:12" ht="22.25" customHeight="1">
      <c r="B1455" s="486"/>
      <c r="C1455" s="493"/>
      <c r="D1455" s="486"/>
      <c r="E1455" s="486"/>
      <c r="F1455" s="486"/>
      <c r="G1455" s="486"/>
      <c r="H1455" s="486"/>
      <c r="I1455" s="486"/>
      <c r="J1455" s="486"/>
      <c r="K1455" s="486"/>
      <c r="L1455" s="486"/>
    </row>
    <row r="1456" spans="2:12" ht="22.25" customHeight="1">
      <c r="B1456" s="486"/>
      <c r="C1456" s="493"/>
      <c r="D1456" s="486"/>
      <c r="E1456" s="486"/>
      <c r="F1456" s="486"/>
      <c r="G1456" s="486"/>
      <c r="H1456" s="486"/>
      <c r="I1456" s="486"/>
      <c r="J1456" s="486"/>
      <c r="K1456" s="486"/>
      <c r="L1456" s="486"/>
    </row>
    <row r="1457" spans="2:12" ht="22.25" customHeight="1">
      <c r="B1457" s="486"/>
      <c r="C1457" s="493"/>
      <c r="D1457" s="486"/>
      <c r="E1457" s="486"/>
      <c r="F1457" s="486"/>
      <c r="G1457" s="486"/>
      <c r="H1457" s="486"/>
      <c r="I1457" s="486"/>
      <c r="J1457" s="486"/>
      <c r="K1457" s="486"/>
      <c r="L1457" s="486"/>
    </row>
    <row r="1458" spans="2:12" ht="22.25" customHeight="1">
      <c r="B1458" s="486"/>
      <c r="C1458" s="493"/>
      <c r="D1458" s="486"/>
      <c r="E1458" s="486"/>
      <c r="F1458" s="486"/>
      <c r="G1458" s="486"/>
      <c r="H1458" s="486"/>
      <c r="I1458" s="486"/>
      <c r="J1458" s="486"/>
      <c r="K1458" s="486"/>
      <c r="L1458" s="486"/>
    </row>
    <row r="1459" spans="2:12" ht="22.25" customHeight="1">
      <c r="B1459" s="486"/>
      <c r="C1459" s="493"/>
      <c r="D1459" s="486"/>
      <c r="E1459" s="486"/>
      <c r="F1459" s="486"/>
      <c r="G1459" s="486"/>
      <c r="H1459" s="486"/>
      <c r="I1459" s="486"/>
      <c r="J1459" s="486"/>
      <c r="K1459" s="486"/>
      <c r="L1459" s="486"/>
    </row>
    <row r="1460" spans="2:12" ht="22.25" customHeight="1">
      <c r="B1460" s="486"/>
      <c r="C1460" s="493"/>
      <c r="D1460" s="486"/>
      <c r="E1460" s="486"/>
      <c r="F1460" s="486"/>
      <c r="G1460" s="486"/>
      <c r="H1460" s="486"/>
      <c r="I1460" s="486"/>
      <c r="J1460" s="486"/>
      <c r="K1460" s="486"/>
      <c r="L1460" s="486"/>
    </row>
    <row r="1461" spans="2:12" ht="22.25" customHeight="1">
      <c r="B1461" s="486"/>
      <c r="C1461" s="493"/>
      <c r="D1461" s="486"/>
      <c r="E1461" s="486"/>
      <c r="F1461" s="486"/>
      <c r="G1461" s="486"/>
      <c r="H1461" s="486"/>
      <c r="I1461" s="486"/>
      <c r="J1461" s="486"/>
      <c r="K1461" s="486"/>
      <c r="L1461" s="486"/>
    </row>
    <row r="1462" spans="2:12" ht="22.25" customHeight="1">
      <c r="B1462" s="486"/>
      <c r="C1462" s="493"/>
      <c r="D1462" s="486"/>
      <c r="E1462" s="486"/>
      <c r="F1462" s="486"/>
      <c r="G1462" s="486"/>
      <c r="H1462" s="486"/>
      <c r="I1462" s="486"/>
      <c r="J1462" s="486"/>
      <c r="K1462" s="486"/>
      <c r="L1462" s="486"/>
    </row>
    <row r="1463" spans="2:12" ht="22.25" customHeight="1">
      <c r="B1463" s="486"/>
      <c r="C1463" s="493"/>
      <c r="D1463" s="486"/>
      <c r="E1463" s="486"/>
      <c r="F1463" s="486"/>
      <c r="G1463" s="486"/>
      <c r="H1463" s="486"/>
      <c r="I1463" s="486"/>
      <c r="J1463" s="486"/>
      <c r="K1463" s="486"/>
      <c r="L1463" s="486"/>
    </row>
    <row r="1464" spans="2:12" ht="22.25" customHeight="1">
      <c r="B1464" s="486"/>
      <c r="C1464" s="493"/>
      <c r="D1464" s="486"/>
      <c r="E1464" s="486"/>
      <c r="F1464" s="486"/>
      <c r="G1464" s="486"/>
      <c r="H1464" s="486"/>
      <c r="I1464" s="486"/>
      <c r="J1464" s="486"/>
      <c r="K1464" s="486"/>
      <c r="L1464" s="486"/>
    </row>
    <row r="1465" spans="2:12" ht="22.25" customHeight="1">
      <c r="B1465" s="486"/>
      <c r="C1465" s="493"/>
      <c r="D1465" s="486"/>
      <c r="E1465" s="486"/>
      <c r="F1465" s="486"/>
      <c r="G1465" s="486"/>
      <c r="H1465" s="486"/>
      <c r="I1465" s="486"/>
      <c r="J1465" s="486"/>
      <c r="K1465" s="486"/>
      <c r="L1465" s="486"/>
    </row>
    <row r="1466" spans="2:12" ht="22.25" customHeight="1">
      <c r="B1466" s="486"/>
      <c r="C1466" s="493"/>
      <c r="D1466" s="486"/>
      <c r="E1466" s="486"/>
      <c r="F1466" s="486"/>
      <c r="G1466" s="486"/>
      <c r="H1466" s="486"/>
      <c r="I1466" s="486"/>
      <c r="J1466" s="486"/>
      <c r="K1466" s="486"/>
      <c r="L1466" s="486"/>
    </row>
    <row r="1467" spans="2:12" ht="22.25" customHeight="1">
      <c r="B1467" s="486"/>
      <c r="C1467" s="493"/>
      <c r="D1467" s="486"/>
      <c r="E1467" s="486"/>
      <c r="F1467" s="486"/>
      <c r="G1467" s="486"/>
      <c r="H1467" s="486"/>
      <c r="I1467" s="486"/>
      <c r="J1467" s="486"/>
      <c r="K1467" s="486"/>
      <c r="L1467" s="486"/>
    </row>
    <row r="1468" spans="2:12" ht="22.25" customHeight="1">
      <c r="B1468" s="486"/>
      <c r="C1468" s="493"/>
      <c r="D1468" s="486"/>
      <c r="E1468" s="486"/>
      <c r="F1468" s="486"/>
      <c r="G1468" s="486"/>
      <c r="H1468" s="486"/>
      <c r="I1468" s="486"/>
      <c r="J1468" s="486"/>
      <c r="K1468" s="486"/>
      <c r="L1468" s="486"/>
    </row>
    <row r="1469" spans="2:12" ht="22.25" customHeight="1">
      <c r="B1469" s="486"/>
      <c r="C1469" s="493"/>
      <c r="D1469" s="486"/>
      <c r="E1469" s="486"/>
      <c r="F1469" s="486"/>
      <c r="G1469" s="486"/>
      <c r="H1469" s="486"/>
      <c r="I1469" s="486"/>
      <c r="J1469" s="486"/>
      <c r="K1469" s="486"/>
      <c r="L1469" s="486"/>
    </row>
    <row r="1470" spans="2:12" ht="22.25" customHeight="1">
      <c r="B1470" s="486"/>
      <c r="C1470" s="493"/>
      <c r="D1470" s="486"/>
      <c r="E1470" s="486"/>
      <c r="F1470" s="486"/>
      <c r="G1470" s="486"/>
      <c r="H1470" s="486"/>
      <c r="I1470" s="486"/>
      <c r="J1470" s="486"/>
      <c r="K1470" s="486"/>
      <c r="L1470" s="486"/>
    </row>
    <row r="1471" spans="2:12" ht="22.25" customHeight="1">
      <c r="B1471" s="486"/>
      <c r="C1471" s="493"/>
      <c r="D1471" s="486"/>
      <c r="E1471" s="486"/>
      <c r="F1471" s="486"/>
      <c r="G1471" s="486"/>
      <c r="H1471" s="486"/>
      <c r="I1471" s="486"/>
      <c r="J1471" s="486"/>
      <c r="K1471" s="486"/>
      <c r="L1471" s="486"/>
    </row>
    <row r="1472" spans="2:12" ht="22.25" customHeight="1">
      <c r="B1472" s="486"/>
      <c r="C1472" s="493"/>
      <c r="D1472" s="486"/>
      <c r="E1472" s="486"/>
      <c r="F1472" s="486"/>
      <c r="G1472" s="486"/>
      <c r="H1472" s="486"/>
      <c r="I1472" s="486"/>
      <c r="J1472" s="486"/>
      <c r="K1472" s="486"/>
      <c r="L1472" s="486"/>
    </row>
    <row r="1473" spans="2:12" ht="22.25" customHeight="1">
      <c r="B1473" s="486"/>
      <c r="C1473" s="493"/>
      <c r="D1473" s="486"/>
      <c r="E1473" s="486"/>
      <c r="F1473" s="486"/>
      <c r="G1473" s="486"/>
      <c r="H1473" s="486"/>
      <c r="I1473" s="486"/>
      <c r="J1473" s="486"/>
      <c r="K1473" s="486"/>
      <c r="L1473" s="486"/>
    </row>
    <row r="1474" spans="2:12" ht="22.25" customHeight="1">
      <c r="B1474" s="486"/>
      <c r="C1474" s="493"/>
      <c r="D1474" s="486"/>
      <c r="E1474" s="486"/>
      <c r="F1474" s="486"/>
      <c r="G1474" s="486"/>
      <c r="H1474" s="486"/>
      <c r="I1474" s="486"/>
      <c r="J1474" s="486"/>
      <c r="K1474" s="486"/>
      <c r="L1474" s="486"/>
    </row>
    <row r="1475" spans="2:12" ht="22.25" customHeight="1">
      <c r="B1475" s="486"/>
      <c r="C1475" s="493"/>
      <c r="D1475" s="486"/>
      <c r="E1475" s="486"/>
      <c r="F1475" s="486"/>
      <c r="G1475" s="486"/>
      <c r="H1475" s="486"/>
      <c r="I1475" s="486"/>
      <c r="J1475" s="486"/>
      <c r="K1475" s="486"/>
      <c r="L1475" s="486"/>
    </row>
    <row r="1476" spans="2:12" ht="22.25" customHeight="1">
      <c r="B1476" s="486"/>
      <c r="C1476" s="493"/>
      <c r="D1476" s="486"/>
      <c r="E1476" s="486"/>
      <c r="F1476" s="486"/>
      <c r="G1476" s="486"/>
      <c r="H1476" s="486"/>
      <c r="I1476" s="486"/>
      <c r="J1476" s="486"/>
      <c r="K1476" s="486"/>
      <c r="L1476" s="486"/>
    </row>
    <row r="1477" spans="2:12" ht="22.25" customHeight="1">
      <c r="B1477" s="486"/>
      <c r="C1477" s="493"/>
      <c r="D1477" s="486"/>
      <c r="E1477" s="486"/>
      <c r="F1477" s="486"/>
      <c r="G1477" s="486"/>
      <c r="H1477" s="486"/>
      <c r="I1477" s="486"/>
      <c r="J1477" s="486"/>
      <c r="K1477" s="486"/>
      <c r="L1477" s="486"/>
    </row>
    <row r="1478" spans="2:12" ht="22.25" customHeight="1">
      <c r="B1478" s="486"/>
      <c r="C1478" s="493"/>
      <c r="D1478" s="486"/>
      <c r="E1478" s="486"/>
      <c r="F1478" s="486"/>
      <c r="G1478" s="486"/>
      <c r="H1478" s="486"/>
      <c r="I1478" s="486"/>
      <c r="J1478" s="486"/>
      <c r="K1478" s="486"/>
      <c r="L1478" s="486"/>
    </row>
    <row r="1479" spans="2:12" ht="22.25" customHeight="1">
      <c r="B1479" s="486"/>
      <c r="C1479" s="493"/>
      <c r="D1479" s="486"/>
      <c r="E1479" s="486"/>
      <c r="F1479" s="486"/>
      <c r="G1479" s="486"/>
      <c r="H1479" s="486"/>
      <c r="I1479" s="486"/>
      <c r="J1479" s="486"/>
      <c r="K1479" s="486"/>
      <c r="L1479" s="486"/>
    </row>
    <row r="1480" spans="2:12" ht="22.25" customHeight="1">
      <c r="B1480" s="486"/>
      <c r="C1480" s="493"/>
      <c r="D1480" s="486"/>
      <c r="E1480" s="486"/>
      <c r="F1480" s="486"/>
      <c r="G1480" s="486"/>
      <c r="H1480" s="486"/>
      <c r="I1480" s="486"/>
      <c r="J1480" s="486"/>
      <c r="K1480" s="486"/>
      <c r="L1480" s="486"/>
    </row>
    <row r="1481" spans="2:12" ht="22.25" customHeight="1">
      <c r="B1481" s="486"/>
      <c r="C1481" s="493"/>
      <c r="D1481" s="486"/>
      <c r="E1481" s="486"/>
      <c r="F1481" s="486"/>
      <c r="G1481" s="486"/>
      <c r="H1481" s="486"/>
      <c r="I1481" s="486"/>
      <c r="J1481" s="486"/>
      <c r="K1481" s="486"/>
      <c r="L1481" s="486"/>
    </row>
    <row r="1482" spans="2:12" ht="22.25" customHeight="1">
      <c r="B1482" s="486"/>
      <c r="C1482" s="493"/>
      <c r="D1482" s="486"/>
      <c r="E1482" s="486"/>
      <c r="F1482" s="486"/>
      <c r="G1482" s="486"/>
      <c r="H1482" s="486"/>
      <c r="I1482" s="486"/>
      <c r="J1482" s="486"/>
      <c r="K1482" s="486"/>
      <c r="L1482" s="486"/>
    </row>
    <row r="1483" spans="2:12" ht="22.25" customHeight="1">
      <c r="B1483" s="486"/>
      <c r="C1483" s="493"/>
      <c r="D1483" s="486"/>
      <c r="E1483" s="486"/>
      <c r="F1483" s="486"/>
      <c r="G1483" s="486"/>
      <c r="H1483" s="486"/>
      <c r="I1483" s="486"/>
      <c r="J1483" s="486"/>
      <c r="K1483" s="486"/>
      <c r="L1483" s="486"/>
    </row>
    <row r="1484" spans="2:12" ht="22.25" customHeight="1">
      <c r="B1484" s="486"/>
      <c r="C1484" s="493"/>
      <c r="D1484" s="486"/>
      <c r="E1484" s="486"/>
      <c r="F1484" s="486"/>
      <c r="G1484" s="486"/>
      <c r="H1484" s="486"/>
      <c r="I1484" s="486"/>
      <c r="J1484" s="486"/>
      <c r="K1484" s="486"/>
      <c r="L1484" s="486"/>
    </row>
    <row r="1485" spans="2:12" ht="22.25" customHeight="1">
      <c r="B1485" s="486"/>
      <c r="C1485" s="493"/>
      <c r="D1485" s="486"/>
      <c r="E1485" s="486"/>
      <c r="F1485" s="486"/>
      <c r="G1485" s="486"/>
      <c r="H1485" s="486"/>
      <c r="I1485" s="486"/>
      <c r="J1485" s="486"/>
      <c r="K1485" s="486"/>
      <c r="L1485" s="486"/>
    </row>
    <row r="1486" spans="2:12" ht="22.25" customHeight="1">
      <c r="B1486" s="486"/>
      <c r="C1486" s="493"/>
      <c r="D1486" s="486"/>
      <c r="E1486" s="486"/>
      <c r="F1486" s="486"/>
      <c r="G1486" s="486"/>
      <c r="H1486" s="486"/>
      <c r="I1486" s="486"/>
      <c r="J1486" s="486"/>
      <c r="K1486" s="486"/>
      <c r="L1486" s="486"/>
    </row>
    <row r="1487" spans="2:12" ht="22.25" customHeight="1">
      <c r="B1487" s="486"/>
      <c r="C1487" s="493"/>
      <c r="D1487" s="486"/>
      <c r="E1487" s="486"/>
      <c r="F1487" s="486"/>
      <c r="G1487" s="486"/>
      <c r="H1487" s="486"/>
      <c r="I1487" s="486"/>
      <c r="J1487" s="486"/>
      <c r="K1487" s="486"/>
      <c r="L1487" s="486"/>
    </row>
    <row r="1488" spans="2:12" ht="22.25" customHeight="1">
      <c r="B1488" s="486"/>
      <c r="C1488" s="493"/>
      <c r="D1488" s="486"/>
      <c r="E1488" s="486"/>
      <c r="F1488" s="486"/>
      <c r="G1488" s="486"/>
      <c r="H1488" s="486"/>
      <c r="I1488" s="486"/>
      <c r="J1488" s="486"/>
      <c r="K1488" s="486"/>
      <c r="L1488" s="486"/>
    </row>
    <row r="1489" spans="2:12" ht="22.25" customHeight="1">
      <c r="B1489" s="486"/>
      <c r="C1489" s="493"/>
      <c r="D1489" s="486"/>
      <c r="E1489" s="486"/>
      <c r="F1489" s="486"/>
      <c r="G1489" s="486"/>
      <c r="H1489" s="486"/>
      <c r="I1489" s="486"/>
      <c r="J1489" s="486"/>
      <c r="K1489" s="486"/>
      <c r="L1489" s="486"/>
    </row>
    <row r="1490" spans="2:12" ht="22.25" customHeight="1">
      <c r="B1490" s="486"/>
      <c r="C1490" s="493"/>
      <c r="D1490" s="486"/>
      <c r="E1490" s="486"/>
      <c r="F1490" s="486"/>
      <c r="G1490" s="486"/>
      <c r="H1490" s="486"/>
      <c r="I1490" s="486"/>
      <c r="J1490" s="486"/>
      <c r="K1490" s="486"/>
      <c r="L1490" s="486"/>
    </row>
    <row r="1491" spans="2:12" ht="22.25" customHeight="1">
      <c r="B1491" s="486"/>
      <c r="C1491" s="493"/>
      <c r="D1491" s="486"/>
      <c r="E1491" s="486"/>
      <c r="F1491" s="486"/>
      <c r="G1491" s="486"/>
      <c r="H1491" s="486"/>
      <c r="I1491" s="486"/>
      <c r="J1491" s="486"/>
      <c r="K1491" s="486"/>
      <c r="L1491" s="486"/>
    </row>
    <row r="1492" spans="2:12" ht="22.25" customHeight="1">
      <c r="B1492" s="486"/>
      <c r="C1492" s="493"/>
      <c r="D1492" s="486"/>
      <c r="E1492" s="486"/>
      <c r="F1492" s="486"/>
      <c r="G1492" s="486"/>
      <c r="H1492" s="486"/>
      <c r="I1492" s="486"/>
      <c r="J1492" s="486"/>
      <c r="K1492" s="486"/>
      <c r="L1492" s="486"/>
    </row>
    <row r="1493" spans="2:12" ht="22.25" customHeight="1">
      <c r="B1493" s="486"/>
      <c r="C1493" s="493"/>
      <c r="D1493" s="486"/>
      <c r="E1493" s="486"/>
      <c r="F1493" s="486"/>
      <c r="G1493" s="486"/>
      <c r="H1493" s="486"/>
      <c r="I1493" s="486"/>
      <c r="J1493" s="486"/>
      <c r="K1493" s="486"/>
      <c r="L1493" s="486"/>
    </row>
    <row r="1494" spans="2:12" ht="22.25" customHeight="1">
      <c r="B1494" s="486"/>
      <c r="C1494" s="493"/>
      <c r="D1494" s="486"/>
      <c r="E1494" s="486"/>
      <c r="F1494" s="486"/>
      <c r="G1494" s="486"/>
      <c r="H1494" s="486"/>
      <c r="I1494" s="486"/>
      <c r="J1494" s="486"/>
      <c r="K1494" s="486"/>
      <c r="L1494" s="486"/>
    </row>
    <row r="1495" spans="2:12" ht="22.25" customHeight="1">
      <c r="B1495" s="486"/>
      <c r="C1495" s="493"/>
      <c r="D1495" s="486"/>
      <c r="E1495" s="486"/>
      <c r="F1495" s="486"/>
      <c r="G1495" s="486"/>
      <c r="H1495" s="486"/>
      <c r="I1495" s="486"/>
      <c r="J1495" s="486"/>
      <c r="K1495" s="486"/>
      <c r="L1495" s="486"/>
    </row>
    <row r="1496" spans="2:12" ht="22.25" customHeight="1">
      <c r="B1496" s="486"/>
      <c r="C1496" s="493"/>
      <c r="D1496" s="486"/>
      <c r="E1496" s="486"/>
      <c r="F1496" s="486"/>
      <c r="G1496" s="486"/>
      <c r="H1496" s="486"/>
      <c r="I1496" s="486"/>
      <c r="J1496" s="486"/>
      <c r="K1496" s="486"/>
      <c r="L1496" s="486"/>
    </row>
    <row r="1497" spans="2:12" ht="22.25" customHeight="1">
      <c r="B1497" s="486"/>
      <c r="C1497" s="493"/>
      <c r="D1497" s="486"/>
      <c r="E1497" s="486"/>
      <c r="F1497" s="486"/>
      <c r="G1497" s="486"/>
      <c r="H1497" s="486"/>
      <c r="I1497" s="486"/>
      <c r="J1497" s="486"/>
      <c r="K1497" s="486"/>
      <c r="L1497" s="486"/>
    </row>
    <row r="1498" spans="2:12" ht="22.25" customHeight="1">
      <c r="B1498" s="486"/>
      <c r="C1498" s="493"/>
      <c r="D1498" s="486"/>
      <c r="E1498" s="486"/>
      <c r="F1498" s="486"/>
      <c r="G1498" s="486"/>
      <c r="H1498" s="486"/>
      <c r="I1498" s="486"/>
      <c r="J1498" s="486"/>
      <c r="K1498" s="486"/>
      <c r="L1498" s="486"/>
    </row>
    <row r="1499" spans="2:12" ht="22.25" customHeight="1">
      <c r="B1499" s="486"/>
      <c r="C1499" s="493"/>
      <c r="D1499" s="486"/>
      <c r="E1499" s="486"/>
      <c r="F1499" s="486"/>
      <c r="G1499" s="486"/>
      <c r="H1499" s="486"/>
      <c r="I1499" s="486"/>
      <c r="J1499" s="486"/>
      <c r="K1499" s="486"/>
      <c r="L1499" s="486"/>
    </row>
    <row r="1500" spans="2:12" ht="22.25" customHeight="1">
      <c r="B1500" s="486"/>
      <c r="C1500" s="493"/>
      <c r="D1500" s="486"/>
      <c r="E1500" s="486"/>
      <c r="F1500" s="486"/>
      <c r="G1500" s="486"/>
      <c r="H1500" s="486"/>
      <c r="I1500" s="486"/>
      <c r="J1500" s="486"/>
      <c r="K1500" s="486"/>
      <c r="L1500" s="486"/>
    </row>
    <row r="1501" spans="2:12" ht="22.25" customHeight="1">
      <c r="B1501" s="486"/>
      <c r="C1501" s="493"/>
      <c r="D1501" s="486"/>
      <c r="E1501" s="486"/>
      <c r="F1501" s="486"/>
      <c r="G1501" s="486"/>
      <c r="H1501" s="486"/>
      <c r="I1501" s="486"/>
      <c r="J1501" s="486"/>
      <c r="K1501" s="486"/>
      <c r="L1501" s="486"/>
    </row>
    <row r="1502" spans="2:12" ht="22.25" customHeight="1">
      <c r="B1502" s="486"/>
      <c r="C1502" s="493"/>
      <c r="D1502" s="486"/>
      <c r="E1502" s="486"/>
      <c r="F1502" s="486"/>
      <c r="G1502" s="486"/>
      <c r="H1502" s="486"/>
      <c r="I1502" s="486"/>
      <c r="J1502" s="486"/>
      <c r="K1502" s="486"/>
      <c r="L1502" s="486"/>
    </row>
    <row r="1503" spans="2:12" ht="22.25" customHeight="1">
      <c r="B1503" s="486"/>
      <c r="C1503" s="493"/>
      <c r="D1503" s="486"/>
      <c r="E1503" s="486"/>
      <c r="F1503" s="486"/>
      <c r="G1503" s="486"/>
      <c r="H1503" s="486"/>
      <c r="I1503" s="486"/>
      <c r="J1503" s="486"/>
      <c r="K1503" s="486"/>
      <c r="L1503" s="486"/>
    </row>
    <row r="1504" spans="2:12" ht="22.25" customHeight="1">
      <c r="B1504" s="486"/>
      <c r="C1504" s="493"/>
      <c r="D1504" s="486"/>
      <c r="E1504" s="486"/>
      <c r="F1504" s="486"/>
      <c r="G1504" s="486"/>
      <c r="H1504" s="486"/>
      <c r="I1504" s="486"/>
      <c r="J1504" s="486"/>
      <c r="K1504" s="486"/>
      <c r="L1504" s="486"/>
    </row>
    <row r="1505" spans="2:12" ht="22.25" customHeight="1">
      <c r="B1505" s="486"/>
      <c r="C1505" s="493"/>
      <c r="D1505" s="486"/>
      <c r="E1505" s="486"/>
      <c r="F1505" s="486"/>
      <c r="G1505" s="486"/>
      <c r="H1505" s="486"/>
      <c r="I1505" s="486"/>
      <c r="J1505" s="486"/>
      <c r="K1505" s="486"/>
      <c r="L1505" s="486"/>
    </row>
    <row r="1506" spans="2:12" ht="22.25" customHeight="1">
      <c r="B1506" s="486"/>
      <c r="C1506" s="493"/>
      <c r="D1506" s="486"/>
      <c r="E1506" s="486"/>
      <c r="F1506" s="486"/>
      <c r="G1506" s="486"/>
      <c r="H1506" s="486"/>
      <c r="I1506" s="486"/>
      <c r="J1506" s="486"/>
      <c r="K1506" s="486"/>
      <c r="L1506" s="486"/>
    </row>
    <row r="1507" spans="2:12" ht="22.25" customHeight="1">
      <c r="B1507" s="486"/>
      <c r="C1507" s="493"/>
      <c r="D1507" s="486"/>
      <c r="E1507" s="486"/>
      <c r="F1507" s="486"/>
      <c r="G1507" s="486"/>
      <c r="H1507" s="486"/>
      <c r="I1507" s="486"/>
      <c r="J1507" s="486"/>
      <c r="K1507" s="486"/>
      <c r="L1507" s="486"/>
    </row>
    <row r="1508" spans="2:12" ht="22.25" customHeight="1">
      <c r="B1508" s="486"/>
      <c r="C1508" s="493"/>
      <c r="D1508" s="486"/>
      <c r="E1508" s="486"/>
      <c r="F1508" s="486"/>
      <c r="G1508" s="486"/>
      <c r="H1508" s="486"/>
      <c r="I1508" s="486"/>
      <c r="J1508" s="486"/>
      <c r="K1508" s="486"/>
      <c r="L1508" s="486"/>
    </row>
    <row r="1509" spans="2:12" ht="22.25" customHeight="1">
      <c r="B1509" s="486"/>
      <c r="C1509" s="493"/>
      <c r="D1509" s="486"/>
      <c r="E1509" s="486"/>
      <c r="F1509" s="486"/>
      <c r="G1509" s="486"/>
      <c r="H1509" s="486"/>
      <c r="I1509" s="486"/>
      <c r="J1509" s="486"/>
      <c r="K1509" s="486"/>
      <c r="L1509" s="486"/>
    </row>
    <row r="1510" spans="2:12" ht="22.25" customHeight="1">
      <c r="B1510" s="486"/>
      <c r="C1510" s="493"/>
      <c r="D1510" s="486"/>
      <c r="E1510" s="486"/>
      <c r="F1510" s="486"/>
      <c r="G1510" s="486"/>
      <c r="H1510" s="486"/>
      <c r="I1510" s="486"/>
      <c r="J1510" s="486"/>
      <c r="K1510" s="486"/>
      <c r="L1510" s="486"/>
    </row>
    <row r="1511" spans="2:12" ht="22.25" customHeight="1">
      <c r="B1511" s="486"/>
      <c r="C1511" s="493"/>
      <c r="D1511" s="486"/>
      <c r="E1511" s="486"/>
      <c r="F1511" s="486"/>
      <c r="G1511" s="486"/>
      <c r="H1511" s="486"/>
      <c r="I1511" s="486"/>
      <c r="J1511" s="486"/>
      <c r="K1511" s="486"/>
      <c r="L1511" s="486"/>
    </row>
    <row r="1512" spans="2:12" ht="22.25" customHeight="1">
      <c r="B1512" s="486"/>
      <c r="C1512" s="493"/>
      <c r="D1512" s="486"/>
      <c r="E1512" s="486"/>
      <c r="F1512" s="486"/>
      <c r="G1512" s="486"/>
      <c r="H1512" s="486"/>
      <c r="I1512" s="486"/>
      <c r="J1512" s="486"/>
      <c r="K1512" s="486"/>
      <c r="L1512" s="486"/>
    </row>
    <row r="1513" spans="2:12" ht="22.25" customHeight="1">
      <c r="B1513" s="486"/>
      <c r="C1513" s="493"/>
      <c r="D1513" s="486"/>
      <c r="E1513" s="486"/>
      <c r="F1513" s="486"/>
      <c r="G1513" s="486"/>
      <c r="H1513" s="486"/>
      <c r="I1513" s="486"/>
      <c r="J1513" s="486"/>
      <c r="K1513" s="486"/>
      <c r="L1513" s="486"/>
    </row>
    <row r="1514" spans="2:12" ht="22.25" customHeight="1">
      <c r="B1514" s="486"/>
      <c r="C1514" s="493"/>
      <c r="D1514" s="486"/>
      <c r="E1514" s="486"/>
      <c r="F1514" s="486"/>
      <c r="G1514" s="486"/>
      <c r="H1514" s="486"/>
      <c r="I1514" s="486"/>
      <c r="J1514" s="486"/>
      <c r="K1514" s="486"/>
      <c r="L1514" s="486"/>
    </row>
    <row r="1515" spans="2:12" ht="22.25" customHeight="1">
      <c r="B1515" s="486"/>
      <c r="C1515" s="493"/>
      <c r="D1515" s="486"/>
      <c r="E1515" s="486"/>
      <c r="F1515" s="486"/>
      <c r="G1515" s="486"/>
      <c r="H1515" s="486"/>
      <c r="I1515" s="486"/>
      <c r="J1515" s="486"/>
      <c r="K1515" s="486"/>
      <c r="L1515" s="486"/>
    </row>
    <row r="1516" spans="2:12" ht="22.25" customHeight="1">
      <c r="B1516" s="486"/>
      <c r="C1516" s="493"/>
      <c r="D1516" s="486"/>
      <c r="E1516" s="486"/>
      <c r="F1516" s="486"/>
      <c r="G1516" s="486"/>
      <c r="H1516" s="486"/>
      <c r="I1516" s="486"/>
      <c r="J1516" s="486"/>
      <c r="K1516" s="486"/>
      <c r="L1516" s="486"/>
    </row>
    <row r="1517" spans="2:12" ht="22.25" customHeight="1">
      <c r="B1517" s="486"/>
      <c r="C1517" s="493"/>
      <c r="D1517" s="486"/>
      <c r="E1517" s="486"/>
      <c r="F1517" s="486"/>
      <c r="G1517" s="486"/>
      <c r="H1517" s="486"/>
      <c r="I1517" s="486"/>
      <c r="J1517" s="486"/>
      <c r="K1517" s="486"/>
      <c r="L1517" s="486"/>
    </row>
    <row r="1518" spans="2:12" ht="22.25" customHeight="1">
      <c r="B1518" s="486"/>
      <c r="C1518" s="493"/>
      <c r="D1518" s="486"/>
      <c r="E1518" s="486"/>
      <c r="F1518" s="486"/>
      <c r="G1518" s="486"/>
      <c r="H1518" s="486"/>
      <c r="I1518" s="486"/>
      <c r="J1518" s="486"/>
      <c r="K1518" s="486"/>
      <c r="L1518" s="486"/>
    </row>
    <row r="1519" spans="2:12" ht="22.25" customHeight="1">
      <c r="B1519" s="486"/>
      <c r="C1519" s="493"/>
      <c r="D1519" s="486"/>
      <c r="E1519" s="486"/>
      <c r="F1519" s="486"/>
      <c r="G1519" s="486"/>
      <c r="H1519" s="486"/>
      <c r="I1519" s="486"/>
      <c r="J1519" s="486"/>
      <c r="K1519" s="486"/>
      <c r="L1519" s="486"/>
    </row>
    <row r="1520" spans="2:12" ht="22.25" customHeight="1">
      <c r="B1520" s="486"/>
      <c r="C1520" s="493"/>
      <c r="D1520" s="486"/>
      <c r="E1520" s="486"/>
      <c r="F1520" s="486"/>
      <c r="G1520" s="486"/>
      <c r="H1520" s="486"/>
      <c r="I1520" s="486"/>
      <c r="J1520" s="486"/>
      <c r="K1520" s="486"/>
      <c r="L1520" s="486"/>
    </row>
    <row r="1521" spans="2:12" ht="22.25" customHeight="1">
      <c r="B1521" s="486"/>
      <c r="C1521" s="493"/>
      <c r="D1521" s="486"/>
      <c r="E1521" s="486"/>
      <c r="F1521" s="486"/>
      <c r="G1521" s="486"/>
      <c r="H1521" s="486"/>
      <c r="I1521" s="486"/>
      <c r="J1521" s="486"/>
      <c r="K1521" s="486"/>
      <c r="L1521" s="486"/>
    </row>
    <row r="1522" spans="2:12" ht="22.25" customHeight="1">
      <c r="B1522" s="486"/>
      <c r="C1522" s="493"/>
      <c r="D1522" s="486"/>
      <c r="E1522" s="486"/>
      <c r="F1522" s="486"/>
      <c r="G1522" s="486"/>
      <c r="H1522" s="486"/>
      <c r="I1522" s="486"/>
      <c r="J1522" s="486"/>
      <c r="K1522" s="486"/>
      <c r="L1522" s="486"/>
    </row>
    <row r="1523" spans="2:12" ht="22.25" customHeight="1">
      <c r="B1523" s="486"/>
      <c r="C1523" s="493"/>
      <c r="D1523" s="486"/>
      <c r="E1523" s="486"/>
      <c r="F1523" s="486"/>
      <c r="G1523" s="486"/>
      <c r="H1523" s="486"/>
      <c r="I1523" s="486"/>
      <c r="J1523" s="486"/>
      <c r="K1523" s="486"/>
      <c r="L1523" s="486"/>
    </row>
    <row r="1524" spans="2:12" ht="22.25" customHeight="1">
      <c r="B1524" s="486"/>
      <c r="C1524" s="493"/>
      <c r="D1524" s="486"/>
      <c r="E1524" s="486"/>
      <c r="F1524" s="486"/>
      <c r="G1524" s="486"/>
      <c r="H1524" s="486"/>
      <c r="I1524" s="486"/>
      <c r="J1524" s="486"/>
      <c r="K1524" s="486"/>
      <c r="L1524" s="486"/>
    </row>
    <row r="1525" spans="2:12" ht="22.25" customHeight="1">
      <c r="B1525" s="486"/>
      <c r="C1525" s="493"/>
      <c r="D1525" s="486"/>
      <c r="E1525" s="486"/>
      <c r="F1525" s="486"/>
      <c r="G1525" s="486"/>
      <c r="H1525" s="486"/>
      <c r="I1525" s="486"/>
      <c r="J1525" s="486"/>
      <c r="K1525" s="486"/>
      <c r="L1525" s="486"/>
    </row>
    <row r="1526" spans="2:12" ht="22.25" customHeight="1">
      <c r="B1526" s="486"/>
      <c r="C1526" s="493"/>
      <c r="D1526" s="486"/>
      <c r="E1526" s="486"/>
      <c r="F1526" s="486"/>
      <c r="G1526" s="486"/>
      <c r="H1526" s="486"/>
      <c r="I1526" s="486"/>
      <c r="J1526" s="486"/>
      <c r="K1526" s="486"/>
      <c r="L1526" s="486"/>
    </row>
    <row r="1527" spans="2:12" ht="22.25" customHeight="1">
      <c r="B1527" s="486"/>
      <c r="C1527" s="493"/>
      <c r="D1527" s="486"/>
      <c r="E1527" s="486"/>
      <c r="F1527" s="486"/>
      <c r="G1527" s="486"/>
      <c r="H1527" s="486"/>
      <c r="I1527" s="486"/>
      <c r="J1527" s="486"/>
      <c r="K1527" s="486"/>
      <c r="L1527" s="486"/>
    </row>
    <row r="1528" spans="2:12" ht="22.25" customHeight="1">
      <c r="B1528" s="486"/>
      <c r="C1528" s="493"/>
      <c r="D1528" s="486"/>
      <c r="E1528" s="486"/>
      <c r="F1528" s="486"/>
      <c r="G1528" s="486"/>
      <c r="H1528" s="486"/>
      <c r="I1528" s="486"/>
      <c r="J1528" s="486"/>
      <c r="K1528" s="486"/>
      <c r="L1528" s="486"/>
    </row>
    <row r="1529" spans="2:12" ht="22.25" customHeight="1">
      <c r="B1529" s="486"/>
      <c r="C1529" s="493"/>
      <c r="D1529" s="486"/>
      <c r="E1529" s="486"/>
      <c r="F1529" s="486"/>
      <c r="G1529" s="486"/>
      <c r="H1529" s="486"/>
      <c r="I1529" s="486"/>
      <c r="J1529" s="486"/>
      <c r="K1529" s="486"/>
      <c r="L1529" s="486"/>
    </row>
    <row r="1530" spans="2:12" ht="22.25" customHeight="1">
      <c r="B1530" s="486"/>
      <c r="C1530" s="493"/>
      <c r="D1530" s="486"/>
      <c r="E1530" s="486"/>
      <c r="F1530" s="486"/>
      <c r="G1530" s="486"/>
      <c r="H1530" s="486"/>
      <c r="I1530" s="486"/>
      <c r="J1530" s="486"/>
      <c r="K1530" s="486"/>
      <c r="L1530" s="486"/>
    </row>
    <row r="1531" spans="2:12" ht="22.25" customHeight="1">
      <c r="B1531" s="486"/>
      <c r="C1531" s="493"/>
      <c r="D1531" s="486"/>
      <c r="E1531" s="486"/>
      <c r="F1531" s="486"/>
      <c r="G1531" s="486"/>
      <c r="H1531" s="486"/>
      <c r="I1531" s="486"/>
      <c r="J1531" s="486"/>
      <c r="K1531" s="486"/>
      <c r="L1531" s="486"/>
    </row>
    <row r="1532" spans="2:12" ht="22.25" customHeight="1">
      <c r="B1532" s="486"/>
      <c r="C1532" s="493"/>
      <c r="D1532" s="486"/>
      <c r="E1532" s="486"/>
      <c r="F1532" s="486"/>
      <c r="G1532" s="486"/>
      <c r="H1532" s="486"/>
      <c r="I1532" s="486"/>
      <c r="J1532" s="486"/>
      <c r="K1532" s="486"/>
      <c r="L1532" s="486"/>
    </row>
    <row r="1533" spans="2:12" ht="22.25" customHeight="1">
      <c r="B1533" s="486"/>
      <c r="C1533" s="493"/>
      <c r="D1533" s="486"/>
      <c r="E1533" s="486"/>
      <c r="F1533" s="486"/>
      <c r="G1533" s="486"/>
      <c r="H1533" s="486"/>
      <c r="I1533" s="486"/>
      <c r="J1533" s="486"/>
      <c r="K1533" s="486"/>
      <c r="L1533" s="486"/>
    </row>
    <row r="1534" spans="2:12" ht="22.25" customHeight="1">
      <c r="B1534" s="486"/>
      <c r="C1534" s="493"/>
      <c r="D1534" s="486"/>
      <c r="E1534" s="486"/>
      <c r="F1534" s="486"/>
      <c r="G1534" s="486"/>
      <c r="H1534" s="486"/>
      <c r="I1534" s="486"/>
      <c r="J1534" s="486"/>
      <c r="K1534" s="486"/>
      <c r="L1534" s="486"/>
    </row>
    <row r="1535" spans="2:12" ht="22.25" customHeight="1">
      <c r="B1535" s="486"/>
      <c r="C1535" s="493"/>
      <c r="D1535" s="486"/>
      <c r="E1535" s="486"/>
      <c r="F1535" s="486"/>
      <c r="G1535" s="486"/>
      <c r="H1535" s="486"/>
      <c r="I1535" s="486"/>
      <c r="J1535" s="486"/>
      <c r="K1535" s="486"/>
      <c r="L1535" s="486"/>
    </row>
    <row r="1536" spans="2:12" ht="22.25" customHeight="1">
      <c r="B1536" s="486"/>
      <c r="C1536" s="493"/>
      <c r="D1536" s="486"/>
      <c r="E1536" s="486"/>
      <c r="F1536" s="486"/>
      <c r="G1536" s="486"/>
      <c r="H1536" s="486"/>
      <c r="I1536" s="486"/>
      <c r="J1536" s="486"/>
      <c r="K1536" s="486"/>
      <c r="L1536" s="486"/>
    </row>
    <row r="1537" spans="2:12" ht="22.25" customHeight="1">
      <c r="B1537" s="486"/>
      <c r="C1537" s="493"/>
      <c r="D1537" s="486"/>
      <c r="E1537" s="486"/>
      <c r="F1537" s="486"/>
      <c r="G1537" s="486"/>
      <c r="H1537" s="486"/>
      <c r="I1537" s="486"/>
      <c r="J1537" s="486"/>
      <c r="K1537" s="486"/>
      <c r="L1537" s="486"/>
    </row>
  </sheetData>
  <autoFilter ref="A5:AV405" xr:uid="{3E8ABF67-B825-4DB6-B35D-76DF9DD5BEAC}">
    <filterColumn colId="2" showButton="0"/>
    <filterColumn colId="3" showButton="0"/>
  </autoFilter>
  <mergeCells count="30">
    <mergeCell ref="M4:M5"/>
    <mergeCell ref="N4:N5"/>
    <mergeCell ref="O4:O5"/>
    <mergeCell ref="P4:P5"/>
    <mergeCell ref="Q4:Q5"/>
    <mergeCell ref="R4:R5"/>
    <mergeCell ref="S1:S2"/>
    <mergeCell ref="T1:T2"/>
    <mergeCell ref="U1:U2"/>
    <mergeCell ref="V4:V5"/>
    <mergeCell ref="W4:AE4"/>
    <mergeCell ref="W1:AE1"/>
    <mergeCell ref="S4:S5"/>
    <mergeCell ref="A4:A5"/>
    <mergeCell ref="B4:B5"/>
    <mergeCell ref="C4:E5"/>
    <mergeCell ref="K4:K5"/>
    <mergeCell ref="J4:J5"/>
    <mergeCell ref="I4:I5"/>
    <mergeCell ref="F4:H4"/>
    <mergeCell ref="A1:L1"/>
    <mergeCell ref="A2:L2"/>
    <mergeCell ref="A3:L3"/>
    <mergeCell ref="D895:E895"/>
    <mergeCell ref="V1:V2"/>
    <mergeCell ref="T4:T5"/>
    <mergeCell ref="U4:U5"/>
    <mergeCell ref="Q1:Q2"/>
    <mergeCell ref="R1:R2"/>
    <mergeCell ref="L4:L5"/>
  </mergeCells>
  <phoneticPr fontId="44" type="noConversion"/>
  <printOptions horizontalCentered="1"/>
  <pageMargins left="0.5" right="0.25" top="0.5" bottom="0" header="0" footer="0"/>
  <pageSetup paperSize="9" scale="95" orientation="portrait" horizontalDpi="360" verticalDpi="360" r:id="rId1"/>
  <headerFooter>
    <oddHeader>Page &amp;P of &amp;N</oddHeader>
    <oddFooter>&amp;R
&amp;G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A909-0E86-40EC-B17E-1037221F1CC8}">
  <dimension ref="A1:V290"/>
  <sheetViews>
    <sheetView view="pageBreakPreview" zoomScale="110" zoomScaleNormal="100" zoomScaleSheetLayoutView="110" workbookViewId="0">
      <pane ySplit="4" topLeftCell="A26" activePane="bottomLeft" state="frozen"/>
      <selection activeCell="B223" sqref="B223"/>
      <selection pane="bottomLeft" activeCell="F38" sqref="F38"/>
    </sheetView>
  </sheetViews>
  <sheetFormatPr defaultColWidth="9.36328125" defaultRowHeight="23.15" customHeight="1"/>
  <cols>
    <col min="1" max="1" width="4.54296875" style="425" customWidth="1"/>
    <col min="2" max="2" width="31.08984375" style="393" customWidth="1"/>
    <col min="3" max="3" width="8.453125" style="425" customWidth="1"/>
    <col min="4" max="4" width="7.453125" style="518" hidden="1" customWidth="1"/>
    <col min="5" max="5" width="4.90625" style="393" customWidth="1"/>
    <col min="6" max="6" width="14.54296875" style="426" customWidth="1"/>
    <col min="7" max="7" width="6" style="393" customWidth="1"/>
    <col min="8" max="8" width="13.453125" style="392" customWidth="1"/>
    <col min="9" max="9" width="12.90625" style="519" customWidth="1"/>
    <col min="10" max="10" width="17.6328125" style="392" customWidth="1"/>
    <col min="11" max="12" width="16.6328125" style="392" customWidth="1"/>
    <col min="13" max="16384" width="9.36328125" style="393"/>
  </cols>
  <sheetData>
    <row r="1" spans="1:12" ht="23.15" customHeight="1">
      <c r="A1" s="1111" t="str">
        <f>Detail!A1</f>
        <v>One Storeyed RCC Building, Myat Lay Street</v>
      </c>
      <c r="B1" s="1111"/>
      <c r="C1" s="1111"/>
      <c r="D1" s="1111"/>
      <c r="E1" s="1111"/>
      <c r="F1" s="1111"/>
      <c r="G1" s="1111"/>
      <c r="H1" s="1111"/>
      <c r="I1" s="1111"/>
    </row>
    <row r="2" spans="1:12" s="405" customFormat="1" ht="23.15" customHeight="1">
      <c r="A2" s="1110" t="str">
        <f>Detail!A2</f>
        <v>35'-0"x45'-0"x13'-0" Ht;</v>
      </c>
      <c r="B2" s="1110"/>
      <c r="C2" s="1110"/>
      <c r="D2" s="1110"/>
      <c r="E2" s="1110"/>
      <c r="F2" s="1110"/>
      <c r="G2" s="1110"/>
      <c r="H2" s="1110"/>
      <c r="I2" s="1110"/>
      <c r="J2" s="423"/>
      <c r="K2" s="423"/>
      <c r="L2" s="423"/>
    </row>
    <row r="3" spans="1:12" ht="23.15" customHeight="1" thickBot="1">
      <c r="A3" s="1179" t="s">
        <v>400</v>
      </c>
      <c r="B3" s="1179"/>
      <c r="C3" s="1179"/>
      <c r="D3" s="1179"/>
      <c r="E3" s="1179"/>
      <c r="F3" s="1179"/>
      <c r="G3" s="1179"/>
      <c r="H3" s="1179"/>
      <c r="I3" s="1179"/>
      <c r="J3" s="427"/>
      <c r="K3" s="404"/>
      <c r="L3" s="423"/>
    </row>
    <row r="4" spans="1:12" s="390" customFormat="1" ht="36.5" customHeight="1" thickBot="1">
      <c r="A4" s="580" t="s">
        <v>3</v>
      </c>
      <c r="B4" s="581" t="s">
        <v>31</v>
      </c>
      <c r="C4" s="582" t="s">
        <v>32</v>
      </c>
      <c r="D4" s="583"/>
      <c r="E4" s="583" t="s">
        <v>0</v>
      </c>
      <c r="F4" s="584" t="s">
        <v>99</v>
      </c>
      <c r="G4" s="583" t="s">
        <v>34</v>
      </c>
      <c r="H4" s="585" t="s">
        <v>35</v>
      </c>
      <c r="I4" s="586" t="s">
        <v>308</v>
      </c>
      <c r="J4" s="422" t="s">
        <v>46</v>
      </c>
      <c r="K4" s="389" t="s">
        <v>6</v>
      </c>
      <c r="L4" s="423"/>
    </row>
    <row r="5" spans="1:12" ht="22.25" customHeight="1">
      <c r="A5" s="496">
        <v>1</v>
      </c>
      <c r="B5" s="497" t="s">
        <v>64</v>
      </c>
      <c r="C5" s="577">
        <f>ROUND(D5,2)</f>
        <v>1</v>
      </c>
      <c r="D5" s="578">
        <v>1</v>
      </c>
      <c r="E5" s="496" t="s">
        <v>220</v>
      </c>
      <c r="F5" s="320"/>
      <c r="G5" s="318"/>
      <c r="H5" s="579"/>
      <c r="I5" s="520"/>
      <c r="L5" s="423"/>
    </row>
    <row r="6" spans="1:12" ht="22.25" customHeight="1">
      <c r="A6" s="302"/>
      <c r="B6" s="429" t="s">
        <v>66</v>
      </c>
      <c r="C6" s="329"/>
      <c r="D6" s="430"/>
      <c r="E6" s="302"/>
      <c r="F6" s="301"/>
      <c r="G6" s="302"/>
      <c r="H6" s="362"/>
      <c r="I6" s="521"/>
      <c r="L6" s="423"/>
    </row>
    <row r="7" spans="1:12" ht="22.25" customHeight="1" thickBot="1">
      <c r="A7" s="302"/>
      <c r="B7" s="431" t="s">
        <v>67</v>
      </c>
      <c r="C7" s="329">
        <f>ROUND(D7,2)</f>
        <v>0.25</v>
      </c>
      <c r="D7" s="430">
        <f>D5*0.25</f>
        <v>0.25</v>
      </c>
      <c r="E7" s="302" t="s">
        <v>3</v>
      </c>
      <c r="F7" s="325">
        <f>VLOOKUP(B7,BQ!$B$6:$E$111,4,FALSE)</f>
        <v>21780</v>
      </c>
      <c r="G7" s="326" t="s">
        <v>3</v>
      </c>
      <c r="H7" s="363">
        <f>F7*C7</f>
        <v>5445</v>
      </c>
      <c r="I7" s="521"/>
      <c r="K7" s="392">
        <f>H7</f>
        <v>5445</v>
      </c>
    </row>
    <row r="8" spans="1:12" ht="22.25" customHeight="1" thickBot="1">
      <c r="A8" s="302"/>
      <c r="B8" s="421"/>
      <c r="C8" s="329"/>
      <c r="D8" s="430"/>
      <c r="E8" s="432"/>
      <c r="F8" s="555" t="s">
        <v>266</v>
      </c>
      <c r="G8" s="503" t="s">
        <v>221</v>
      </c>
      <c r="H8" s="435">
        <f>SUM(H7)</f>
        <v>5445</v>
      </c>
      <c r="I8" s="522"/>
      <c r="J8" s="398"/>
      <c r="K8" s="398"/>
      <c r="L8" s="398"/>
    </row>
    <row r="9" spans="1:12" ht="22.25" customHeight="1" thickTop="1">
      <c r="A9" s="302"/>
      <c r="B9" s="421"/>
      <c r="C9" s="329"/>
      <c r="D9" s="430"/>
      <c r="E9" s="432"/>
      <c r="F9" s="320"/>
      <c r="G9" s="436"/>
      <c r="H9" s="437"/>
      <c r="I9" s="523"/>
      <c r="J9" s="398"/>
      <c r="K9" s="398"/>
      <c r="L9" s="398"/>
    </row>
    <row r="10" spans="1:12" ht="22.25" customHeight="1">
      <c r="A10" s="312">
        <f>A5+1</f>
        <v>2</v>
      </c>
      <c r="B10" s="438" t="s">
        <v>347</v>
      </c>
      <c r="C10" s="428">
        <f>ROUND(D10,2)</f>
        <v>1</v>
      </c>
      <c r="D10" s="439">
        <v>1</v>
      </c>
      <c r="E10" s="312" t="s">
        <v>220</v>
      </c>
      <c r="F10" s="440"/>
      <c r="G10" s="441"/>
      <c r="H10" s="442"/>
      <c r="I10" s="521"/>
      <c r="K10" s="392" t="s">
        <v>114</v>
      </c>
    </row>
    <row r="11" spans="1:12" ht="22.25" customHeight="1">
      <c r="A11" s="312"/>
      <c r="B11" s="443" t="s">
        <v>65</v>
      </c>
      <c r="C11" s="428"/>
      <c r="D11" s="439"/>
      <c r="E11" s="313"/>
      <c r="F11" s="440"/>
      <c r="G11" s="441"/>
      <c r="H11" s="442"/>
      <c r="I11" s="521"/>
    </row>
    <row r="12" spans="1:12" ht="22.25" customHeight="1">
      <c r="A12" s="302"/>
      <c r="B12" s="431" t="s">
        <v>26</v>
      </c>
      <c r="C12" s="432">
        <f>ROUND(D12,3)</f>
        <v>2E-3</v>
      </c>
      <c r="D12" s="444">
        <f>(C10/100*30/50/4)</f>
        <v>1.5E-3</v>
      </c>
      <c r="E12" s="445" t="s">
        <v>9</v>
      </c>
      <c r="F12" s="325">
        <f>VLOOKUP(B12,BQ!$B$6:$E$111,4,FALSE)</f>
        <v>1250000</v>
      </c>
      <c r="G12" s="302" t="s">
        <v>3</v>
      </c>
      <c r="H12" s="362">
        <f>F12*C12</f>
        <v>2500</v>
      </c>
      <c r="I12" s="521"/>
      <c r="J12" s="392">
        <f>H12</f>
        <v>2500</v>
      </c>
    </row>
    <row r="13" spans="1:12" ht="22.25" customHeight="1">
      <c r="A13" s="302"/>
      <c r="B13" s="431" t="s">
        <v>21</v>
      </c>
      <c r="C13" s="329">
        <f>ROUND(D13,2)</f>
        <v>0.02</v>
      </c>
      <c r="D13" s="430">
        <f>(C10/100*7.5)/3.6</f>
        <v>2.0833333333333332E-2</v>
      </c>
      <c r="E13" s="445" t="s">
        <v>368</v>
      </c>
      <c r="F13" s="325">
        <f>VLOOKUP(B13,BQ!$B$6:$E$111,4,FALSE)</f>
        <v>11600</v>
      </c>
      <c r="G13" s="302" t="s">
        <v>3</v>
      </c>
      <c r="H13" s="362">
        <f>F13*C13</f>
        <v>232</v>
      </c>
      <c r="I13" s="521"/>
      <c r="J13" s="392">
        <f>H13</f>
        <v>232</v>
      </c>
    </row>
    <row r="14" spans="1:12" ht="22.25" customHeight="1">
      <c r="A14" s="302"/>
      <c r="B14" s="446"/>
      <c r="C14" s="329"/>
      <c r="D14" s="430"/>
      <c r="E14" s="445"/>
      <c r="F14" s="301"/>
      <c r="G14" s="302"/>
      <c r="H14" s="362">
        <f>SUM(H12:H13)</f>
        <v>2732</v>
      </c>
      <c r="I14" s="521"/>
    </row>
    <row r="15" spans="1:12" ht="22.25" customHeight="1">
      <c r="A15" s="302"/>
      <c r="B15" s="443" t="s">
        <v>66</v>
      </c>
      <c r="C15" s="329"/>
      <c r="D15" s="430"/>
      <c r="E15" s="313"/>
      <c r="F15" s="301"/>
      <c r="G15" s="302"/>
      <c r="H15" s="362"/>
      <c r="I15" s="521"/>
    </row>
    <row r="16" spans="1:12" ht="22.25" customHeight="1">
      <c r="A16" s="302"/>
      <c r="B16" s="431" t="s">
        <v>143</v>
      </c>
      <c r="C16" s="329">
        <f>ROUND(D16,2)</f>
        <v>0.01</v>
      </c>
      <c r="D16" s="430">
        <f>C10/100*1</f>
        <v>0.01</v>
      </c>
      <c r="E16" s="313" t="s">
        <v>3</v>
      </c>
      <c r="F16" s="325">
        <f>VLOOKUP(B16,BQ!$B$6:$E$111,4,FALSE)</f>
        <v>30250.000000000004</v>
      </c>
      <c r="G16" s="302" t="s">
        <v>3</v>
      </c>
      <c r="H16" s="362">
        <f>F16*C16</f>
        <v>302.50000000000006</v>
      </c>
      <c r="I16" s="521"/>
      <c r="K16" s="392">
        <f>H16</f>
        <v>302.50000000000006</v>
      </c>
    </row>
    <row r="17" spans="1:12" ht="22.25" customHeight="1">
      <c r="A17" s="302"/>
      <c r="B17" s="431" t="s">
        <v>68</v>
      </c>
      <c r="C17" s="329">
        <f>ROUND(D17,2)</f>
        <v>0.05</v>
      </c>
      <c r="D17" s="430">
        <f>C10/100*5</f>
        <v>0.05</v>
      </c>
      <c r="E17" s="313" t="s">
        <v>3</v>
      </c>
      <c r="F17" s="325">
        <f>VLOOKUP(B17,BQ!$B$6:$E$111,4,FALSE)</f>
        <v>30250.000000000004</v>
      </c>
      <c r="G17" s="302" t="s">
        <v>3</v>
      </c>
      <c r="H17" s="362">
        <f>F17*C17</f>
        <v>1512.5000000000002</v>
      </c>
      <c r="I17" s="521"/>
      <c r="K17" s="392">
        <f>H17</f>
        <v>1512.5000000000002</v>
      </c>
    </row>
    <row r="18" spans="1:12" ht="22.25" customHeight="1">
      <c r="A18" s="302"/>
      <c r="B18" s="431" t="s">
        <v>67</v>
      </c>
      <c r="C18" s="329">
        <f>ROUND(D18,2)</f>
        <v>0.1</v>
      </c>
      <c r="D18" s="430">
        <f>D10/100*10</f>
        <v>0.1</v>
      </c>
      <c r="E18" s="313" t="s">
        <v>3</v>
      </c>
      <c r="F18" s="325">
        <f>VLOOKUP(B18,BQ!$B$6:$E$111,4,FALSE)</f>
        <v>21780</v>
      </c>
      <c r="G18" s="302" t="s">
        <v>3</v>
      </c>
      <c r="H18" s="362">
        <f>F18*C18</f>
        <v>2178</v>
      </c>
      <c r="I18" s="521"/>
      <c r="K18" s="392">
        <f>H18</f>
        <v>2178</v>
      </c>
    </row>
    <row r="19" spans="1:12" ht="22.25" customHeight="1" thickBot="1">
      <c r="A19" s="302"/>
      <c r="B19" s="446"/>
      <c r="C19" s="329"/>
      <c r="D19" s="430"/>
      <c r="E19" s="313"/>
      <c r="F19" s="325"/>
      <c r="G19" s="447"/>
      <c r="H19" s="448">
        <f>SUM(H16:H18)</f>
        <v>3993</v>
      </c>
      <c r="I19" s="521"/>
    </row>
    <row r="20" spans="1:12" ht="22.25" customHeight="1" thickBot="1">
      <c r="A20" s="302"/>
      <c r="B20" s="446"/>
      <c r="C20" s="329"/>
      <c r="D20" s="430"/>
      <c r="E20" s="302"/>
      <c r="F20" s="555" t="s">
        <v>266</v>
      </c>
      <c r="G20" s="503" t="s">
        <v>221</v>
      </c>
      <c r="H20" s="435">
        <f>H19+H14</f>
        <v>6725</v>
      </c>
      <c r="I20" s="522"/>
    </row>
    <row r="21" spans="1:12" ht="22.25" customHeight="1" thickTop="1">
      <c r="A21" s="302"/>
      <c r="B21" s="446"/>
      <c r="C21" s="329"/>
      <c r="D21" s="430"/>
      <c r="E21" s="302"/>
      <c r="F21" s="449"/>
      <c r="G21" s="450"/>
      <c r="H21" s="451"/>
      <c r="I21" s="522"/>
    </row>
    <row r="22" spans="1:12" ht="40.25" customHeight="1">
      <c r="A22" s="312">
        <f>A10+1</f>
        <v>3</v>
      </c>
      <c r="B22" s="452" t="s">
        <v>369</v>
      </c>
      <c r="C22" s="428">
        <f>ROUND(D22,2)</f>
        <v>1</v>
      </c>
      <c r="D22" s="439">
        <v>1</v>
      </c>
      <c r="E22" s="312" t="s">
        <v>222</v>
      </c>
      <c r="F22" s="440"/>
      <c r="G22" s="441"/>
      <c r="H22" s="442"/>
      <c r="I22" s="521"/>
      <c r="K22" s="392" t="s">
        <v>114</v>
      </c>
    </row>
    <row r="23" spans="1:12" ht="20" customHeight="1">
      <c r="A23" s="312"/>
      <c r="B23" s="443" t="s">
        <v>66</v>
      </c>
      <c r="C23" s="428"/>
      <c r="D23" s="439"/>
      <c r="E23" s="312"/>
      <c r="F23" s="440"/>
      <c r="G23" s="441"/>
      <c r="H23" s="442"/>
      <c r="I23" s="521"/>
    </row>
    <row r="24" spans="1:12" ht="22.25" customHeight="1" thickBot="1">
      <c r="A24" s="302"/>
      <c r="B24" s="431" t="s">
        <v>67</v>
      </c>
      <c r="C24" s="329">
        <f>ROUND(D24,2)</f>
        <v>2</v>
      </c>
      <c r="D24" s="430">
        <f>C22*2</f>
        <v>2</v>
      </c>
      <c r="E24" s="302" t="s">
        <v>3</v>
      </c>
      <c r="F24" s="325">
        <f>VLOOKUP(B24,BQ!$B$6:$E$111,4,FALSE)</f>
        <v>21780</v>
      </c>
      <c r="G24" s="302" t="s">
        <v>3</v>
      </c>
      <c r="H24" s="362">
        <f>F24*C24</f>
        <v>43560</v>
      </c>
      <c r="I24" s="521"/>
      <c r="K24" s="392">
        <f>H24</f>
        <v>43560</v>
      </c>
    </row>
    <row r="25" spans="1:12" ht="22.25" customHeight="1" thickBot="1">
      <c r="A25" s="302"/>
      <c r="B25" s="431"/>
      <c r="C25" s="329"/>
      <c r="D25" s="430"/>
      <c r="E25" s="302"/>
      <c r="F25" s="555" t="s">
        <v>266</v>
      </c>
      <c r="G25" s="503" t="s">
        <v>221</v>
      </c>
      <c r="H25" s="435">
        <f>SUM(H22:H24)</f>
        <v>43560</v>
      </c>
      <c r="I25" s="522"/>
    </row>
    <row r="26" spans="1:12" ht="21.65" customHeight="1" thickTop="1">
      <c r="A26" s="302"/>
      <c r="B26" s="303"/>
      <c r="C26" s="329"/>
      <c r="D26" s="430"/>
      <c r="E26" s="302"/>
      <c r="F26" s="301"/>
      <c r="G26" s="302"/>
      <c r="H26" s="453"/>
      <c r="I26" s="523"/>
      <c r="J26" s="398"/>
      <c r="K26" s="398"/>
      <c r="L26" s="398"/>
    </row>
    <row r="27" spans="1:12" ht="22.25" hidden="1" customHeight="1">
      <c r="A27" s="454">
        <v>3</v>
      </c>
      <c r="B27" s="455" t="s">
        <v>37</v>
      </c>
      <c r="C27" s="329"/>
      <c r="D27" s="430"/>
      <c r="E27" s="302"/>
      <c r="F27" s="301"/>
      <c r="G27" s="302"/>
      <c r="H27" s="362"/>
      <c r="I27" s="521"/>
    </row>
    <row r="28" spans="1:12" ht="22.25" hidden="1" customHeight="1">
      <c r="A28" s="302"/>
      <c r="B28" s="438" t="s">
        <v>38</v>
      </c>
      <c r="C28" s="428">
        <f>ROUND(D28,2)</f>
        <v>0</v>
      </c>
      <c r="D28" s="439">
        <f>Detail!J16</f>
        <v>0</v>
      </c>
      <c r="E28" s="312" t="s">
        <v>222</v>
      </c>
      <c r="F28" s="301"/>
      <c r="G28" s="302"/>
      <c r="H28" s="362"/>
      <c r="I28" s="521"/>
    </row>
    <row r="29" spans="1:12" ht="22.25" hidden="1" customHeight="1">
      <c r="A29" s="302"/>
      <c r="B29" s="429" t="s">
        <v>66</v>
      </c>
      <c r="C29" s="329"/>
      <c r="D29" s="430"/>
      <c r="E29" s="302"/>
      <c r="F29" s="301"/>
      <c r="G29" s="302"/>
      <c r="H29" s="362"/>
      <c r="I29" s="521"/>
    </row>
    <row r="30" spans="1:12" ht="22.25" hidden="1" customHeight="1">
      <c r="A30" s="302"/>
      <c r="B30" s="431" t="s">
        <v>67</v>
      </c>
      <c r="C30" s="329">
        <f>ROUND(D30,2)</f>
        <v>0</v>
      </c>
      <c r="D30" s="430">
        <f>D28*2</f>
        <v>0</v>
      </c>
      <c r="E30" s="302" t="s">
        <v>3</v>
      </c>
      <c r="F30" s="301">
        <v>6000</v>
      </c>
      <c r="G30" s="302" t="s">
        <v>3</v>
      </c>
      <c r="H30" s="362">
        <f>F30*C30</f>
        <v>0</v>
      </c>
      <c r="I30" s="521"/>
      <c r="K30" s="392">
        <f>H30</f>
        <v>0</v>
      </c>
    </row>
    <row r="31" spans="1:12" ht="22.25" hidden="1" customHeight="1">
      <c r="A31" s="302"/>
      <c r="B31" s="421"/>
      <c r="C31" s="329"/>
      <c r="D31" s="430"/>
      <c r="E31" s="432"/>
      <c r="F31" s="301"/>
      <c r="G31" s="432"/>
      <c r="H31" s="456">
        <f>SUM(H30)</f>
        <v>0</v>
      </c>
      <c r="I31" s="524"/>
      <c r="J31" s="398"/>
      <c r="K31" s="398"/>
      <c r="L31" s="398"/>
    </row>
    <row r="32" spans="1:12" ht="22.25" hidden="1" customHeight="1">
      <c r="A32" s="302"/>
      <c r="B32" s="421"/>
      <c r="C32" s="329"/>
      <c r="D32" s="430"/>
      <c r="E32" s="432"/>
      <c r="F32" s="301"/>
      <c r="G32" s="432"/>
      <c r="H32" s="453"/>
      <c r="I32" s="523"/>
      <c r="J32" s="398"/>
      <c r="K32" s="398"/>
      <c r="L32" s="398"/>
    </row>
    <row r="33" spans="1:19" ht="22.25" customHeight="1">
      <c r="A33" s="312">
        <f>A22+1</f>
        <v>4</v>
      </c>
      <c r="B33" s="438" t="s">
        <v>115</v>
      </c>
      <c r="C33" s="428">
        <f>ROUND(D33,2)</f>
        <v>1</v>
      </c>
      <c r="D33" s="439">
        <v>1</v>
      </c>
      <c r="E33" s="457" t="s">
        <v>220</v>
      </c>
      <c r="F33" s="301"/>
      <c r="G33" s="302"/>
      <c r="H33" s="362"/>
      <c r="I33" s="521"/>
    </row>
    <row r="34" spans="1:19" ht="22.25" customHeight="1">
      <c r="A34" s="302"/>
      <c r="B34" s="429" t="s">
        <v>65</v>
      </c>
      <c r="C34" s="329"/>
      <c r="D34" s="430"/>
      <c r="E34" s="302"/>
      <c r="F34" s="301"/>
      <c r="G34" s="302"/>
      <c r="H34" s="362"/>
      <c r="I34" s="521"/>
    </row>
    <row r="35" spans="1:19" ht="22.25" customHeight="1">
      <c r="A35" s="302"/>
      <c r="B35" s="431" t="s">
        <v>26</v>
      </c>
      <c r="C35" s="329">
        <f>ROUND(D35,2)</f>
        <v>0.1</v>
      </c>
      <c r="D35" s="430">
        <f>(D33*15/50/3)</f>
        <v>9.9999999999999992E-2</v>
      </c>
      <c r="E35" s="432" t="s">
        <v>9</v>
      </c>
      <c r="F35" s="325">
        <f>VLOOKUP(B35,BQ!$B$6:$E$111,4,FALSE)</f>
        <v>1250000</v>
      </c>
      <c r="G35" s="432" t="s">
        <v>9</v>
      </c>
      <c r="H35" s="362">
        <f>F35*C35</f>
        <v>125000</v>
      </c>
      <c r="I35" s="521"/>
      <c r="J35" s="392">
        <f>H35</f>
        <v>125000</v>
      </c>
    </row>
    <row r="36" spans="1:19" ht="22.25" customHeight="1">
      <c r="A36" s="302"/>
      <c r="B36" s="431" t="s">
        <v>27</v>
      </c>
      <c r="C36" s="329">
        <f>ROUND(D36,2)</f>
        <v>1.2</v>
      </c>
      <c r="D36" s="430">
        <f>D33*115/32/3</f>
        <v>1.1979166666666667</v>
      </c>
      <c r="E36" s="432" t="s">
        <v>19</v>
      </c>
      <c r="F36" s="325">
        <f>VLOOKUP(B36,BQ!$B$6:$E$111,4,FALSE)</f>
        <v>69000</v>
      </c>
      <c r="G36" s="432" t="s">
        <v>19</v>
      </c>
      <c r="H36" s="362">
        <f>F36*C36</f>
        <v>82800</v>
      </c>
      <c r="I36" s="521"/>
      <c r="J36" s="392">
        <f>H36</f>
        <v>82800</v>
      </c>
    </row>
    <row r="37" spans="1:19" ht="22.25" customHeight="1">
      <c r="A37" s="302"/>
      <c r="B37" s="431" t="s">
        <v>21</v>
      </c>
      <c r="C37" s="329">
        <f>ROUND(D37,2)</f>
        <v>0.83</v>
      </c>
      <c r="D37" s="430">
        <f>(D33*3)/3.6</f>
        <v>0.83333333333333326</v>
      </c>
      <c r="E37" s="432" t="s">
        <v>52</v>
      </c>
      <c r="F37" s="325">
        <f>VLOOKUP(B37,BQ!$B$6:$E$111,4,FALSE)</f>
        <v>11600</v>
      </c>
      <c r="G37" s="432" t="s">
        <v>52</v>
      </c>
      <c r="H37" s="362">
        <f>F37*C37</f>
        <v>9628</v>
      </c>
      <c r="I37" s="521"/>
      <c r="J37" s="392">
        <f>H37</f>
        <v>9628</v>
      </c>
    </row>
    <row r="38" spans="1:19" ht="22.25" customHeight="1">
      <c r="A38" s="302"/>
      <c r="B38" s="431"/>
      <c r="C38" s="329"/>
      <c r="D38" s="430"/>
      <c r="E38" s="432"/>
      <c r="F38" s="301"/>
      <c r="G38" s="432"/>
      <c r="H38" s="362">
        <f>SUM(H35:H37)</f>
        <v>217428</v>
      </c>
      <c r="I38" s="521"/>
    </row>
    <row r="39" spans="1:19" ht="23.15" customHeight="1">
      <c r="A39" s="302"/>
      <c r="B39" s="429" t="s">
        <v>185</v>
      </c>
      <c r="C39" s="329"/>
      <c r="D39" s="430"/>
      <c r="E39" s="302"/>
      <c r="F39" s="301"/>
      <c r="G39" s="302"/>
      <c r="H39" s="362"/>
      <c r="I39" s="521"/>
    </row>
    <row r="40" spans="1:19" ht="23.15" customHeight="1">
      <c r="A40" s="302"/>
      <c r="B40" s="431" t="s">
        <v>68</v>
      </c>
      <c r="C40" s="329">
        <f>ROUND(D40,2)</f>
        <v>6</v>
      </c>
      <c r="D40" s="430">
        <f>D33*6</f>
        <v>6</v>
      </c>
      <c r="E40" s="302" t="s">
        <v>3</v>
      </c>
      <c r="F40" s="301">
        <f>VLOOKUP(B40,BQ!$B$6:$E$111,4,FALSE)</f>
        <v>30250.000000000004</v>
      </c>
      <c r="G40" s="302" t="s">
        <v>3</v>
      </c>
      <c r="H40" s="362">
        <f>F40*C40</f>
        <v>181500.00000000003</v>
      </c>
      <c r="I40" s="521"/>
      <c r="K40" s="392">
        <f>H40</f>
        <v>181500.00000000003</v>
      </c>
    </row>
    <row r="41" spans="1:19" ht="23.15" customHeight="1">
      <c r="A41" s="302"/>
      <c r="B41" s="431" t="s">
        <v>67</v>
      </c>
      <c r="C41" s="329">
        <f>ROUND(D41,2)</f>
        <v>2</v>
      </c>
      <c r="D41" s="430">
        <f>D33*2</f>
        <v>2</v>
      </c>
      <c r="E41" s="302" t="s">
        <v>3</v>
      </c>
      <c r="F41" s="325">
        <f>VLOOKUP(B41,BQ!$B$6:$E$111,4,FALSE)</f>
        <v>21780</v>
      </c>
      <c r="G41" s="302" t="s">
        <v>3</v>
      </c>
      <c r="H41" s="362">
        <f>F41*C41</f>
        <v>43560</v>
      </c>
      <c r="I41" s="521"/>
      <c r="J41" s="392" t="s">
        <v>111</v>
      </c>
      <c r="K41" s="392">
        <f>H41</f>
        <v>43560</v>
      </c>
    </row>
    <row r="42" spans="1:19" ht="23.15" customHeight="1" thickBot="1">
      <c r="A42" s="302"/>
      <c r="B42" s="431"/>
      <c r="C42" s="329"/>
      <c r="D42" s="430"/>
      <c r="E42" s="302"/>
      <c r="F42" s="449"/>
      <c r="G42" s="447"/>
      <c r="H42" s="448">
        <f>SUM(H40:H41)</f>
        <v>225060.00000000003</v>
      </c>
      <c r="I42" s="521"/>
    </row>
    <row r="43" spans="1:19" ht="23.15" customHeight="1" thickBot="1">
      <c r="A43" s="302"/>
      <c r="B43" s="431"/>
      <c r="C43" s="329"/>
      <c r="D43" s="430"/>
      <c r="E43" s="302"/>
      <c r="F43" s="555" t="s">
        <v>266</v>
      </c>
      <c r="G43" s="503" t="s">
        <v>221</v>
      </c>
      <c r="H43" s="435">
        <f>H42+H38</f>
        <v>442488</v>
      </c>
      <c r="I43" s="522"/>
    </row>
    <row r="44" spans="1:19" ht="17" customHeight="1" thickTop="1">
      <c r="A44" s="302"/>
      <c r="B44" s="303"/>
      <c r="C44" s="329"/>
      <c r="D44" s="430"/>
      <c r="E44" s="302"/>
      <c r="F44" s="301"/>
      <c r="G44" s="302"/>
      <c r="H44" s="453"/>
      <c r="I44" s="523"/>
      <c r="J44" s="398"/>
      <c r="K44" s="398"/>
      <c r="L44" s="398"/>
    </row>
    <row r="45" spans="1:19" ht="41" customHeight="1">
      <c r="A45" s="312">
        <f>A33+1</f>
        <v>5</v>
      </c>
      <c r="B45" s="452" t="s">
        <v>370</v>
      </c>
      <c r="C45" s="428">
        <f>ROUND(D45,2)</f>
        <v>1</v>
      </c>
      <c r="D45" s="439">
        <v>1</v>
      </c>
      <c r="E45" s="457" t="s">
        <v>222</v>
      </c>
      <c r="F45" s="301"/>
      <c r="G45" s="302"/>
      <c r="H45" s="362"/>
      <c r="I45" s="521"/>
      <c r="M45" s="390"/>
      <c r="N45" s="404"/>
      <c r="O45" s="404"/>
      <c r="P45" s="404"/>
      <c r="Q45" s="390"/>
      <c r="R45" s="390"/>
      <c r="S45" s="404"/>
    </row>
    <row r="46" spans="1:19" ht="23.15" customHeight="1">
      <c r="A46" s="302"/>
      <c r="B46" s="429" t="s">
        <v>65</v>
      </c>
      <c r="C46" s="329"/>
      <c r="D46" s="430"/>
      <c r="E46" s="302"/>
      <c r="F46" s="301"/>
      <c r="G46" s="302"/>
      <c r="H46" s="362"/>
      <c r="I46" s="521"/>
      <c r="M46" s="390"/>
      <c r="N46" s="404"/>
      <c r="O46" s="404"/>
      <c r="P46" s="404"/>
      <c r="Q46" s="390"/>
      <c r="R46" s="390"/>
      <c r="S46" s="404"/>
    </row>
    <row r="47" spans="1:19" ht="23.15" customHeight="1">
      <c r="A47" s="302"/>
      <c r="B47" s="431" t="s">
        <v>422</v>
      </c>
      <c r="C47" s="329">
        <f>ROUND(D47,2)</f>
        <v>1</v>
      </c>
      <c r="D47" s="430">
        <f>C45</f>
        <v>1</v>
      </c>
      <c r="E47" s="329" t="s">
        <v>11</v>
      </c>
      <c r="F47" s="325" t="e">
        <f>VLOOKUP(B47,BQ!$B$6:$E$111,4,FALSE)</f>
        <v>#N/A</v>
      </c>
      <c r="G47" s="329" t="s">
        <v>11</v>
      </c>
      <c r="H47" s="362" t="e">
        <f>F47*C47</f>
        <v>#N/A</v>
      </c>
      <c r="I47" s="521"/>
      <c r="J47" s="392" t="e">
        <f>H47</f>
        <v>#N/A</v>
      </c>
      <c r="M47" s="390"/>
      <c r="N47" s="404"/>
      <c r="O47" s="404"/>
      <c r="P47" s="404"/>
      <c r="Q47" s="390"/>
      <c r="R47" s="390"/>
      <c r="S47" s="404"/>
    </row>
    <row r="48" spans="1:19" ht="23.15" customHeight="1">
      <c r="A48" s="302"/>
      <c r="B48" s="431" t="s">
        <v>16</v>
      </c>
      <c r="C48" s="329">
        <f>ROUND(D48,2)</f>
        <v>0.25</v>
      </c>
      <c r="D48" s="430">
        <f>D47*25%</f>
        <v>0.25</v>
      </c>
      <c r="E48" s="329" t="s">
        <v>11</v>
      </c>
      <c r="F48" s="325">
        <f>VLOOKUP(B48,BQ!$B$6:$E$111,4,FALSE)</f>
        <v>30000</v>
      </c>
      <c r="G48" s="329" t="s">
        <v>11</v>
      </c>
      <c r="H48" s="362">
        <f>F48*C48</f>
        <v>7500</v>
      </c>
      <c r="I48" s="521"/>
      <c r="J48" s="392">
        <f>H48</f>
        <v>7500</v>
      </c>
      <c r="M48" s="390"/>
      <c r="N48" s="404"/>
      <c r="O48" s="404">
        <f>C48</f>
        <v>0.25</v>
      </c>
      <c r="P48" s="404"/>
      <c r="Q48" s="390"/>
      <c r="R48" s="390"/>
      <c r="S48" s="404"/>
    </row>
    <row r="49" spans="1:22" ht="23.15" customHeight="1">
      <c r="A49" s="302"/>
      <c r="B49" s="431"/>
      <c r="C49" s="329"/>
      <c r="D49" s="430"/>
      <c r="E49" s="329"/>
      <c r="F49" s="301"/>
      <c r="G49" s="329"/>
      <c r="H49" s="362" t="e">
        <f>SUM(H47:H48)</f>
        <v>#N/A</v>
      </c>
      <c r="I49" s="521"/>
      <c r="M49" s="390"/>
      <c r="N49" s="404"/>
      <c r="O49" s="404"/>
      <c r="P49" s="404"/>
      <c r="Q49" s="390"/>
      <c r="R49" s="390"/>
      <c r="S49" s="404"/>
    </row>
    <row r="50" spans="1:22" ht="23.15" customHeight="1">
      <c r="A50" s="302"/>
      <c r="B50" s="429" t="s">
        <v>185</v>
      </c>
      <c r="C50" s="329"/>
      <c r="D50" s="430"/>
      <c r="E50" s="302"/>
      <c r="F50" s="301"/>
      <c r="G50" s="302"/>
      <c r="H50" s="362"/>
      <c r="I50" s="521"/>
      <c r="M50" s="390"/>
      <c r="N50" s="404"/>
      <c r="O50" s="404"/>
      <c r="P50" s="404"/>
      <c r="Q50" s="390"/>
      <c r="R50" s="390"/>
      <c r="S50" s="404"/>
    </row>
    <row r="51" spans="1:22" ht="22.5" customHeight="1">
      <c r="A51" s="302"/>
      <c r="B51" s="431" t="s">
        <v>67</v>
      </c>
      <c r="C51" s="329">
        <f>ROUND(D51,2)</f>
        <v>1</v>
      </c>
      <c r="D51" s="430">
        <f>D45*1</f>
        <v>1</v>
      </c>
      <c r="E51" s="302" t="s">
        <v>3</v>
      </c>
      <c r="F51" s="325">
        <f>VLOOKUP(B51,BQ!$B$6:$E$111,4,FALSE)</f>
        <v>21780</v>
      </c>
      <c r="G51" s="302" t="s">
        <v>3</v>
      </c>
      <c r="H51" s="362">
        <f>F51*C51</f>
        <v>21780</v>
      </c>
      <c r="I51" s="521"/>
      <c r="K51" s="392">
        <f>H51</f>
        <v>21780</v>
      </c>
      <c r="M51" s="390"/>
      <c r="N51" s="404"/>
      <c r="O51" s="404"/>
      <c r="P51" s="404"/>
      <c r="Q51" s="390"/>
      <c r="R51" s="390"/>
      <c r="S51" s="404"/>
      <c r="T51" s="390">
        <f>C51</f>
        <v>1</v>
      </c>
    </row>
    <row r="52" spans="1:22" ht="22.5" customHeight="1" thickBot="1">
      <c r="A52" s="302"/>
      <c r="B52" s="431"/>
      <c r="C52" s="329"/>
      <c r="D52" s="430"/>
      <c r="E52" s="302"/>
      <c r="F52" s="449"/>
      <c r="G52" s="447"/>
      <c r="H52" s="448">
        <f>SUM(H51)</f>
        <v>21780</v>
      </c>
      <c r="I52" s="521"/>
      <c r="M52" s="390"/>
      <c r="N52" s="404"/>
      <c r="O52" s="404"/>
      <c r="P52" s="404"/>
      <c r="Q52" s="390"/>
      <c r="R52" s="390"/>
      <c r="S52" s="404"/>
      <c r="T52" s="390"/>
    </row>
    <row r="53" spans="1:22" ht="22.5" customHeight="1" thickBot="1">
      <c r="A53" s="302"/>
      <c r="B53" s="431"/>
      <c r="C53" s="329"/>
      <c r="D53" s="430"/>
      <c r="E53" s="302"/>
      <c r="F53" s="555" t="s">
        <v>266</v>
      </c>
      <c r="G53" s="503" t="s">
        <v>221</v>
      </c>
      <c r="H53" s="435" t="e">
        <f>H52+H49</f>
        <v>#N/A</v>
      </c>
      <c r="I53" s="522"/>
      <c r="M53" s="390"/>
      <c r="N53" s="404"/>
      <c r="O53" s="404"/>
      <c r="P53" s="404"/>
      <c r="Q53" s="390"/>
      <c r="R53" s="390"/>
      <c r="S53" s="404"/>
      <c r="T53" s="390"/>
    </row>
    <row r="54" spans="1:22" ht="22.5" customHeight="1" thickTop="1">
      <c r="A54" s="302"/>
      <c r="B54" s="303"/>
      <c r="C54" s="329"/>
      <c r="D54" s="430"/>
      <c r="E54" s="302"/>
      <c r="F54" s="301"/>
      <c r="G54" s="302"/>
      <c r="H54" s="456"/>
      <c r="I54" s="524"/>
      <c r="J54" s="398"/>
      <c r="K54" s="398"/>
      <c r="L54" s="398"/>
      <c r="M54" s="390"/>
      <c r="N54" s="404"/>
      <c r="O54" s="404"/>
      <c r="P54" s="404"/>
      <c r="Q54" s="390"/>
      <c r="R54" s="390"/>
      <c r="S54" s="404"/>
    </row>
    <row r="55" spans="1:22" ht="37.25" customHeight="1">
      <c r="A55" s="312">
        <f>A45+1</f>
        <v>6</v>
      </c>
      <c r="B55" s="452" t="s">
        <v>371</v>
      </c>
      <c r="C55" s="428">
        <f>ROUND(D55,2)</f>
        <v>1</v>
      </c>
      <c r="D55" s="439">
        <v>1</v>
      </c>
      <c r="E55" s="457" t="s">
        <v>222</v>
      </c>
      <c r="F55" s="301"/>
      <c r="G55" s="302"/>
      <c r="H55" s="362"/>
      <c r="I55" s="521"/>
      <c r="M55" s="390"/>
      <c r="N55" s="404"/>
      <c r="O55" s="404"/>
      <c r="P55" s="404"/>
      <c r="Q55" s="390"/>
      <c r="R55" s="390"/>
      <c r="S55" s="404"/>
    </row>
    <row r="56" spans="1:22" ht="23.15" customHeight="1">
      <c r="A56" s="302"/>
      <c r="B56" s="429" t="s">
        <v>65</v>
      </c>
      <c r="C56" s="329"/>
      <c r="D56" s="430"/>
      <c r="E56" s="302"/>
      <c r="F56" s="301"/>
      <c r="G56" s="302"/>
      <c r="H56" s="362"/>
      <c r="I56" s="521"/>
      <c r="M56" s="390"/>
      <c r="N56" s="404"/>
      <c r="O56" s="404"/>
      <c r="P56" s="404"/>
      <c r="Q56" s="390"/>
      <c r="R56" s="390"/>
      <c r="S56" s="404"/>
    </row>
    <row r="57" spans="1:22" ht="21" customHeight="1">
      <c r="A57" s="302"/>
      <c r="B57" s="431" t="s">
        <v>14</v>
      </c>
      <c r="C57" s="329">
        <f>ROUND(D57,2)</f>
        <v>12.86</v>
      </c>
      <c r="D57" s="430">
        <f>D55*1440/112</f>
        <v>12.857142857142858</v>
      </c>
      <c r="E57" s="329" t="s">
        <v>302</v>
      </c>
      <c r="F57" s="325">
        <f>VLOOKUP(B57,BQ!$B$6:$E$111,4,FALSE)</f>
        <v>18600</v>
      </c>
      <c r="G57" s="329" t="s">
        <v>302</v>
      </c>
      <c r="H57" s="362">
        <f>F57*C57</f>
        <v>239196</v>
      </c>
      <c r="I57" s="521"/>
      <c r="J57" s="392">
        <f>H57</f>
        <v>239196</v>
      </c>
      <c r="M57" s="390"/>
      <c r="N57" s="404">
        <f>C57</f>
        <v>12.86</v>
      </c>
      <c r="O57" s="404"/>
      <c r="P57" s="404"/>
      <c r="Q57" s="390"/>
      <c r="R57" s="390"/>
      <c r="S57" s="404"/>
    </row>
    <row r="58" spans="1:22" ht="21" customHeight="1">
      <c r="A58" s="302"/>
      <c r="B58" s="431" t="s">
        <v>16</v>
      </c>
      <c r="C58" s="329">
        <f>ROUND(D58,2)</f>
        <v>0.48</v>
      </c>
      <c r="D58" s="430">
        <f>D55*48/100</f>
        <v>0.48</v>
      </c>
      <c r="E58" s="329" t="s">
        <v>11</v>
      </c>
      <c r="F58" s="325">
        <f>VLOOKUP(B58,BQ!$B$6:$E$111,4,FALSE)</f>
        <v>30000</v>
      </c>
      <c r="G58" s="329" t="s">
        <v>11</v>
      </c>
      <c r="H58" s="362">
        <f>F58*C58</f>
        <v>14400</v>
      </c>
      <c r="I58" s="521"/>
      <c r="J58" s="392">
        <f>H58</f>
        <v>14400</v>
      </c>
      <c r="M58" s="390"/>
      <c r="N58" s="404"/>
      <c r="O58" s="404">
        <f>C58</f>
        <v>0.48</v>
      </c>
      <c r="P58" s="404"/>
      <c r="Q58" s="390"/>
      <c r="R58" s="390"/>
      <c r="S58" s="404"/>
    </row>
    <row r="59" spans="1:22" ht="21" customHeight="1">
      <c r="A59" s="302"/>
      <c r="B59" s="431" t="s">
        <v>303</v>
      </c>
      <c r="C59" s="329">
        <f>ROUND(D59,2)</f>
        <v>0.96</v>
      </c>
      <c r="D59" s="430">
        <f>D55*96/100</f>
        <v>0.96</v>
      </c>
      <c r="E59" s="329" t="s">
        <v>11</v>
      </c>
      <c r="F59" s="325">
        <f>VLOOKUP(B59,BQ!$B$6:$E$111,4,FALSE)</f>
        <v>110000</v>
      </c>
      <c r="G59" s="329" t="s">
        <v>11</v>
      </c>
      <c r="H59" s="362">
        <f>F59*C59</f>
        <v>105600</v>
      </c>
      <c r="I59" s="521"/>
      <c r="J59" s="392">
        <f>H59</f>
        <v>105600</v>
      </c>
      <c r="M59" s="390"/>
      <c r="N59" s="404"/>
      <c r="O59" s="404"/>
      <c r="P59" s="404">
        <f>C59</f>
        <v>0.96</v>
      </c>
      <c r="Q59" s="390"/>
      <c r="R59" s="390"/>
      <c r="S59" s="404"/>
    </row>
    <row r="60" spans="1:22" ht="21" customHeight="1">
      <c r="A60" s="302"/>
      <c r="B60" s="431"/>
      <c r="C60" s="329"/>
      <c r="D60" s="430"/>
      <c r="E60" s="329"/>
      <c r="F60" s="301"/>
      <c r="G60" s="329"/>
      <c r="H60" s="362">
        <f>SUM(H57:H59)</f>
        <v>359196</v>
      </c>
      <c r="I60" s="521"/>
      <c r="M60" s="390"/>
      <c r="N60" s="404"/>
      <c r="O60" s="404"/>
      <c r="P60" s="404"/>
      <c r="Q60" s="390"/>
      <c r="R60" s="390"/>
      <c r="S60" s="404"/>
    </row>
    <row r="61" spans="1:22" ht="23.15" customHeight="1">
      <c r="A61" s="302"/>
      <c r="B61" s="429" t="s">
        <v>185</v>
      </c>
      <c r="C61" s="329"/>
      <c r="D61" s="430"/>
      <c r="E61" s="302"/>
      <c r="F61" s="301"/>
      <c r="G61" s="302"/>
      <c r="H61" s="362"/>
      <c r="I61" s="521"/>
      <c r="M61" s="390"/>
      <c r="N61" s="404"/>
      <c r="O61" s="404"/>
      <c r="P61" s="404"/>
      <c r="Q61" s="390"/>
      <c r="R61" s="390"/>
      <c r="S61" s="404"/>
    </row>
    <row r="62" spans="1:22" ht="22.5" customHeight="1">
      <c r="A62" s="302"/>
      <c r="B62" s="431" t="s">
        <v>69</v>
      </c>
      <c r="C62" s="329">
        <f>ROUND(D62,2)</f>
        <v>1</v>
      </c>
      <c r="D62" s="430">
        <f>D55*1</f>
        <v>1</v>
      </c>
      <c r="E62" s="302" t="s">
        <v>3</v>
      </c>
      <c r="F62" s="325">
        <f>VLOOKUP(B62,BQ!$B$6:$E$111,4,FALSE)</f>
        <v>30250.000000000004</v>
      </c>
      <c r="G62" s="302" t="s">
        <v>3</v>
      </c>
      <c r="H62" s="362">
        <f>F62*C62</f>
        <v>30250.000000000004</v>
      </c>
      <c r="I62" s="521"/>
      <c r="K62" s="392">
        <f>H62</f>
        <v>30250.000000000004</v>
      </c>
      <c r="M62" s="390"/>
      <c r="N62" s="404"/>
      <c r="O62" s="404"/>
      <c r="P62" s="404"/>
      <c r="Q62" s="390"/>
      <c r="R62" s="390"/>
      <c r="S62" s="404"/>
      <c r="V62" s="390">
        <f>C62</f>
        <v>1</v>
      </c>
    </row>
    <row r="63" spans="1:22" ht="22.5" customHeight="1">
      <c r="A63" s="302"/>
      <c r="B63" s="431" t="s">
        <v>67</v>
      </c>
      <c r="C63" s="329">
        <f>ROUND(D63,2)</f>
        <v>8</v>
      </c>
      <c r="D63" s="430">
        <f>D55*8</f>
        <v>8</v>
      </c>
      <c r="E63" s="302" t="s">
        <v>3</v>
      </c>
      <c r="F63" s="325">
        <f>VLOOKUP(B63,BQ!$B$6:$E$111,4,FALSE)</f>
        <v>21780</v>
      </c>
      <c r="G63" s="302" t="s">
        <v>3</v>
      </c>
      <c r="H63" s="362">
        <f>F63*C63</f>
        <v>174240</v>
      </c>
      <c r="I63" s="521"/>
      <c r="K63" s="392">
        <f>H63</f>
        <v>174240</v>
      </c>
      <c r="M63" s="390"/>
      <c r="N63" s="404"/>
      <c r="O63" s="404"/>
      <c r="P63" s="404"/>
      <c r="Q63" s="390"/>
      <c r="R63" s="390"/>
      <c r="S63" s="404"/>
      <c r="T63" s="390">
        <f>C63</f>
        <v>8</v>
      </c>
    </row>
    <row r="64" spans="1:22" ht="22.5" customHeight="1" thickBot="1">
      <c r="A64" s="302"/>
      <c r="B64" s="431"/>
      <c r="C64" s="329"/>
      <c r="D64" s="430"/>
      <c r="E64" s="302"/>
      <c r="F64" s="449"/>
      <c r="G64" s="447"/>
      <c r="H64" s="448">
        <f>SUM(H62:H63)</f>
        <v>204490</v>
      </c>
      <c r="I64" s="521"/>
      <c r="M64" s="390"/>
      <c r="N64" s="404"/>
      <c r="O64" s="404"/>
      <c r="P64" s="404"/>
      <c r="Q64" s="390"/>
      <c r="R64" s="390"/>
      <c r="S64" s="404"/>
      <c r="T64" s="390"/>
    </row>
    <row r="65" spans="1:20" ht="22.5" customHeight="1" thickBot="1">
      <c r="A65" s="302"/>
      <c r="B65" s="431"/>
      <c r="C65" s="329"/>
      <c r="D65" s="430"/>
      <c r="E65" s="302"/>
      <c r="F65" s="555" t="s">
        <v>266</v>
      </c>
      <c r="G65" s="503" t="s">
        <v>221</v>
      </c>
      <c r="H65" s="435">
        <f>H60+H64</f>
        <v>563686</v>
      </c>
      <c r="I65" s="522"/>
      <c r="M65" s="390"/>
      <c r="N65" s="404"/>
      <c r="O65" s="404"/>
      <c r="P65" s="404"/>
      <c r="Q65" s="390"/>
      <c r="R65" s="390"/>
      <c r="S65" s="404"/>
      <c r="T65" s="390"/>
    </row>
    <row r="66" spans="1:20" ht="22.5" customHeight="1" thickTop="1">
      <c r="A66" s="302"/>
      <c r="B66" s="303"/>
      <c r="C66" s="329"/>
      <c r="D66" s="430"/>
      <c r="E66" s="302"/>
      <c r="F66" s="301"/>
      <c r="G66" s="302"/>
      <c r="H66" s="456"/>
      <c r="I66" s="524"/>
      <c r="J66" s="398"/>
      <c r="K66" s="398"/>
      <c r="L66" s="398"/>
      <c r="M66" s="390"/>
      <c r="N66" s="404"/>
      <c r="O66" s="404"/>
      <c r="P66" s="404"/>
      <c r="Q66" s="390"/>
      <c r="R66" s="390"/>
      <c r="S66" s="404"/>
    </row>
    <row r="67" spans="1:20" ht="39.65" customHeight="1">
      <c r="A67" s="312">
        <f>A55+1</f>
        <v>7</v>
      </c>
      <c r="B67" s="452" t="s">
        <v>372</v>
      </c>
      <c r="C67" s="428">
        <f>ROUND(D67,2)</f>
        <v>1</v>
      </c>
      <c r="D67" s="439">
        <v>1</v>
      </c>
      <c r="E67" s="457" t="s">
        <v>222</v>
      </c>
      <c r="F67" s="301"/>
      <c r="G67" s="302"/>
      <c r="H67" s="362"/>
      <c r="I67" s="521"/>
      <c r="M67" s="390"/>
      <c r="N67" s="404"/>
      <c r="O67" s="404"/>
      <c r="P67" s="404"/>
      <c r="Q67" s="390"/>
      <c r="R67" s="390"/>
      <c r="S67" s="404"/>
    </row>
    <row r="68" spans="1:20" ht="23.15" customHeight="1">
      <c r="A68" s="302"/>
      <c r="B68" s="429" t="s">
        <v>65</v>
      </c>
      <c r="C68" s="329"/>
      <c r="D68" s="430"/>
      <c r="E68" s="302"/>
      <c r="F68" s="301"/>
      <c r="G68" s="302"/>
      <c r="H68" s="362"/>
      <c r="I68" s="521"/>
      <c r="M68" s="390"/>
      <c r="N68" s="404"/>
      <c r="O68" s="404"/>
      <c r="P68" s="404"/>
      <c r="Q68" s="390"/>
      <c r="R68" s="390"/>
      <c r="S68" s="404"/>
    </row>
    <row r="69" spans="1:20" ht="23.15" customHeight="1">
      <c r="A69" s="302"/>
      <c r="B69" s="431" t="s">
        <v>16</v>
      </c>
      <c r="C69" s="329">
        <f>ROUND(D69,2)</f>
        <v>1.25</v>
      </c>
      <c r="D69" s="430">
        <f>D67*125/100</f>
        <v>1.25</v>
      </c>
      <c r="E69" s="329" t="s">
        <v>11</v>
      </c>
      <c r="F69" s="325">
        <f>VLOOKUP(B69,BQ!$B$6:$E$111,4,FALSE)</f>
        <v>30000</v>
      </c>
      <c r="G69" s="329" t="s">
        <v>11</v>
      </c>
      <c r="H69" s="362">
        <f>F69*C69</f>
        <v>37500</v>
      </c>
      <c r="I69" s="521"/>
      <c r="J69" s="392">
        <f>H69</f>
        <v>37500</v>
      </c>
      <c r="M69" s="390"/>
      <c r="N69" s="404"/>
      <c r="O69" s="404">
        <f>C69</f>
        <v>1.25</v>
      </c>
      <c r="P69" s="404"/>
      <c r="Q69" s="390"/>
      <c r="R69" s="390"/>
      <c r="S69" s="404"/>
    </row>
    <row r="70" spans="1:20" ht="23.15" customHeight="1">
      <c r="A70" s="302"/>
      <c r="B70" s="429" t="s">
        <v>185</v>
      </c>
      <c r="C70" s="329"/>
      <c r="D70" s="430"/>
      <c r="E70" s="302"/>
      <c r="F70" s="301"/>
      <c r="G70" s="302"/>
      <c r="H70" s="362"/>
      <c r="I70" s="521"/>
      <c r="M70" s="390"/>
      <c r="N70" s="404"/>
      <c r="O70" s="404"/>
      <c r="P70" s="404"/>
      <c r="Q70" s="390"/>
      <c r="R70" s="390"/>
      <c r="S70" s="404"/>
    </row>
    <row r="71" spans="1:20" ht="22.5" customHeight="1" thickBot="1">
      <c r="A71" s="302"/>
      <c r="B71" s="431" t="s">
        <v>67</v>
      </c>
      <c r="C71" s="329">
        <f>ROUND(D71,2)</f>
        <v>1</v>
      </c>
      <c r="D71" s="430">
        <f>D67*1</f>
        <v>1</v>
      </c>
      <c r="E71" s="302" t="s">
        <v>3</v>
      </c>
      <c r="F71" s="325">
        <f>VLOOKUP(B71,BQ!$B$6:$E$111,4,FALSE)</f>
        <v>21780</v>
      </c>
      <c r="G71" s="302" t="s">
        <v>3</v>
      </c>
      <c r="H71" s="362">
        <f>F71*C71</f>
        <v>21780</v>
      </c>
      <c r="I71" s="521"/>
      <c r="K71" s="392">
        <f>H71</f>
        <v>21780</v>
      </c>
      <c r="M71" s="390"/>
      <c r="N71" s="404"/>
      <c r="O71" s="404"/>
      <c r="P71" s="404"/>
      <c r="Q71" s="390"/>
      <c r="R71" s="390"/>
      <c r="S71" s="404"/>
      <c r="T71" s="390">
        <f>C71</f>
        <v>1</v>
      </c>
    </row>
    <row r="72" spans="1:20" ht="22.5" customHeight="1" thickBot="1">
      <c r="A72" s="302"/>
      <c r="B72" s="431"/>
      <c r="C72" s="329"/>
      <c r="D72" s="430"/>
      <c r="E72" s="302"/>
      <c r="F72" s="555" t="s">
        <v>266</v>
      </c>
      <c r="G72" s="503" t="s">
        <v>221</v>
      </c>
      <c r="H72" s="435">
        <f>SUM(H68:H71)</f>
        <v>59280</v>
      </c>
      <c r="I72" s="522"/>
      <c r="M72" s="390"/>
      <c r="N72" s="404"/>
      <c r="O72" s="404"/>
      <c r="P72" s="404"/>
      <c r="Q72" s="390"/>
      <c r="R72" s="390"/>
      <c r="S72" s="404"/>
      <c r="T72" s="390"/>
    </row>
    <row r="73" spans="1:20" ht="22.5" customHeight="1" thickTop="1">
      <c r="A73" s="302"/>
      <c r="B73" s="303"/>
      <c r="C73" s="329"/>
      <c r="D73" s="430"/>
      <c r="E73" s="302"/>
      <c r="F73" s="301"/>
      <c r="G73" s="302"/>
      <c r="H73" s="456"/>
      <c r="I73" s="524"/>
      <c r="J73" s="398"/>
      <c r="K73" s="398"/>
      <c r="L73" s="398"/>
      <c r="M73" s="390"/>
      <c r="N73" s="404"/>
      <c r="O73" s="404"/>
      <c r="P73" s="404"/>
      <c r="Q73" s="390"/>
      <c r="R73" s="390"/>
      <c r="S73" s="404"/>
    </row>
    <row r="74" spans="1:20" ht="22.5" customHeight="1">
      <c r="A74" s="312">
        <f>A67+1</f>
        <v>8</v>
      </c>
      <c r="B74" s="458" t="s">
        <v>341</v>
      </c>
      <c r="C74" s="428">
        <f>ROUND(D74,2)</f>
        <v>1</v>
      </c>
      <c r="D74" s="439">
        <v>1</v>
      </c>
      <c r="E74" s="457" t="s">
        <v>222</v>
      </c>
      <c r="F74" s="301"/>
      <c r="G74" s="302"/>
      <c r="H74" s="362"/>
      <c r="I74" s="521"/>
      <c r="M74" s="390"/>
      <c r="N74" s="404"/>
      <c r="O74" s="404"/>
      <c r="P74" s="404"/>
      <c r="Q74" s="390"/>
      <c r="R74" s="390"/>
      <c r="S74" s="404"/>
    </row>
    <row r="75" spans="1:20" ht="22.5" customHeight="1">
      <c r="A75" s="302"/>
      <c r="B75" s="429" t="s">
        <v>65</v>
      </c>
      <c r="C75" s="329"/>
      <c r="D75" s="430"/>
      <c r="E75" s="302"/>
      <c r="F75" s="301"/>
      <c r="G75" s="302"/>
      <c r="H75" s="362"/>
      <c r="I75" s="521"/>
      <c r="M75" s="390"/>
      <c r="N75" s="404"/>
      <c r="O75" s="404"/>
      <c r="P75" s="404"/>
      <c r="Q75" s="390"/>
      <c r="R75" s="390"/>
      <c r="S75" s="404"/>
    </row>
    <row r="76" spans="1:20" ht="22.5" customHeight="1">
      <c r="A76" s="302"/>
      <c r="B76" s="303" t="s">
        <v>14</v>
      </c>
      <c r="C76" s="329">
        <f>ROUND(D76,2)</f>
        <v>18.48</v>
      </c>
      <c r="D76" s="430">
        <f>D74*2070/112</f>
        <v>18.482142857142858</v>
      </c>
      <c r="E76" s="329" t="s">
        <v>302</v>
      </c>
      <c r="F76" s="325">
        <f>VLOOKUP(B76,BQ!$B$6:$E$111,4,FALSE)</f>
        <v>18600</v>
      </c>
      <c r="G76" s="329" t="s">
        <v>302</v>
      </c>
      <c r="H76" s="362">
        <f>F76*C76</f>
        <v>343728</v>
      </c>
      <c r="I76" s="521"/>
      <c r="J76" s="392">
        <f>H76</f>
        <v>343728</v>
      </c>
      <c r="M76" s="390"/>
      <c r="N76" s="404">
        <f>C76</f>
        <v>18.48</v>
      </c>
      <c r="O76" s="404"/>
      <c r="P76" s="404"/>
      <c r="Q76" s="390"/>
      <c r="R76" s="390"/>
      <c r="S76" s="404"/>
    </row>
    <row r="77" spans="1:20" ht="22.5" customHeight="1">
      <c r="A77" s="302"/>
      <c r="B77" s="303" t="s">
        <v>16</v>
      </c>
      <c r="C77" s="329">
        <f>ROUND(D77,2)</f>
        <v>0.46</v>
      </c>
      <c r="D77" s="430">
        <f>D74*46/100</f>
        <v>0.46</v>
      </c>
      <c r="E77" s="329" t="s">
        <v>11</v>
      </c>
      <c r="F77" s="325">
        <f>VLOOKUP(B77,BQ!$B$6:$E$111,4,FALSE)</f>
        <v>30000</v>
      </c>
      <c r="G77" s="329" t="s">
        <v>11</v>
      </c>
      <c r="H77" s="362">
        <f>F77*C77</f>
        <v>13800</v>
      </c>
      <c r="I77" s="521"/>
      <c r="J77" s="392">
        <f>H77</f>
        <v>13800</v>
      </c>
      <c r="M77" s="390"/>
      <c r="N77" s="404"/>
      <c r="O77" s="404">
        <f>C77</f>
        <v>0.46</v>
      </c>
      <c r="P77" s="404"/>
      <c r="Q77" s="390"/>
      <c r="R77" s="390"/>
      <c r="S77" s="404"/>
    </row>
    <row r="78" spans="1:20" ht="22.5" customHeight="1">
      <c r="A78" s="302"/>
      <c r="B78" s="431" t="s">
        <v>303</v>
      </c>
      <c r="C78" s="329">
        <f>ROUND(D78,2)</f>
        <v>0.92</v>
      </c>
      <c r="D78" s="430">
        <f>D74*92/100</f>
        <v>0.92</v>
      </c>
      <c r="E78" s="329" t="s">
        <v>11</v>
      </c>
      <c r="F78" s="325">
        <f>VLOOKUP(B78,BQ!$B$6:$E$111,4,FALSE)</f>
        <v>110000</v>
      </c>
      <c r="G78" s="329" t="s">
        <v>11</v>
      </c>
      <c r="H78" s="362">
        <f>F78*C78</f>
        <v>101200</v>
      </c>
      <c r="I78" s="521"/>
      <c r="J78" s="392">
        <f>H78</f>
        <v>101200</v>
      </c>
      <c r="M78" s="390"/>
      <c r="N78" s="404"/>
      <c r="O78" s="404"/>
      <c r="P78" s="404">
        <f>C78</f>
        <v>0.92</v>
      </c>
      <c r="Q78" s="390"/>
      <c r="R78" s="390"/>
      <c r="S78" s="404"/>
    </row>
    <row r="79" spans="1:20" ht="22.5" customHeight="1">
      <c r="A79" s="302"/>
      <c r="B79" s="303"/>
      <c r="C79" s="329"/>
      <c r="D79" s="430"/>
      <c r="E79" s="329"/>
      <c r="F79" s="301"/>
      <c r="G79" s="329"/>
      <c r="H79" s="362">
        <f>SUM(H76:H78)</f>
        <v>458728</v>
      </c>
      <c r="I79" s="521"/>
      <c r="M79" s="390"/>
      <c r="N79" s="404"/>
      <c r="O79" s="404"/>
      <c r="P79" s="404"/>
      <c r="Q79" s="390"/>
      <c r="R79" s="390"/>
      <c r="S79" s="404"/>
    </row>
    <row r="80" spans="1:20" ht="23.15" customHeight="1">
      <c r="A80" s="302"/>
      <c r="B80" s="429" t="s">
        <v>185</v>
      </c>
      <c r="C80" s="329"/>
      <c r="D80" s="430"/>
      <c r="E80" s="302"/>
      <c r="F80" s="301"/>
      <c r="G80" s="302"/>
      <c r="H80" s="362"/>
      <c r="I80" s="521"/>
      <c r="M80" s="390"/>
      <c r="N80" s="404"/>
      <c r="O80" s="404"/>
      <c r="P80" s="404"/>
      <c r="Q80" s="390"/>
      <c r="R80" s="390"/>
      <c r="S80" s="404"/>
    </row>
    <row r="81" spans="1:22" ht="22.5" customHeight="1">
      <c r="A81" s="302"/>
      <c r="B81" s="303" t="s">
        <v>69</v>
      </c>
      <c r="C81" s="329">
        <f>ROUND(D81,2)</f>
        <v>2</v>
      </c>
      <c r="D81" s="430">
        <f>D74*2</f>
        <v>2</v>
      </c>
      <c r="E81" s="302" t="s">
        <v>3</v>
      </c>
      <c r="F81" s="325">
        <f>VLOOKUP(B81,BQ!$B$6:$E$111,4,FALSE)</f>
        <v>30250.000000000004</v>
      </c>
      <c r="G81" s="302" t="s">
        <v>3</v>
      </c>
      <c r="H81" s="362">
        <f>F81*C81</f>
        <v>60500.000000000007</v>
      </c>
      <c r="I81" s="521"/>
      <c r="K81" s="392">
        <f>H81</f>
        <v>60500.000000000007</v>
      </c>
      <c r="M81" s="390"/>
      <c r="N81" s="404"/>
      <c r="O81" s="404"/>
      <c r="P81" s="404"/>
      <c r="Q81" s="390"/>
      <c r="R81" s="390"/>
      <c r="S81" s="404"/>
      <c r="V81" s="390">
        <f>C81</f>
        <v>2</v>
      </c>
    </row>
    <row r="82" spans="1:22" ht="22.5" customHeight="1">
      <c r="A82" s="302"/>
      <c r="B82" s="303" t="s">
        <v>67</v>
      </c>
      <c r="C82" s="329">
        <f>ROUND(D82,2)</f>
        <v>15</v>
      </c>
      <c r="D82" s="430">
        <f>D74*15</f>
        <v>15</v>
      </c>
      <c r="E82" s="302" t="s">
        <v>3</v>
      </c>
      <c r="F82" s="325">
        <f>VLOOKUP(B82,BQ!$B$6:$E$111,4,FALSE)</f>
        <v>21780</v>
      </c>
      <c r="G82" s="302" t="s">
        <v>3</v>
      </c>
      <c r="H82" s="362">
        <f>F82*C82</f>
        <v>326700</v>
      </c>
      <c r="I82" s="521"/>
      <c r="K82" s="392">
        <f>H82</f>
        <v>326700</v>
      </c>
      <c r="M82" s="390"/>
      <c r="N82" s="404"/>
      <c r="O82" s="404"/>
      <c r="P82" s="404"/>
      <c r="Q82" s="390"/>
      <c r="R82" s="390"/>
      <c r="S82" s="404"/>
      <c r="T82" s="390">
        <f>C82</f>
        <v>15</v>
      </c>
      <c r="U82" s="390"/>
    </row>
    <row r="83" spans="1:22" ht="22.5" customHeight="1" thickBot="1">
      <c r="A83" s="302"/>
      <c r="B83" s="303"/>
      <c r="C83" s="329"/>
      <c r="D83" s="430"/>
      <c r="E83" s="302"/>
      <c r="F83" s="449"/>
      <c r="G83" s="447"/>
      <c r="H83" s="448">
        <f>SUM(H81:H82)</f>
        <v>387200</v>
      </c>
      <c r="I83" s="521"/>
      <c r="M83" s="390"/>
      <c r="N83" s="404"/>
      <c r="O83" s="404"/>
      <c r="P83" s="404"/>
      <c r="Q83" s="390"/>
      <c r="R83" s="390"/>
      <c r="S83" s="404"/>
      <c r="T83" s="390"/>
      <c r="U83" s="390"/>
    </row>
    <row r="84" spans="1:22" ht="21.5" customHeight="1" thickBot="1">
      <c r="A84" s="302"/>
      <c r="B84" s="303"/>
      <c r="C84" s="329"/>
      <c r="D84" s="430"/>
      <c r="E84" s="302"/>
      <c r="F84" s="555" t="s">
        <v>266</v>
      </c>
      <c r="G84" s="503" t="s">
        <v>221</v>
      </c>
      <c r="H84" s="435">
        <f>H83+H79</f>
        <v>845928</v>
      </c>
      <c r="I84" s="522"/>
      <c r="M84" s="390"/>
      <c r="N84" s="404"/>
      <c r="O84" s="404"/>
      <c r="P84" s="404"/>
      <c r="Q84" s="390"/>
      <c r="R84" s="390"/>
      <c r="S84" s="404"/>
      <c r="T84" s="390"/>
      <c r="U84" s="390"/>
    </row>
    <row r="85" spans="1:22" ht="21.5" customHeight="1" thickTop="1">
      <c r="A85" s="302"/>
      <c r="B85" s="303"/>
      <c r="C85" s="329"/>
      <c r="D85" s="430"/>
      <c r="E85" s="302"/>
      <c r="F85" s="301"/>
      <c r="G85" s="302"/>
      <c r="H85" s="456"/>
      <c r="I85" s="524"/>
      <c r="J85" s="398"/>
      <c r="K85" s="398"/>
      <c r="L85" s="398"/>
      <c r="M85" s="390"/>
      <c r="N85" s="404"/>
      <c r="O85" s="404"/>
      <c r="P85" s="404"/>
      <c r="Q85" s="390"/>
      <c r="R85" s="390"/>
      <c r="S85" s="404"/>
    </row>
    <row r="86" spans="1:22" s="460" customFormat="1" ht="45" customHeight="1">
      <c r="A86" s="312">
        <f>A74+1</f>
        <v>9</v>
      </c>
      <c r="B86" s="452" t="s">
        <v>241</v>
      </c>
      <c r="C86" s="428">
        <f>ROUND(D86,2)</f>
        <v>1</v>
      </c>
      <c r="D86" s="439">
        <v>1</v>
      </c>
      <c r="E86" s="457" t="s">
        <v>220</v>
      </c>
      <c r="F86" s="301"/>
      <c r="G86" s="302"/>
      <c r="H86" s="362"/>
      <c r="I86" s="521"/>
      <c r="J86" s="459"/>
      <c r="K86" s="459"/>
      <c r="L86" s="459"/>
    </row>
    <row r="87" spans="1:22" s="460" customFormat="1" ht="23.15" customHeight="1">
      <c r="A87" s="302"/>
      <c r="B87" s="461" t="s">
        <v>65</v>
      </c>
      <c r="C87" s="329"/>
      <c r="D87" s="430"/>
      <c r="E87" s="302"/>
      <c r="F87" s="301"/>
      <c r="G87" s="302"/>
      <c r="H87" s="362"/>
      <c r="I87" s="521"/>
      <c r="J87" s="459"/>
      <c r="K87" s="459"/>
      <c r="L87" s="459"/>
    </row>
    <row r="88" spans="1:22" s="460" customFormat="1" ht="23.15" customHeight="1">
      <c r="A88" s="302"/>
      <c r="B88" s="303" t="s">
        <v>14</v>
      </c>
      <c r="C88" s="329">
        <f>ROUND(D88,2)</f>
        <v>2.31</v>
      </c>
      <c r="D88" s="430">
        <f>D86*259/112</f>
        <v>2.3125</v>
      </c>
      <c r="E88" s="329" t="s">
        <v>302</v>
      </c>
      <c r="F88" s="325">
        <f>VLOOKUP(B88,BQ!$B$6:$E$111,4,FALSE)</f>
        <v>18600</v>
      </c>
      <c r="G88" s="329" t="s">
        <v>302</v>
      </c>
      <c r="H88" s="362">
        <f>F88*C88</f>
        <v>42966</v>
      </c>
      <c r="I88" s="521"/>
      <c r="J88" s="392">
        <f>H88</f>
        <v>42966</v>
      </c>
      <c r="K88" s="459"/>
      <c r="L88" s="459"/>
    </row>
    <row r="89" spans="1:22" s="460" customFormat="1" ht="23.15" customHeight="1">
      <c r="A89" s="302"/>
      <c r="B89" s="303" t="s">
        <v>16</v>
      </c>
      <c r="C89" s="329">
        <f>ROUND(D89,2)</f>
        <v>0.06</v>
      </c>
      <c r="D89" s="430">
        <f>D86*5.751/100</f>
        <v>5.7510000000000006E-2</v>
      </c>
      <c r="E89" s="329" t="s">
        <v>11</v>
      </c>
      <c r="F89" s="325">
        <f>VLOOKUP(B89,BQ!$B$6:$E$111,4,FALSE)</f>
        <v>30000</v>
      </c>
      <c r="G89" s="329" t="s">
        <v>11</v>
      </c>
      <c r="H89" s="362">
        <f>F89*C89</f>
        <v>1800</v>
      </c>
      <c r="I89" s="521"/>
      <c r="J89" s="392">
        <f>H89</f>
        <v>1800</v>
      </c>
      <c r="K89" s="459"/>
      <c r="L89" s="459"/>
    </row>
    <row r="90" spans="1:22" s="460" customFormat="1" ht="23.15" customHeight="1">
      <c r="A90" s="302"/>
      <c r="B90" s="431" t="s">
        <v>303</v>
      </c>
      <c r="C90" s="329">
        <f>ROUND(D90,2)</f>
        <v>0.12</v>
      </c>
      <c r="D90" s="430">
        <f>D86*11.5/100</f>
        <v>0.115</v>
      </c>
      <c r="E90" s="329" t="s">
        <v>11</v>
      </c>
      <c r="F90" s="325">
        <f>VLOOKUP(B90,BQ!$B$6:$E$111,4,FALSE)</f>
        <v>110000</v>
      </c>
      <c r="G90" s="329" t="s">
        <v>11</v>
      </c>
      <c r="H90" s="362">
        <f>F90*C90</f>
        <v>13200</v>
      </c>
      <c r="I90" s="521"/>
      <c r="J90" s="392">
        <f>H90</f>
        <v>13200</v>
      </c>
      <c r="K90" s="459"/>
      <c r="L90" s="459"/>
    </row>
    <row r="91" spans="1:22" s="460" customFormat="1" ht="23.15" customHeight="1">
      <c r="A91" s="302"/>
      <c r="B91" s="303"/>
      <c r="C91" s="329"/>
      <c r="D91" s="430"/>
      <c r="E91" s="457"/>
      <c r="F91" s="301"/>
      <c r="G91" s="312"/>
      <c r="H91" s="362">
        <f>SUM(H88:H90)</f>
        <v>57966</v>
      </c>
      <c r="I91" s="521"/>
      <c r="J91" s="459"/>
      <c r="K91" s="459"/>
      <c r="L91" s="459"/>
    </row>
    <row r="92" spans="1:22" s="460" customFormat="1" ht="23.15" customHeight="1">
      <c r="A92" s="302"/>
      <c r="B92" s="461" t="s">
        <v>66</v>
      </c>
      <c r="C92" s="329"/>
      <c r="D92" s="430"/>
      <c r="E92" s="302"/>
      <c r="F92" s="301"/>
      <c r="G92" s="302"/>
      <c r="H92" s="362"/>
      <c r="I92" s="521"/>
      <c r="J92" s="459"/>
      <c r="K92" s="459"/>
      <c r="L92" s="459"/>
    </row>
    <row r="93" spans="1:22" s="460" customFormat="1" ht="23.15" customHeight="1">
      <c r="A93" s="302"/>
      <c r="B93" s="303" t="s">
        <v>69</v>
      </c>
      <c r="C93" s="329">
        <f>ROUND(D93,2)</f>
        <v>0.75</v>
      </c>
      <c r="D93" s="430">
        <f>D86*0.75</f>
        <v>0.75</v>
      </c>
      <c r="E93" s="302" t="s">
        <v>3</v>
      </c>
      <c r="F93" s="325">
        <f>VLOOKUP(B93,BQ!$B$6:$E$111,4,FALSE)</f>
        <v>30250.000000000004</v>
      </c>
      <c r="G93" s="302" t="s">
        <v>3</v>
      </c>
      <c r="H93" s="362">
        <f>F93*C93</f>
        <v>22687.500000000004</v>
      </c>
      <c r="I93" s="521"/>
      <c r="J93" s="392"/>
      <c r="K93" s="392">
        <f>H93</f>
        <v>22687.500000000004</v>
      </c>
      <c r="L93" s="459"/>
    </row>
    <row r="94" spans="1:22" s="460" customFormat="1" ht="23.15" customHeight="1">
      <c r="A94" s="302"/>
      <c r="B94" s="303" t="s">
        <v>67</v>
      </c>
      <c r="C94" s="329">
        <f>ROUND(D94,2)</f>
        <v>1.5</v>
      </c>
      <c r="D94" s="430">
        <f>D86*1.5</f>
        <v>1.5</v>
      </c>
      <c r="E94" s="302" t="s">
        <v>3</v>
      </c>
      <c r="F94" s="325">
        <f>VLOOKUP(B94,BQ!$B$6:$E$111,4,FALSE)</f>
        <v>21780</v>
      </c>
      <c r="G94" s="302" t="s">
        <v>3</v>
      </c>
      <c r="H94" s="362">
        <f>F94*C94</f>
        <v>32670</v>
      </c>
      <c r="I94" s="521"/>
      <c r="J94" s="392"/>
      <c r="K94" s="392">
        <f>H94</f>
        <v>32670</v>
      </c>
      <c r="L94" s="459"/>
    </row>
    <row r="95" spans="1:22" s="460" customFormat="1" ht="23.15" customHeight="1" thickBot="1">
      <c r="A95" s="302"/>
      <c r="B95" s="303"/>
      <c r="C95" s="329"/>
      <c r="D95" s="430"/>
      <c r="E95" s="302"/>
      <c r="F95" s="301"/>
      <c r="G95" s="302"/>
      <c r="H95" s="362">
        <f>SUM(H93:H94)</f>
        <v>55357.5</v>
      </c>
      <c r="I95" s="521"/>
      <c r="J95" s="392"/>
      <c r="K95" s="392"/>
      <c r="L95" s="459"/>
    </row>
    <row r="96" spans="1:22" s="460" customFormat="1" ht="23.15" customHeight="1" thickBot="1">
      <c r="A96" s="302"/>
      <c r="B96" s="303"/>
      <c r="C96" s="329"/>
      <c r="D96" s="430"/>
      <c r="E96" s="302"/>
      <c r="F96" s="555" t="s">
        <v>266</v>
      </c>
      <c r="G96" s="503" t="s">
        <v>221</v>
      </c>
      <c r="H96" s="435">
        <f>H91+H95</f>
        <v>113323.5</v>
      </c>
      <c r="I96" s="522"/>
      <c r="J96" s="462"/>
      <c r="K96" s="462"/>
      <c r="L96" s="462"/>
    </row>
    <row r="97" spans="1:12" s="460" customFormat="1" ht="23.15" customHeight="1" thickTop="1">
      <c r="A97" s="302"/>
      <c r="B97" s="303"/>
      <c r="C97" s="329"/>
      <c r="D97" s="430"/>
      <c r="E97" s="302"/>
      <c r="F97" s="301"/>
      <c r="G97" s="302"/>
      <c r="H97" s="453"/>
      <c r="I97" s="523"/>
      <c r="J97" s="462"/>
      <c r="K97" s="462"/>
      <c r="L97" s="462"/>
    </row>
    <row r="98" spans="1:12" ht="23.15" hidden="1" customHeight="1">
      <c r="A98" s="312">
        <v>6</v>
      </c>
      <c r="B98" s="455" t="s">
        <v>223</v>
      </c>
      <c r="C98" s="329"/>
      <c r="D98" s="430"/>
      <c r="E98" s="302"/>
      <c r="F98" s="301"/>
      <c r="G98" s="302"/>
      <c r="H98" s="362"/>
      <c r="I98" s="521"/>
    </row>
    <row r="99" spans="1:12" ht="23.15" hidden="1" customHeight="1">
      <c r="A99" s="312"/>
      <c r="B99" s="455" t="s">
        <v>70</v>
      </c>
      <c r="C99" s="428">
        <f>D99</f>
        <v>0</v>
      </c>
      <c r="D99" s="439"/>
      <c r="E99" s="312" t="s">
        <v>9</v>
      </c>
      <c r="F99" s="301"/>
      <c r="G99" s="302"/>
      <c r="H99" s="362"/>
      <c r="I99" s="521"/>
    </row>
    <row r="100" spans="1:12" ht="23.15" hidden="1" customHeight="1">
      <c r="A100" s="302"/>
      <c r="B100" s="429" t="s">
        <v>65</v>
      </c>
      <c r="C100" s="329"/>
      <c r="D100" s="430"/>
      <c r="E100" s="302"/>
      <c r="F100" s="301"/>
      <c r="G100" s="302"/>
      <c r="H100" s="362"/>
      <c r="I100" s="521"/>
    </row>
    <row r="101" spans="1:12" ht="23.15" hidden="1" customHeight="1">
      <c r="A101" s="302"/>
      <c r="B101" s="455" t="s">
        <v>300</v>
      </c>
      <c r="C101" s="329">
        <f>ROUND(D101,2)</f>
        <v>0</v>
      </c>
      <c r="D101" s="430"/>
      <c r="E101" s="302" t="s">
        <v>9</v>
      </c>
      <c r="F101" s="301">
        <v>720000</v>
      </c>
      <c r="G101" s="302" t="s">
        <v>9</v>
      </c>
      <c r="H101" s="362">
        <f>F101*C101</f>
        <v>0</v>
      </c>
      <c r="I101" s="521"/>
      <c r="J101" s="392">
        <f>H101</f>
        <v>0</v>
      </c>
    </row>
    <row r="102" spans="1:12" ht="18" hidden="1" customHeight="1">
      <c r="A102" s="302"/>
      <c r="B102" s="421" t="s">
        <v>342</v>
      </c>
      <c r="C102" s="329">
        <f>D102</f>
        <v>0</v>
      </c>
      <c r="D102" s="430"/>
      <c r="E102" s="302" t="s">
        <v>9</v>
      </c>
      <c r="F102" s="301" t="e">
        <f>BQ!#REF!</f>
        <v>#REF!</v>
      </c>
      <c r="G102" s="302" t="s">
        <v>9</v>
      </c>
      <c r="H102" s="362"/>
      <c r="I102" s="521"/>
    </row>
    <row r="103" spans="1:12" ht="18" hidden="1" customHeight="1">
      <c r="A103" s="302"/>
      <c r="B103" s="421" t="s">
        <v>343</v>
      </c>
      <c r="C103" s="329">
        <f t="shared" ref="C103:C108" si="0">D103</f>
        <v>0</v>
      </c>
      <c r="D103" s="430"/>
      <c r="E103" s="302" t="s">
        <v>9</v>
      </c>
      <c r="F103" s="301" t="e">
        <f>BQ!#REF!</f>
        <v>#REF!</v>
      </c>
      <c r="G103" s="302" t="s">
        <v>9</v>
      </c>
      <c r="H103" s="362"/>
      <c r="I103" s="521"/>
    </row>
    <row r="104" spans="1:12" ht="18" hidden="1" customHeight="1">
      <c r="A104" s="302"/>
      <c r="B104" s="421" t="s">
        <v>344</v>
      </c>
      <c r="C104" s="329">
        <f t="shared" si="0"/>
        <v>0</v>
      </c>
      <c r="D104" s="430"/>
      <c r="E104" s="302" t="s">
        <v>9</v>
      </c>
      <c r="F104" s="301" t="e">
        <f>BQ!#REF!</f>
        <v>#REF!</v>
      </c>
      <c r="G104" s="302" t="s">
        <v>9</v>
      </c>
      <c r="H104" s="362"/>
      <c r="I104" s="521"/>
    </row>
    <row r="105" spans="1:12" ht="23.15" hidden="1" customHeight="1">
      <c r="A105" s="302"/>
      <c r="B105" s="421" t="s">
        <v>20</v>
      </c>
      <c r="C105" s="329">
        <f t="shared" si="0"/>
        <v>0</v>
      </c>
      <c r="D105" s="430">
        <f>(D99*20)/3.6</f>
        <v>0</v>
      </c>
      <c r="E105" s="302" t="s">
        <v>52</v>
      </c>
      <c r="F105" s="301" t="e">
        <f>BQ!#REF!</f>
        <v>#REF!</v>
      </c>
      <c r="G105" s="302" t="s">
        <v>52</v>
      </c>
      <c r="H105" s="362"/>
      <c r="I105" s="521"/>
    </row>
    <row r="106" spans="1:12" ht="23.15" hidden="1" customHeight="1">
      <c r="A106" s="302"/>
      <c r="B106" s="429" t="s">
        <v>185</v>
      </c>
      <c r="C106" s="329"/>
      <c r="D106" s="430"/>
      <c r="E106" s="302"/>
      <c r="F106" s="301"/>
      <c r="G106" s="302"/>
      <c r="H106" s="362"/>
      <c r="I106" s="521"/>
    </row>
    <row r="107" spans="1:12" ht="23.15" hidden="1" customHeight="1">
      <c r="A107" s="302"/>
      <c r="B107" s="303" t="s">
        <v>242</v>
      </c>
      <c r="C107" s="329">
        <f t="shared" si="0"/>
        <v>0</v>
      </c>
      <c r="D107" s="430">
        <f>D99*14</f>
        <v>0</v>
      </c>
      <c r="E107" s="302" t="s">
        <v>1</v>
      </c>
      <c r="F107" s="301" t="e">
        <f>BQ!#REF!</f>
        <v>#REF!</v>
      </c>
      <c r="G107" s="302" t="s">
        <v>1</v>
      </c>
      <c r="H107" s="362"/>
      <c r="I107" s="521"/>
    </row>
    <row r="108" spans="1:12" ht="23.15" hidden="1" customHeight="1" thickBot="1">
      <c r="A108" s="302"/>
      <c r="B108" s="303" t="s">
        <v>67</v>
      </c>
      <c r="C108" s="329">
        <f t="shared" si="0"/>
        <v>0</v>
      </c>
      <c r="D108" s="430">
        <f>D99*14</f>
        <v>0</v>
      </c>
      <c r="E108" s="302" t="s">
        <v>1</v>
      </c>
      <c r="F108" s="301">
        <f>BQ!E110</f>
        <v>21780</v>
      </c>
      <c r="G108" s="302" t="s">
        <v>1</v>
      </c>
      <c r="H108" s="362"/>
      <c r="I108" s="521"/>
    </row>
    <row r="109" spans="1:12" ht="23.15" hidden="1" customHeight="1" thickBot="1">
      <c r="A109" s="302"/>
      <c r="B109" s="303"/>
      <c r="C109" s="329"/>
      <c r="D109" s="430"/>
      <c r="E109" s="302"/>
      <c r="F109" s="433" t="s">
        <v>266</v>
      </c>
      <c r="G109" s="434" t="s">
        <v>221</v>
      </c>
      <c r="H109" s="435"/>
      <c r="I109" s="522"/>
    </row>
    <row r="110" spans="1:12" ht="23.15" hidden="1" customHeight="1" thickTop="1">
      <c r="A110" s="302"/>
      <c r="B110" s="303"/>
      <c r="C110" s="329"/>
      <c r="D110" s="430"/>
      <c r="E110" s="302"/>
      <c r="F110" s="301"/>
      <c r="G110" s="302"/>
      <c r="H110" s="465"/>
      <c r="I110" s="522"/>
    </row>
    <row r="111" spans="1:12" ht="66" customHeight="1">
      <c r="A111" s="312">
        <f>A86+1</f>
        <v>10</v>
      </c>
      <c r="B111" s="464" t="s">
        <v>410</v>
      </c>
      <c r="C111" s="428">
        <f>D111</f>
        <v>1</v>
      </c>
      <c r="D111" s="439">
        <v>1</v>
      </c>
      <c r="E111" s="312" t="s">
        <v>9</v>
      </c>
      <c r="F111" s="301"/>
      <c r="G111" s="302"/>
      <c r="H111" s="362"/>
      <c r="I111" s="521"/>
    </row>
    <row r="112" spans="1:12" ht="23.15" customHeight="1">
      <c r="A112" s="302"/>
      <c r="B112" s="429" t="s">
        <v>65</v>
      </c>
      <c r="C112" s="329"/>
      <c r="D112" s="430"/>
      <c r="E112" s="302"/>
      <c r="F112" s="301"/>
      <c r="G112" s="302"/>
      <c r="H112" s="362"/>
      <c r="I112" s="521"/>
    </row>
    <row r="113" spans="1:12" ht="18" customHeight="1">
      <c r="A113" s="302"/>
      <c r="B113" s="421" t="s">
        <v>342</v>
      </c>
      <c r="C113" s="329">
        <f>D113</f>
        <v>0</v>
      </c>
      <c r="D113" s="430">
        <f>RATE!D111*BE!D305/BE!D302</f>
        <v>0</v>
      </c>
      <c r="E113" s="302" t="s">
        <v>9</v>
      </c>
      <c r="F113" s="301" t="e">
        <f>VLOOKUP(B113,BQ!$B$5:$E$120,4,FALSE)</f>
        <v>#N/A</v>
      </c>
      <c r="G113" s="302" t="s">
        <v>9</v>
      </c>
      <c r="H113" s="362" t="e">
        <f>F113*C113</f>
        <v>#N/A</v>
      </c>
      <c r="I113" s="521"/>
      <c r="J113" s="392" t="e">
        <f>H113</f>
        <v>#N/A</v>
      </c>
    </row>
    <row r="114" spans="1:12" ht="18" customHeight="1">
      <c r="A114" s="302"/>
      <c r="B114" s="421" t="s">
        <v>344</v>
      </c>
      <c r="C114" s="329">
        <f t="shared" ref="C114:C119" si="1">D114</f>
        <v>0</v>
      </c>
      <c r="D114" s="430">
        <f>RATE!D111*BE!D307/BE!D302</f>
        <v>0</v>
      </c>
      <c r="E114" s="302" t="s">
        <v>9</v>
      </c>
      <c r="F114" s="301" t="e">
        <f>VLOOKUP(B114,BQ!$B$5:$E$120,4,FALSE)</f>
        <v>#N/A</v>
      </c>
      <c r="G114" s="302" t="s">
        <v>9</v>
      </c>
      <c r="H114" s="362" t="e">
        <f>F114*C114</f>
        <v>#N/A</v>
      </c>
      <c r="I114" s="521"/>
      <c r="J114" s="392" t="e">
        <f>H114</f>
        <v>#N/A</v>
      </c>
    </row>
    <row r="115" spans="1:12" ht="23.15" customHeight="1">
      <c r="A115" s="302"/>
      <c r="B115" s="421" t="s">
        <v>20</v>
      </c>
      <c r="C115" s="329">
        <f t="shared" si="1"/>
        <v>0</v>
      </c>
      <c r="D115" s="430">
        <f>RATE!D111*BE!D309/BE!D302</f>
        <v>0</v>
      </c>
      <c r="E115" s="302" t="s">
        <v>52</v>
      </c>
      <c r="F115" s="301">
        <f>VLOOKUP(B115,BQ!$B$5:$E$120,4,FALSE)</f>
        <v>9200</v>
      </c>
      <c r="G115" s="302" t="s">
        <v>52</v>
      </c>
      <c r="H115" s="362">
        <f>F115*C115</f>
        <v>0</v>
      </c>
      <c r="I115" s="521"/>
      <c r="J115" s="392">
        <f>H115</f>
        <v>0</v>
      </c>
    </row>
    <row r="116" spans="1:12" ht="23.15" customHeight="1">
      <c r="A116" s="302"/>
      <c r="B116" s="421"/>
      <c r="C116" s="329"/>
      <c r="D116" s="430"/>
      <c r="E116" s="302"/>
      <c r="F116" s="301"/>
      <c r="G116" s="302"/>
      <c r="H116" s="362" t="e">
        <f>SUM(H113:H115)</f>
        <v>#N/A</v>
      </c>
      <c r="I116" s="521"/>
    </row>
    <row r="117" spans="1:12" ht="23.15" customHeight="1">
      <c r="A117" s="302"/>
      <c r="B117" s="429" t="s">
        <v>185</v>
      </c>
      <c r="C117" s="329"/>
      <c r="D117" s="430"/>
      <c r="E117" s="302"/>
      <c r="F117" s="301"/>
      <c r="G117" s="302"/>
      <c r="H117" s="362"/>
      <c r="I117" s="521"/>
    </row>
    <row r="118" spans="1:12" ht="23.15" customHeight="1">
      <c r="A118" s="302"/>
      <c r="B118" s="303" t="s">
        <v>242</v>
      </c>
      <c r="C118" s="329">
        <f t="shared" si="1"/>
        <v>14</v>
      </c>
      <c r="D118" s="430">
        <f>D111*14</f>
        <v>14</v>
      </c>
      <c r="E118" s="302" t="s">
        <v>1</v>
      </c>
      <c r="F118" s="301">
        <f>VLOOKUP(B118,BQ!$B$5:$E$120,4,FALSE)</f>
        <v>30250.000000000004</v>
      </c>
      <c r="G118" s="302" t="s">
        <v>1</v>
      </c>
      <c r="H118" s="362">
        <f>F118*C118</f>
        <v>423500.00000000006</v>
      </c>
      <c r="I118" s="521"/>
      <c r="K118" s="392">
        <f>H118</f>
        <v>423500.00000000006</v>
      </c>
    </row>
    <row r="119" spans="1:12" ht="23.15" customHeight="1">
      <c r="A119" s="302"/>
      <c r="B119" s="303" t="s">
        <v>67</v>
      </c>
      <c r="C119" s="329">
        <f t="shared" si="1"/>
        <v>14</v>
      </c>
      <c r="D119" s="430">
        <f>D111*14</f>
        <v>14</v>
      </c>
      <c r="E119" s="302" t="s">
        <v>1</v>
      </c>
      <c r="F119" s="301">
        <f>VLOOKUP(B119,BQ!$B$5:$E$120,4,FALSE)</f>
        <v>21780</v>
      </c>
      <c r="G119" s="302" t="s">
        <v>1</v>
      </c>
      <c r="H119" s="362">
        <f>F119*C119</f>
        <v>304920</v>
      </c>
      <c r="I119" s="521"/>
      <c r="K119" s="392">
        <f>H119</f>
        <v>304920</v>
      </c>
    </row>
    <row r="120" spans="1:12" ht="23.15" customHeight="1" thickBot="1">
      <c r="A120" s="302"/>
      <c r="B120" s="303"/>
      <c r="C120" s="329"/>
      <c r="D120" s="430"/>
      <c r="E120" s="302"/>
      <c r="F120" s="449"/>
      <c r="G120" s="447"/>
      <c r="H120" s="448">
        <f>SUM(H118:H119)</f>
        <v>728420</v>
      </c>
      <c r="I120" s="521"/>
    </row>
    <row r="121" spans="1:12" ht="23.15" customHeight="1" thickBot="1">
      <c r="A121" s="302"/>
      <c r="B121" s="303"/>
      <c r="C121" s="329"/>
      <c r="D121" s="430"/>
      <c r="E121" s="302"/>
      <c r="F121" s="555" t="s">
        <v>266</v>
      </c>
      <c r="G121" s="503" t="s">
        <v>221</v>
      </c>
      <c r="H121" s="435" t="e">
        <f>H120+H116</f>
        <v>#N/A</v>
      </c>
      <c r="I121" s="522"/>
    </row>
    <row r="122" spans="1:12" ht="23.15" customHeight="1" thickTop="1">
      <c r="A122" s="302"/>
      <c r="B122" s="303"/>
      <c r="C122" s="329"/>
      <c r="D122" s="430"/>
      <c r="E122" s="302"/>
      <c r="F122" s="301"/>
      <c r="G122" s="302"/>
      <c r="H122" s="465"/>
      <c r="I122" s="522"/>
    </row>
    <row r="123" spans="1:12" s="460" customFormat="1" ht="44" customHeight="1">
      <c r="A123" s="312">
        <f>A111+1</f>
        <v>11</v>
      </c>
      <c r="B123" s="452" t="s">
        <v>357</v>
      </c>
      <c r="C123" s="428">
        <f>ROUND(D123,2)</f>
        <v>1</v>
      </c>
      <c r="D123" s="439">
        <v>1</v>
      </c>
      <c r="E123" s="457" t="s">
        <v>222</v>
      </c>
      <c r="F123" s="301"/>
      <c r="G123" s="302"/>
      <c r="H123" s="362"/>
      <c r="I123" s="521"/>
      <c r="J123" s="459"/>
      <c r="K123" s="459"/>
      <c r="L123" s="459"/>
    </row>
    <row r="124" spans="1:12" s="460" customFormat="1" ht="23.15" customHeight="1">
      <c r="A124" s="302"/>
      <c r="B124" s="461" t="s">
        <v>65</v>
      </c>
      <c r="C124" s="329"/>
      <c r="D124" s="430"/>
      <c r="E124" s="302"/>
      <c r="F124" s="301"/>
      <c r="G124" s="302"/>
      <c r="H124" s="362"/>
      <c r="I124" s="521"/>
      <c r="J124" s="459"/>
      <c r="K124" s="459"/>
      <c r="L124" s="459"/>
    </row>
    <row r="125" spans="1:12" s="460" customFormat="1" ht="23.15" customHeight="1">
      <c r="A125" s="302"/>
      <c r="B125" s="303" t="s">
        <v>14</v>
      </c>
      <c r="C125" s="329">
        <f>ROUND(D125,2)</f>
        <v>6.96</v>
      </c>
      <c r="D125" s="430">
        <f>D123*780/112</f>
        <v>6.9642857142857144</v>
      </c>
      <c r="E125" s="329" t="s">
        <v>302</v>
      </c>
      <c r="F125" s="325">
        <f>VLOOKUP(B125,BQ!$B$6:$E$111,4,FALSE)</f>
        <v>18600</v>
      </c>
      <c r="G125" s="329" t="s">
        <v>302</v>
      </c>
      <c r="H125" s="362">
        <f>F125*C125</f>
        <v>129456</v>
      </c>
      <c r="I125" s="521"/>
      <c r="J125" s="392">
        <f>H125</f>
        <v>129456</v>
      </c>
      <c r="K125" s="459"/>
      <c r="L125" s="459"/>
    </row>
    <row r="126" spans="1:12" s="460" customFormat="1" ht="23.15" customHeight="1">
      <c r="A126" s="302"/>
      <c r="B126" s="303" t="s">
        <v>16</v>
      </c>
      <c r="C126" s="329">
        <f>ROUND(D126,2)</f>
        <v>0.26</v>
      </c>
      <c r="D126" s="430">
        <f>D123*26/100</f>
        <v>0.26</v>
      </c>
      <c r="E126" s="329" t="s">
        <v>11</v>
      </c>
      <c r="F126" s="325">
        <f>VLOOKUP(B126,BQ!$B$6:$E$111,4,FALSE)</f>
        <v>30000</v>
      </c>
      <c r="G126" s="329" t="s">
        <v>11</v>
      </c>
      <c r="H126" s="362">
        <f>F126*C126</f>
        <v>7800</v>
      </c>
      <c r="I126" s="521"/>
      <c r="J126" s="392">
        <f>H126</f>
        <v>7800</v>
      </c>
      <c r="K126" s="459"/>
      <c r="L126" s="459"/>
    </row>
    <row r="127" spans="1:12" s="460" customFormat="1" ht="23.15" customHeight="1">
      <c r="A127" s="302"/>
      <c r="B127" s="303" t="s">
        <v>24</v>
      </c>
      <c r="C127" s="329">
        <f>ROUND(D127,2)</f>
        <v>1350</v>
      </c>
      <c r="D127" s="430">
        <f>D123*1350</f>
        <v>1350</v>
      </c>
      <c r="E127" s="329" t="s">
        <v>1</v>
      </c>
      <c r="F127" s="325">
        <f>VLOOKUP(B127,BQ!$B$6:$E$111,4,FALSE)</f>
        <v>380</v>
      </c>
      <c r="G127" s="329" t="s">
        <v>1</v>
      </c>
      <c r="H127" s="362">
        <f>F127*C127</f>
        <v>513000</v>
      </c>
      <c r="I127" s="521"/>
      <c r="J127" s="392">
        <f>H127</f>
        <v>513000</v>
      </c>
      <c r="K127" s="459"/>
      <c r="L127" s="459"/>
    </row>
    <row r="128" spans="1:12" s="460" customFormat="1" ht="23.15" customHeight="1">
      <c r="A128" s="302"/>
      <c r="B128" s="303"/>
      <c r="C128" s="329"/>
      <c r="D128" s="430"/>
      <c r="E128" s="457"/>
      <c r="F128" s="301"/>
      <c r="G128" s="312"/>
      <c r="H128" s="362">
        <f>SUM(H125:H127)</f>
        <v>650256</v>
      </c>
      <c r="I128" s="521"/>
      <c r="J128" s="459"/>
      <c r="K128" s="459"/>
      <c r="L128" s="459"/>
    </row>
    <row r="129" spans="1:12" s="460" customFormat="1" ht="23.15" customHeight="1">
      <c r="A129" s="302"/>
      <c r="B129" s="461" t="s">
        <v>66</v>
      </c>
      <c r="C129" s="329"/>
      <c r="D129" s="430"/>
      <c r="E129" s="302"/>
      <c r="F129" s="301"/>
      <c r="G129" s="302"/>
      <c r="H129" s="362"/>
      <c r="I129" s="521"/>
      <c r="J129" s="459"/>
      <c r="K129" s="459"/>
      <c r="L129" s="459"/>
    </row>
    <row r="130" spans="1:12" s="460" customFormat="1" ht="23.15" customHeight="1">
      <c r="A130" s="302"/>
      <c r="B130" s="303" t="s">
        <v>69</v>
      </c>
      <c r="C130" s="329">
        <f>ROUND(D130,2)</f>
        <v>4</v>
      </c>
      <c r="D130" s="430">
        <f>D123*4</f>
        <v>4</v>
      </c>
      <c r="E130" s="302" t="s">
        <v>3</v>
      </c>
      <c r="F130" s="325">
        <f>VLOOKUP(B130,BQ!$B$6:$E$111,4,FALSE)</f>
        <v>30250.000000000004</v>
      </c>
      <c r="G130" s="302" t="s">
        <v>3</v>
      </c>
      <c r="H130" s="362">
        <f>F130*C130</f>
        <v>121000.00000000001</v>
      </c>
      <c r="I130" s="521"/>
      <c r="J130" s="392"/>
      <c r="K130" s="392">
        <f>H130</f>
        <v>121000.00000000001</v>
      </c>
      <c r="L130" s="459"/>
    </row>
    <row r="131" spans="1:12" s="460" customFormat="1" ht="23.15" customHeight="1">
      <c r="A131" s="302"/>
      <c r="B131" s="303" t="s">
        <v>67</v>
      </c>
      <c r="C131" s="329">
        <f>ROUND(D131,2)</f>
        <v>6</v>
      </c>
      <c r="D131" s="430">
        <f>D123*6</f>
        <v>6</v>
      </c>
      <c r="E131" s="302" t="s">
        <v>3</v>
      </c>
      <c r="F131" s="325">
        <f>VLOOKUP(B131,BQ!$B$6:$E$111,4,FALSE)</f>
        <v>21780</v>
      </c>
      <c r="G131" s="302" t="s">
        <v>3</v>
      </c>
      <c r="H131" s="362">
        <f>F131*C131</f>
        <v>130680</v>
      </c>
      <c r="I131" s="521"/>
      <c r="J131" s="392"/>
      <c r="K131" s="392">
        <f>H131</f>
        <v>130680</v>
      </c>
      <c r="L131" s="459"/>
    </row>
    <row r="132" spans="1:12" s="460" customFormat="1" ht="23.15" customHeight="1" thickBot="1">
      <c r="A132" s="302"/>
      <c r="B132" s="303"/>
      <c r="C132" s="329"/>
      <c r="D132" s="430"/>
      <c r="E132" s="302"/>
      <c r="F132" s="301"/>
      <c r="G132" s="302"/>
      <c r="H132" s="362">
        <f>SUM(H130:H131)</f>
        <v>251680</v>
      </c>
      <c r="I132" s="521"/>
      <c r="J132" s="392"/>
      <c r="K132" s="392"/>
      <c r="L132" s="459"/>
    </row>
    <row r="133" spans="1:12" s="460" customFormat="1" ht="23.15" customHeight="1" thickBot="1">
      <c r="A133" s="302"/>
      <c r="B133" s="303"/>
      <c r="C133" s="329"/>
      <c r="D133" s="430"/>
      <c r="E133" s="302"/>
      <c r="F133" s="555" t="s">
        <v>266</v>
      </c>
      <c r="G133" s="503" t="s">
        <v>221</v>
      </c>
      <c r="H133" s="435">
        <f>H128+H132</f>
        <v>901936</v>
      </c>
      <c r="I133" s="522"/>
      <c r="J133" s="462"/>
      <c r="K133" s="462"/>
      <c r="L133" s="462"/>
    </row>
    <row r="134" spans="1:12" ht="23.15" customHeight="1" thickTop="1">
      <c r="A134" s="302"/>
      <c r="B134" s="303"/>
      <c r="C134" s="329"/>
      <c r="D134" s="430"/>
      <c r="E134" s="302"/>
      <c r="F134" s="449"/>
      <c r="G134" s="450"/>
      <c r="H134" s="451"/>
      <c r="I134" s="522"/>
      <c r="J134" s="398"/>
      <c r="K134" s="398"/>
      <c r="L134" s="398"/>
    </row>
    <row r="135" spans="1:12" s="460" customFormat="1" ht="21" customHeight="1">
      <c r="A135" s="312">
        <f>A123+1</f>
        <v>12</v>
      </c>
      <c r="B135" s="466" t="s">
        <v>407</v>
      </c>
      <c r="C135" s="428">
        <f>ROUND(D135,2)</f>
        <v>1</v>
      </c>
      <c r="D135" s="439">
        <v>1</v>
      </c>
      <c r="E135" s="457" t="s">
        <v>220</v>
      </c>
      <c r="F135" s="301"/>
      <c r="G135" s="302"/>
      <c r="H135" s="362"/>
      <c r="I135" s="521"/>
      <c r="J135" s="459"/>
      <c r="K135" s="459"/>
      <c r="L135" s="459"/>
    </row>
    <row r="136" spans="1:12" s="460" customFormat="1" ht="23.15" customHeight="1">
      <c r="A136" s="302"/>
      <c r="B136" s="461" t="s">
        <v>65</v>
      </c>
      <c r="C136" s="329"/>
      <c r="D136" s="430"/>
      <c r="E136" s="302"/>
      <c r="F136" s="301"/>
      <c r="G136" s="302"/>
      <c r="H136" s="362"/>
      <c r="I136" s="521"/>
      <c r="J136" s="459"/>
      <c r="K136" s="459"/>
      <c r="L136" s="459"/>
    </row>
    <row r="137" spans="1:12" s="460" customFormat="1" ht="23.15" customHeight="1">
      <c r="A137" s="302"/>
      <c r="B137" s="303" t="s">
        <v>14</v>
      </c>
      <c r="C137" s="329">
        <f>ROUND(D137,2)</f>
        <v>2.65</v>
      </c>
      <c r="D137" s="430">
        <f>D135*297/112</f>
        <v>2.6517857142857144</v>
      </c>
      <c r="E137" s="329" t="s">
        <v>302</v>
      </c>
      <c r="F137" s="325">
        <f>VLOOKUP(B137,BQ!$B$6:$E$111,4,FALSE)</f>
        <v>18600</v>
      </c>
      <c r="G137" s="329" t="s">
        <v>302</v>
      </c>
      <c r="H137" s="362">
        <f>F137*C137</f>
        <v>49290</v>
      </c>
      <c r="I137" s="521"/>
      <c r="J137" s="392">
        <f>H137</f>
        <v>49290</v>
      </c>
      <c r="K137" s="459"/>
      <c r="L137" s="459"/>
    </row>
    <row r="138" spans="1:12" s="460" customFormat="1" ht="23.15" customHeight="1">
      <c r="A138" s="302"/>
      <c r="B138" s="303" t="s">
        <v>16</v>
      </c>
      <c r="C138" s="329">
        <f>ROUND(D138,2)</f>
        <v>0.1</v>
      </c>
      <c r="D138" s="430">
        <f>D135*10/100</f>
        <v>0.1</v>
      </c>
      <c r="E138" s="329" t="s">
        <v>11</v>
      </c>
      <c r="F138" s="325">
        <f>VLOOKUP(B138,BQ!$B$6:$E$111,4,FALSE)</f>
        <v>30000</v>
      </c>
      <c r="G138" s="329" t="s">
        <v>11</v>
      </c>
      <c r="H138" s="362">
        <f>F138*C138</f>
        <v>3000</v>
      </c>
      <c r="I138" s="521"/>
      <c r="J138" s="392">
        <f>H138</f>
        <v>3000</v>
      </c>
      <c r="K138" s="459"/>
      <c r="L138" s="459"/>
    </row>
    <row r="139" spans="1:12" s="460" customFormat="1" ht="23.15" customHeight="1">
      <c r="A139" s="302"/>
      <c r="B139" s="303" t="s">
        <v>24</v>
      </c>
      <c r="C139" s="329">
        <f>ROUND(D139,2)</f>
        <v>550</v>
      </c>
      <c r="D139" s="430">
        <f>C135*550</f>
        <v>550</v>
      </c>
      <c r="E139" s="329" t="s">
        <v>1</v>
      </c>
      <c r="F139" s="325">
        <f>VLOOKUP(B139,BQ!$B$6:$E$111,4,FALSE)</f>
        <v>380</v>
      </c>
      <c r="G139" s="329" t="s">
        <v>1</v>
      </c>
      <c r="H139" s="362">
        <f>F139*C139</f>
        <v>209000</v>
      </c>
      <c r="I139" s="521"/>
      <c r="J139" s="392">
        <f>H139</f>
        <v>209000</v>
      </c>
      <c r="K139" s="459"/>
      <c r="L139" s="459"/>
    </row>
    <row r="140" spans="1:12" s="460" customFormat="1" ht="23.15" customHeight="1">
      <c r="A140" s="302"/>
      <c r="B140" s="303" t="s">
        <v>409</v>
      </c>
      <c r="C140" s="329">
        <f>ROUND(D140,2)</f>
        <v>115</v>
      </c>
      <c r="D140" s="430">
        <f>D135*115</f>
        <v>115</v>
      </c>
      <c r="E140" s="329" t="s">
        <v>13</v>
      </c>
      <c r="F140" s="325">
        <f>VLOOKUP(B140,BQ!$B$6:$E$111,4,FALSE)</f>
        <v>65</v>
      </c>
      <c r="G140" s="329" t="s">
        <v>13</v>
      </c>
      <c r="H140" s="362">
        <f>F140*C140</f>
        <v>7475</v>
      </c>
      <c r="I140" s="521"/>
      <c r="J140" s="392">
        <f>H140</f>
        <v>7475</v>
      </c>
      <c r="K140" s="459"/>
      <c r="L140" s="459"/>
    </row>
    <row r="141" spans="1:12" s="460" customFormat="1" ht="23.15" customHeight="1">
      <c r="A141" s="302"/>
      <c r="B141" s="303"/>
      <c r="C141" s="329"/>
      <c r="D141" s="430"/>
      <c r="E141" s="457"/>
      <c r="F141" s="301"/>
      <c r="G141" s="312"/>
      <c r="H141" s="362">
        <f>SUM(H137:H140)</f>
        <v>268765</v>
      </c>
      <c r="I141" s="521"/>
      <c r="J141" s="459"/>
      <c r="K141" s="459"/>
      <c r="L141" s="459"/>
    </row>
    <row r="142" spans="1:12" s="460" customFormat="1" ht="23.15" customHeight="1">
      <c r="A142" s="302"/>
      <c r="B142" s="461" t="s">
        <v>66</v>
      </c>
      <c r="C142" s="329"/>
      <c r="D142" s="430"/>
      <c r="E142" s="302"/>
      <c r="F142" s="301"/>
      <c r="G142" s="302"/>
      <c r="H142" s="362"/>
      <c r="I142" s="521"/>
      <c r="J142" s="459"/>
      <c r="K142" s="459"/>
      <c r="L142" s="459"/>
    </row>
    <row r="143" spans="1:12" s="460" customFormat="1" ht="23.15" customHeight="1">
      <c r="A143" s="302"/>
      <c r="B143" s="303" t="s">
        <v>69</v>
      </c>
      <c r="C143" s="329">
        <f>ROUND(D143,2)</f>
        <v>2</v>
      </c>
      <c r="D143" s="430">
        <f>D135*2</f>
        <v>2</v>
      </c>
      <c r="E143" s="302" t="s">
        <v>3</v>
      </c>
      <c r="F143" s="301">
        <f>VLOOKUP(B143,BQ!$B$6:$E$111,4,FALSE)</f>
        <v>30250.000000000004</v>
      </c>
      <c r="G143" s="302" t="s">
        <v>3</v>
      </c>
      <c r="H143" s="362">
        <f>F143*C143</f>
        <v>60500.000000000007</v>
      </c>
      <c r="I143" s="521"/>
      <c r="J143" s="392"/>
      <c r="K143" s="392">
        <f>H143</f>
        <v>60500.000000000007</v>
      </c>
      <c r="L143" s="459"/>
    </row>
    <row r="144" spans="1:12" s="460" customFormat="1" ht="23.15" customHeight="1">
      <c r="A144" s="302"/>
      <c r="B144" s="303" t="s">
        <v>67</v>
      </c>
      <c r="C144" s="329">
        <f>ROUND(D144,2)</f>
        <v>3</v>
      </c>
      <c r="D144" s="430">
        <f>D135*3</f>
        <v>3</v>
      </c>
      <c r="E144" s="302" t="s">
        <v>3</v>
      </c>
      <c r="F144" s="325">
        <f>VLOOKUP(B144,BQ!$B$6:$E$111,4,FALSE)</f>
        <v>21780</v>
      </c>
      <c r="G144" s="302" t="s">
        <v>3</v>
      </c>
      <c r="H144" s="362">
        <f>F144*C144</f>
        <v>65340</v>
      </c>
      <c r="I144" s="521"/>
      <c r="J144" s="392"/>
      <c r="K144" s="392">
        <f>H144</f>
        <v>65340</v>
      </c>
      <c r="L144" s="459"/>
    </row>
    <row r="145" spans="1:12" s="460" customFormat="1" ht="23.15" customHeight="1" thickBot="1">
      <c r="A145" s="302"/>
      <c r="B145" s="303"/>
      <c r="C145" s="329"/>
      <c r="D145" s="430"/>
      <c r="E145" s="302"/>
      <c r="F145" s="301"/>
      <c r="G145" s="302"/>
      <c r="H145" s="362">
        <f>SUM(H143:H144)</f>
        <v>125840</v>
      </c>
      <c r="I145" s="521"/>
      <c r="J145" s="392"/>
      <c r="K145" s="392"/>
      <c r="L145" s="459"/>
    </row>
    <row r="146" spans="1:12" s="460" customFormat="1" ht="23.15" customHeight="1" thickBot="1">
      <c r="A146" s="302"/>
      <c r="B146" s="303"/>
      <c r="C146" s="329"/>
      <c r="D146" s="430"/>
      <c r="E146" s="302"/>
      <c r="F146" s="555" t="s">
        <v>266</v>
      </c>
      <c r="G146" s="503" t="s">
        <v>221</v>
      </c>
      <c r="H146" s="435">
        <f>H141+H145</f>
        <v>394605</v>
      </c>
      <c r="I146" s="522"/>
      <c r="J146" s="462"/>
      <c r="K146" s="462"/>
      <c r="L146" s="462"/>
    </row>
    <row r="147" spans="1:12" ht="23.15" customHeight="1" thickTop="1">
      <c r="A147" s="302"/>
      <c r="B147" s="303"/>
      <c r="C147" s="329"/>
      <c r="D147" s="430"/>
      <c r="E147" s="302"/>
      <c r="F147" s="449"/>
      <c r="G147" s="450"/>
      <c r="H147" s="451"/>
      <c r="I147" s="522"/>
      <c r="J147" s="398"/>
      <c r="K147" s="398"/>
      <c r="L147" s="398"/>
    </row>
    <row r="148" spans="1:12" s="460" customFormat="1" ht="31">
      <c r="A148" s="312">
        <f>A135+1</f>
        <v>13</v>
      </c>
      <c r="B148" s="424" t="s">
        <v>359</v>
      </c>
      <c r="C148" s="428">
        <f>ROUND(D148,2)</f>
        <v>1</v>
      </c>
      <c r="D148" s="439">
        <v>1</v>
      </c>
      <c r="E148" s="457" t="s">
        <v>220</v>
      </c>
      <c r="F148" s="301"/>
      <c r="G148" s="302"/>
      <c r="H148" s="362"/>
      <c r="I148" s="521"/>
      <c r="J148" s="459"/>
      <c r="K148" s="459"/>
      <c r="L148" s="459"/>
    </row>
    <row r="149" spans="1:12" s="460" customFormat="1" ht="23.15" customHeight="1">
      <c r="A149" s="302"/>
      <c r="B149" s="461" t="s">
        <v>65</v>
      </c>
      <c r="C149" s="329"/>
      <c r="D149" s="430"/>
      <c r="E149" s="302"/>
      <c r="F149" s="301"/>
      <c r="G149" s="302"/>
      <c r="H149" s="362"/>
      <c r="I149" s="521"/>
      <c r="J149" s="459"/>
      <c r="K149" s="459"/>
      <c r="L149" s="459"/>
    </row>
    <row r="150" spans="1:12" s="460" customFormat="1" ht="23.15" customHeight="1">
      <c r="A150" s="302"/>
      <c r="B150" s="303" t="s">
        <v>14</v>
      </c>
      <c r="C150" s="329">
        <f>ROUND(D150,2)</f>
        <v>1.34</v>
      </c>
      <c r="D150" s="430">
        <f>D148*150/112</f>
        <v>1.3392857142857142</v>
      </c>
      <c r="E150" s="329" t="s">
        <v>302</v>
      </c>
      <c r="F150" s="325">
        <f>VLOOKUP(B150,BQ!$B$6:$E$111,4,FALSE)</f>
        <v>18600</v>
      </c>
      <c r="G150" s="329" t="s">
        <v>302</v>
      </c>
      <c r="H150" s="362">
        <f>F150*C150</f>
        <v>24924</v>
      </c>
      <c r="I150" s="521"/>
      <c r="J150" s="392">
        <f>H150</f>
        <v>24924</v>
      </c>
      <c r="K150" s="459"/>
      <c r="L150" s="459"/>
    </row>
    <row r="151" spans="1:12" s="460" customFormat="1" ht="23.15" customHeight="1">
      <c r="A151" s="302"/>
      <c r="B151" s="303" t="s">
        <v>16</v>
      </c>
      <c r="C151" s="329">
        <f>ROUND(D151,2)</f>
        <v>0.05</v>
      </c>
      <c r="D151" s="430">
        <f>D148*5/100</f>
        <v>0.05</v>
      </c>
      <c r="E151" s="329" t="s">
        <v>11</v>
      </c>
      <c r="F151" s="325">
        <f>VLOOKUP(B151,BQ!$B$6:$E$111,4,FALSE)</f>
        <v>30000</v>
      </c>
      <c r="G151" s="329" t="s">
        <v>11</v>
      </c>
      <c r="H151" s="362">
        <f>F151*C151</f>
        <v>1500</v>
      </c>
      <c r="I151" s="521"/>
      <c r="J151" s="392">
        <f>H151</f>
        <v>1500</v>
      </c>
      <c r="K151" s="459"/>
      <c r="L151" s="459"/>
    </row>
    <row r="152" spans="1:12" s="460" customFormat="1" ht="23.15" customHeight="1">
      <c r="A152" s="302"/>
      <c r="B152" s="303"/>
      <c r="C152" s="329"/>
      <c r="D152" s="430"/>
      <c r="E152" s="457"/>
      <c r="F152" s="301"/>
      <c r="G152" s="312"/>
      <c r="H152" s="362">
        <f>SUM(H150:H151)</f>
        <v>26424</v>
      </c>
      <c r="I152" s="521"/>
      <c r="J152" s="459"/>
      <c r="K152" s="459"/>
      <c r="L152" s="459"/>
    </row>
    <row r="153" spans="1:12" s="460" customFormat="1" ht="23.15" customHeight="1">
      <c r="A153" s="302"/>
      <c r="B153" s="461" t="s">
        <v>66</v>
      </c>
      <c r="C153" s="329"/>
      <c r="D153" s="430"/>
      <c r="E153" s="302"/>
      <c r="F153" s="301"/>
      <c r="G153" s="302"/>
      <c r="H153" s="362"/>
      <c r="I153" s="521"/>
      <c r="J153" s="459"/>
      <c r="K153" s="459"/>
      <c r="L153" s="459"/>
    </row>
    <row r="154" spans="1:12" s="460" customFormat="1" ht="23.15" customHeight="1">
      <c r="A154" s="302"/>
      <c r="B154" s="303" t="s">
        <v>69</v>
      </c>
      <c r="C154" s="329">
        <f>ROUND(D154,2)</f>
        <v>1</v>
      </c>
      <c r="D154" s="430">
        <f>D148*1</f>
        <v>1</v>
      </c>
      <c r="E154" s="302" t="s">
        <v>3</v>
      </c>
      <c r="F154" s="325">
        <f>VLOOKUP(B154,BQ!$B$6:$E$111,4,FALSE)</f>
        <v>30250.000000000004</v>
      </c>
      <c r="G154" s="302" t="s">
        <v>3</v>
      </c>
      <c r="H154" s="362">
        <f>F154*C154</f>
        <v>30250.000000000004</v>
      </c>
      <c r="I154" s="521"/>
      <c r="J154" s="392"/>
      <c r="K154" s="392">
        <f>H154</f>
        <v>30250.000000000004</v>
      </c>
      <c r="L154" s="459"/>
    </row>
    <row r="155" spans="1:12" s="460" customFormat="1" ht="23.15" customHeight="1">
      <c r="A155" s="302"/>
      <c r="B155" s="303" t="s">
        <v>67</v>
      </c>
      <c r="C155" s="329">
        <f>ROUND(D155,2)</f>
        <v>2</v>
      </c>
      <c r="D155" s="430">
        <f>D148*2</f>
        <v>2</v>
      </c>
      <c r="E155" s="302" t="s">
        <v>3</v>
      </c>
      <c r="F155" s="325">
        <f>VLOOKUP(B155,BQ!$B$6:$E$111,4,FALSE)</f>
        <v>21780</v>
      </c>
      <c r="G155" s="302" t="s">
        <v>3</v>
      </c>
      <c r="H155" s="362">
        <f>F155*C155</f>
        <v>43560</v>
      </c>
      <c r="I155" s="521"/>
      <c r="J155" s="392"/>
      <c r="K155" s="392">
        <f>H155</f>
        <v>43560</v>
      </c>
      <c r="L155" s="459"/>
    </row>
    <row r="156" spans="1:12" s="460" customFormat="1" ht="23.15" customHeight="1" thickBot="1">
      <c r="A156" s="302"/>
      <c r="B156" s="303"/>
      <c r="C156" s="329"/>
      <c r="D156" s="430"/>
      <c r="E156" s="302"/>
      <c r="F156" s="301"/>
      <c r="G156" s="302"/>
      <c r="H156" s="362">
        <f>SUM(H154:H155)</f>
        <v>73810</v>
      </c>
      <c r="I156" s="521"/>
      <c r="J156" s="392"/>
      <c r="K156" s="392"/>
      <c r="L156" s="459"/>
    </row>
    <row r="157" spans="1:12" s="460" customFormat="1" ht="23.15" customHeight="1" thickBot="1">
      <c r="A157" s="302"/>
      <c r="B157" s="303"/>
      <c r="C157" s="329"/>
      <c r="D157" s="430"/>
      <c r="E157" s="302"/>
      <c r="F157" s="555" t="s">
        <v>266</v>
      </c>
      <c r="G157" s="503" t="s">
        <v>221</v>
      </c>
      <c r="H157" s="435">
        <f>H152+H156</f>
        <v>100234</v>
      </c>
      <c r="I157" s="522"/>
      <c r="J157" s="462"/>
      <c r="K157" s="462"/>
      <c r="L157" s="462"/>
    </row>
    <row r="158" spans="1:12" ht="23.15" customHeight="1" thickTop="1">
      <c r="A158" s="302"/>
      <c r="B158" s="303"/>
      <c r="C158" s="329"/>
      <c r="D158" s="430"/>
      <c r="E158" s="302"/>
      <c r="F158" s="449"/>
      <c r="G158" s="450"/>
      <c r="H158" s="451"/>
      <c r="I158" s="522"/>
      <c r="J158" s="398"/>
      <c r="K158" s="398"/>
      <c r="L158" s="398"/>
    </row>
    <row r="159" spans="1:12" s="460" customFormat="1" ht="31">
      <c r="A159" s="312">
        <f>A148+1</f>
        <v>14</v>
      </c>
      <c r="B159" s="424" t="s">
        <v>373</v>
      </c>
      <c r="C159" s="428">
        <f>ROUND(D159,2)</f>
        <v>1</v>
      </c>
      <c r="D159" s="439">
        <v>1</v>
      </c>
      <c r="E159" s="457" t="s">
        <v>220</v>
      </c>
      <c r="F159" s="301"/>
      <c r="G159" s="302"/>
      <c r="H159" s="362"/>
      <c r="I159" s="521"/>
      <c r="J159" s="459"/>
      <c r="K159" s="459"/>
      <c r="L159" s="459"/>
    </row>
    <row r="160" spans="1:12" s="460" customFormat="1" ht="23.15" customHeight="1">
      <c r="A160" s="302"/>
      <c r="B160" s="461" t="s">
        <v>65</v>
      </c>
      <c r="C160" s="329"/>
      <c r="D160" s="430"/>
      <c r="E160" s="302"/>
      <c r="F160" s="301"/>
      <c r="G160" s="302"/>
      <c r="H160" s="362"/>
      <c r="I160" s="521"/>
      <c r="J160" s="459"/>
      <c r="K160" s="459"/>
      <c r="L160" s="459"/>
    </row>
    <row r="161" spans="1:12" s="460" customFormat="1" ht="23.15" customHeight="1">
      <c r="A161" s="302"/>
      <c r="B161" s="303" t="s">
        <v>374</v>
      </c>
      <c r="C161" s="329">
        <f>ROUND(D161,2)</f>
        <v>0.75</v>
      </c>
      <c r="D161" s="430">
        <f>D159*0.75</f>
        <v>0.75</v>
      </c>
      <c r="E161" s="329" t="s">
        <v>23</v>
      </c>
      <c r="F161" s="325">
        <f>VLOOKUP(B161,BQ!$B$6:$E$111,4,FALSE)</f>
        <v>24000</v>
      </c>
      <c r="G161" s="329" t="s">
        <v>23</v>
      </c>
      <c r="H161" s="362">
        <f>F161*C161</f>
        <v>18000</v>
      </c>
      <c r="I161" s="521"/>
      <c r="J161" s="392">
        <f>H161</f>
        <v>18000</v>
      </c>
      <c r="K161" s="459"/>
      <c r="L161" s="459"/>
    </row>
    <row r="162" spans="1:12" s="460" customFormat="1" ht="23.15" customHeight="1">
      <c r="A162" s="302"/>
      <c r="B162" s="303" t="s">
        <v>73</v>
      </c>
      <c r="C162" s="329">
        <f>ROUND(D162,2)</f>
        <v>0.5</v>
      </c>
      <c r="D162" s="430">
        <f>D159*0.5</f>
        <v>0.5</v>
      </c>
      <c r="E162" s="329" t="s">
        <v>154</v>
      </c>
      <c r="F162" s="325">
        <f>VLOOKUP(B162,BQ!$B$6:$E$111,4,FALSE)</f>
        <v>21600</v>
      </c>
      <c r="G162" s="329" t="s">
        <v>154</v>
      </c>
      <c r="H162" s="362">
        <f>F162*C162</f>
        <v>10800</v>
      </c>
      <c r="I162" s="521"/>
      <c r="J162" s="392">
        <f>H162</f>
        <v>10800</v>
      </c>
      <c r="K162" s="459"/>
      <c r="L162" s="459"/>
    </row>
    <row r="163" spans="1:12" s="460" customFormat="1" ht="23.15" customHeight="1">
      <c r="A163" s="302"/>
      <c r="B163" s="303" t="s">
        <v>155</v>
      </c>
      <c r="C163" s="329">
        <f>ROUND(D163,2)</f>
        <v>0.25</v>
      </c>
      <c r="D163" s="430">
        <f>D159*0.25</f>
        <v>0.25</v>
      </c>
      <c r="E163" s="329" t="s">
        <v>304</v>
      </c>
      <c r="F163" s="325">
        <f>VLOOKUP(B163,BQ!$B$6:$E$111,4,FALSE)</f>
        <v>2000</v>
      </c>
      <c r="G163" s="329" t="s">
        <v>304</v>
      </c>
      <c r="H163" s="362">
        <f>F163*C163</f>
        <v>500</v>
      </c>
      <c r="I163" s="521"/>
      <c r="J163" s="392">
        <f>H163</f>
        <v>500</v>
      </c>
      <c r="K163" s="459"/>
      <c r="L163" s="459"/>
    </row>
    <row r="164" spans="1:12" s="460" customFormat="1" ht="23.15" customHeight="1">
      <c r="A164" s="302"/>
      <c r="B164" s="303"/>
      <c r="C164" s="329"/>
      <c r="D164" s="430"/>
      <c r="E164" s="457"/>
      <c r="F164" s="301"/>
      <c r="G164" s="312"/>
      <c r="H164" s="362">
        <f>SUM(H161:H163)</f>
        <v>29300</v>
      </c>
      <c r="I164" s="521"/>
      <c r="J164" s="459"/>
      <c r="K164" s="459"/>
      <c r="L164" s="459"/>
    </row>
    <row r="165" spans="1:12" s="460" customFormat="1" ht="23.15" customHeight="1">
      <c r="A165" s="302"/>
      <c r="B165" s="461" t="s">
        <v>66</v>
      </c>
      <c r="C165" s="329"/>
      <c r="D165" s="430"/>
      <c r="E165" s="302"/>
      <c r="F165" s="301"/>
      <c r="G165" s="302"/>
      <c r="H165" s="362"/>
      <c r="I165" s="521"/>
      <c r="J165" s="459"/>
      <c r="K165" s="459"/>
      <c r="L165" s="459"/>
    </row>
    <row r="166" spans="1:12" s="460" customFormat="1" ht="23.15" customHeight="1">
      <c r="A166" s="302"/>
      <c r="B166" s="303" t="s">
        <v>75</v>
      </c>
      <c r="C166" s="329">
        <f>ROUND(D166,2)</f>
        <v>1</v>
      </c>
      <c r="D166" s="430">
        <f>D159*1</f>
        <v>1</v>
      </c>
      <c r="E166" s="302" t="s">
        <v>3</v>
      </c>
      <c r="F166" s="325">
        <f>VLOOKUP(B166,BQ!$B$6:$E$111,4,FALSE)</f>
        <v>30250.000000000004</v>
      </c>
      <c r="G166" s="302" t="s">
        <v>3</v>
      </c>
      <c r="H166" s="362">
        <f>F166*C166</f>
        <v>30250.000000000004</v>
      </c>
      <c r="I166" s="521"/>
      <c r="J166" s="392"/>
      <c r="K166" s="392">
        <f>H166</f>
        <v>30250.000000000004</v>
      </c>
      <c r="L166" s="459"/>
    </row>
    <row r="167" spans="1:12" s="460" customFormat="1" ht="23.15" customHeight="1">
      <c r="A167" s="302"/>
      <c r="B167" s="303" t="s">
        <v>67</v>
      </c>
      <c r="C167" s="329">
        <f>ROUND(D167,2)</f>
        <v>1</v>
      </c>
      <c r="D167" s="430">
        <f>D159*1</f>
        <v>1</v>
      </c>
      <c r="E167" s="302" t="s">
        <v>3</v>
      </c>
      <c r="F167" s="325">
        <f>VLOOKUP(B167,BQ!$B$6:$E$111,4,FALSE)</f>
        <v>21780</v>
      </c>
      <c r="G167" s="302" t="s">
        <v>3</v>
      </c>
      <c r="H167" s="362">
        <f>F167*C167</f>
        <v>21780</v>
      </c>
      <c r="I167" s="521"/>
      <c r="J167" s="392"/>
      <c r="K167" s="392">
        <f>H167</f>
        <v>21780</v>
      </c>
      <c r="L167" s="459"/>
    </row>
    <row r="168" spans="1:12" s="460" customFormat="1" ht="23.15" customHeight="1" thickBot="1">
      <c r="A168" s="302"/>
      <c r="B168" s="303"/>
      <c r="C168" s="329"/>
      <c r="D168" s="430"/>
      <c r="E168" s="302"/>
      <c r="F168" s="301"/>
      <c r="G168" s="302"/>
      <c r="H168" s="362">
        <f>SUM(H166:H167)</f>
        <v>52030</v>
      </c>
      <c r="I168" s="521"/>
      <c r="J168" s="392"/>
      <c r="K168" s="392"/>
      <c r="L168" s="459"/>
    </row>
    <row r="169" spans="1:12" s="460" customFormat="1" ht="23.15" customHeight="1" thickBot="1">
      <c r="A169" s="302"/>
      <c r="B169" s="303"/>
      <c r="C169" s="329"/>
      <c r="D169" s="430"/>
      <c r="E169" s="302"/>
      <c r="F169" s="555" t="s">
        <v>266</v>
      </c>
      <c r="G169" s="503" t="s">
        <v>221</v>
      </c>
      <c r="H169" s="435">
        <f>H164+H168</f>
        <v>81330</v>
      </c>
      <c r="I169" s="522"/>
      <c r="J169" s="462"/>
      <c r="K169" s="462"/>
      <c r="L169" s="462"/>
    </row>
    <row r="170" spans="1:12" ht="23.15" customHeight="1" thickTop="1">
      <c r="A170" s="302"/>
      <c r="B170" s="303"/>
      <c r="C170" s="329"/>
      <c r="D170" s="430"/>
      <c r="E170" s="302"/>
      <c r="F170" s="449"/>
      <c r="G170" s="450"/>
      <c r="H170" s="451"/>
      <c r="I170" s="522"/>
      <c r="J170" s="398"/>
      <c r="K170" s="398"/>
      <c r="L170" s="398"/>
    </row>
    <row r="171" spans="1:12" s="460" customFormat="1" ht="22.25" customHeight="1">
      <c r="A171" s="312">
        <f>A159+1</f>
        <v>15</v>
      </c>
      <c r="B171" s="424" t="s">
        <v>375</v>
      </c>
      <c r="C171" s="428">
        <f>ROUND(D171,2)</f>
        <v>1</v>
      </c>
      <c r="D171" s="439">
        <v>1</v>
      </c>
      <c r="E171" s="457" t="s">
        <v>220</v>
      </c>
      <c r="F171" s="301"/>
      <c r="G171" s="302"/>
      <c r="H171" s="362"/>
      <c r="I171" s="521"/>
      <c r="J171" s="459"/>
      <c r="K171" s="459"/>
      <c r="L171" s="459"/>
    </row>
    <row r="172" spans="1:12" s="460" customFormat="1" ht="23.15" customHeight="1">
      <c r="A172" s="302"/>
      <c r="B172" s="461" t="s">
        <v>65</v>
      </c>
      <c r="C172" s="329"/>
      <c r="D172" s="430"/>
      <c r="E172" s="302"/>
      <c r="F172" s="301"/>
      <c r="G172" s="302"/>
      <c r="H172" s="362"/>
      <c r="I172" s="521"/>
      <c r="J172" s="459"/>
      <c r="K172" s="459"/>
      <c r="L172" s="459"/>
    </row>
    <row r="173" spans="1:12" s="460" customFormat="1" ht="23.15" customHeight="1">
      <c r="A173" s="302"/>
      <c r="B173" s="303" t="s">
        <v>152</v>
      </c>
      <c r="C173" s="329">
        <f>ROUND(D173,2)</f>
        <v>1</v>
      </c>
      <c r="D173" s="430">
        <f>D171*1</f>
        <v>1</v>
      </c>
      <c r="E173" s="329" t="s">
        <v>23</v>
      </c>
      <c r="F173" s="301">
        <f>VLOOKUP(B173,BQ!$B$6:$E$111,4,FALSE)</f>
        <v>109000</v>
      </c>
      <c r="G173" s="329" t="s">
        <v>23</v>
      </c>
      <c r="H173" s="362">
        <f>F173*C173</f>
        <v>109000</v>
      </c>
      <c r="I173" s="521"/>
      <c r="J173" s="392">
        <f>H173</f>
        <v>109000</v>
      </c>
      <c r="K173" s="459"/>
      <c r="L173" s="459"/>
    </row>
    <row r="174" spans="1:12" s="460" customFormat="1" ht="23.15" customHeight="1">
      <c r="A174" s="302"/>
      <c r="B174" s="303" t="s">
        <v>72</v>
      </c>
      <c r="C174" s="329">
        <f>ROUND(D174,2)</f>
        <v>0.25</v>
      </c>
      <c r="D174" s="430">
        <f>D171*0.25</f>
        <v>0.25</v>
      </c>
      <c r="E174" s="329" t="s">
        <v>3</v>
      </c>
      <c r="F174" s="325">
        <f>VLOOKUP(B174,BQ!$B$6:$E$111,4,FALSE)</f>
        <v>7500</v>
      </c>
      <c r="G174" s="329" t="s">
        <v>3</v>
      </c>
      <c r="H174" s="362">
        <f>F174*C174</f>
        <v>1875</v>
      </c>
      <c r="I174" s="521"/>
      <c r="J174" s="392">
        <f>H174</f>
        <v>1875</v>
      </c>
      <c r="K174" s="459"/>
      <c r="L174" s="459"/>
    </row>
    <row r="175" spans="1:12" s="460" customFormat="1" ht="23.15" customHeight="1">
      <c r="A175" s="302"/>
      <c r="B175" s="303"/>
      <c r="C175" s="329"/>
      <c r="D175" s="430"/>
      <c r="E175" s="457"/>
      <c r="F175" s="301"/>
      <c r="G175" s="312"/>
      <c r="H175" s="362">
        <f>SUM(H173:H174)</f>
        <v>110875</v>
      </c>
      <c r="I175" s="521"/>
      <c r="J175" s="459"/>
      <c r="K175" s="459"/>
      <c r="L175" s="459"/>
    </row>
    <row r="176" spans="1:12" s="460" customFormat="1" ht="23.15" customHeight="1">
      <c r="A176" s="302"/>
      <c r="B176" s="461" t="s">
        <v>66</v>
      </c>
      <c r="C176" s="329"/>
      <c r="D176" s="430"/>
      <c r="E176" s="302"/>
      <c r="F176" s="301"/>
      <c r="G176" s="302"/>
      <c r="H176" s="362"/>
      <c r="I176" s="521"/>
      <c r="J176" s="459"/>
      <c r="K176" s="459"/>
      <c r="L176" s="459"/>
    </row>
    <row r="177" spans="1:12" s="460" customFormat="1" ht="23.15" customHeight="1">
      <c r="A177" s="302"/>
      <c r="B177" s="303" t="s">
        <v>75</v>
      </c>
      <c r="C177" s="329">
        <f>ROUND(D177,2)</f>
        <v>1</v>
      </c>
      <c r="D177" s="430">
        <f>D171*1</f>
        <v>1</v>
      </c>
      <c r="E177" s="302" t="s">
        <v>3</v>
      </c>
      <c r="F177" s="325">
        <f>VLOOKUP(B177,BQ!$B$6:$E$111,4,FALSE)</f>
        <v>30250.000000000004</v>
      </c>
      <c r="G177" s="302" t="s">
        <v>3</v>
      </c>
      <c r="H177" s="362">
        <f>F177*C177</f>
        <v>30250.000000000004</v>
      </c>
      <c r="I177" s="521"/>
      <c r="J177" s="392"/>
      <c r="K177" s="392">
        <f>H177</f>
        <v>30250.000000000004</v>
      </c>
      <c r="L177" s="459"/>
    </row>
    <row r="178" spans="1:12" s="460" customFormat="1" ht="23.15" customHeight="1" thickBot="1">
      <c r="A178" s="302"/>
      <c r="B178" s="303"/>
      <c r="C178" s="329"/>
      <c r="D178" s="430"/>
      <c r="E178" s="302"/>
      <c r="F178" s="301"/>
      <c r="G178" s="302"/>
      <c r="H178" s="362">
        <f>SUM(H177:H177)</f>
        <v>30250.000000000004</v>
      </c>
      <c r="I178" s="521"/>
      <c r="J178" s="392"/>
      <c r="K178" s="392"/>
      <c r="L178" s="459"/>
    </row>
    <row r="179" spans="1:12" s="460" customFormat="1" ht="23.15" customHeight="1" thickBot="1">
      <c r="A179" s="302"/>
      <c r="B179" s="303"/>
      <c r="C179" s="329"/>
      <c r="D179" s="430"/>
      <c r="E179" s="302"/>
      <c r="F179" s="555" t="s">
        <v>266</v>
      </c>
      <c r="G179" s="503" t="s">
        <v>221</v>
      </c>
      <c r="H179" s="435">
        <f>H175+H178</f>
        <v>141125</v>
      </c>
      <c r="I179" s="522"/>
      <c r="J179" s="462"/>
      <c r="K179" s="462"/>
      <c r="L179" s="462"/>
    </row>
    <row r="180" spans="1:12" ht="23.15" customHeight="1" thickTop="1">
      <c r="A180" s="302"/>
      <c r="B180" s="303"/>
      <c r="C180" s="329"/>
      <c r="D180" s="430"/>
      <c r="E180" s="302"/>
      <c r="F180" s="449"/>
      <c r="G180" s="450"/>
      <c r="H180" s="451"/>
      <c r="I180" s="522"/>
      <c r="J180" s="398"/>
      <c r="K180" s="398"/>
      <c r="L180" s="398"/>
    </row>
    <row r="181" spans="1:12" s="460" customFormat="1" ht="22.25" customHeight="1">
      <c r="A181" s="312">
        <f>A171+1</f>
        <v>16</v>
      </c>
      <c r="B181" s="424" t="s">
        <v>306</v>
      </c>
      <c r="C181" s="428">
        <f>ROUND(D181,2)</f>
        <v>1</v>
      </c>
      <c r="D181" s="439">
        <v>1</v>
      </c>
      <c r="E181" s="457" t="s">
        <v>220</v>
      </c>
      <c r="F181" s="301"/>
      <c r="G181" s="302"/>
      <c r="H181" s="362"/>
      <c r="I181" s="521"/>
      <c r="J181" s="459"/>
      <c r="K181" s="459"/>
      <c r="L181" s="459"/>
    </row>
    <row r="182" spans="1:12" s="460" customFormat="1" ht="23.15" customHeight="1">
      <c r="A182" s="302"/>
      <c r="B182" s="461" t="s">
        <v>65</v>
      </c>
      <c r="C182" s="329"/>
      <c r="D182" s="430"/>
      <c r="E182" s="302"/>
      <c r="F182" s="301"/>
      <c r="G182" s="302"/>
      <c r="H182" s="362"/>
      <c r="I182" s="521"/>
      <c r="J182" s="459"/>
      <c r="K182" s="459"/>
      <c r="L182" s="459"/>
    </row>
    <row r="183" spans="1:12" s="460" customFormat="1" ht="23.15" customHeight="1">
      <c r="A183" s="302"/>
      <c r="B183" s="303" t="s">
        <v>378</v>
      </c>
      <c r="C183" s="329">
        <f>ROUND(D183,2)</f>
        <v>0.17</v>
      </c>
      <c r="D183" s="430">
        <f>D181*1.67/10</f>
        <v>0.16699999999999998</v>
      </c>
      <c r="E183" s="329" t="s">
        <v>23</v>
      </c>
      <c r="F183" s="325" t="e">
        <f>VLOOKUP(B183,BQ!$B$6:$E$111,4,FALSE)</f>
        <v>#N/A</v>
      </c>
      <c r="G183" s="329" t="s">
        <v>23</v>
      </c>
      <c r="H183" s="362" t="e">
        <f>F183*C183</f>
        <v>#N/A</v>
      </c>
      <c r="I183" s="521"/>
      <c r="J183" s="392" t="e">
        <f>H183</f>
        <v>#N/A</v>
      </c>
      <c r="K183" s="459"/>
      <c r="L183" s="459"/>
    </row>
    <row r="184" spans="1:12" s="460" customFormat="1" ht="23.15" customHeight="1">
      <c r="A184" s="302"/>
      <c r="B184" s="303" t="s">
        <v>72</v>
      </c>
      <c r="C184" s="329">
        <f>ROUND(D184,2)</f>
        <v>0.25</v>
      </c>
      <c r="D184" s="430">
        <f>D181*0.25</f>
        <v>0.25</v>
      </c>
      <c r="E184" s="329" t="s">
        <v>3</v>
      </c>
      <c r="F184" s="325">
        <f>VLOOKUP(B184,BQ!$B$6:$E$111,4,FALSE)</f>
        <v>7500</v>
      </c>
      <c r="G184" s="329" t="s">
        <v>3</v>
      </c>
      <c r="H184" s="362">
        <f>F184*C184</f>
        <v>1875</v>
      </c>
      <c r="I184" s="521"/>
      <c r="J184" s="392">
        <f>H184</f>
        <v>1875</v>
      </c>
      <c r="K184" s="459"/>
      <c r="L184" s="459"/>
    </row>
    <row r="185" spans="1:12" s="460" customFormat="1" ht="23.15" customHeight="1">
      <c r="A185" s="302"/>
      <c r="B185" s="303"/>
      <c r="C185" s="329"/>
      <c r="D185" s="430"/>
      <c r="E185" s="457"/>
      <c r="F185" s="301"/>
      <c r="G185" s="312"/>
      <c r="H185" s="362" t="e">
        <f>SUM(H183:H184)</f>
        <v>#N/A</v>
      </c>
      <c r="I185" s="521"/>
      <c r="J185" s="459"/>
      <c r="K185" s="459"/>
      <c r="L185" s="459"/>
    </row>
    <row r="186" spans="1:12" s="460" customFormat="1" ht="23.15" customHeight="1">
      <c r="A186" s="302"/>
      <c r="B186" s="461" t="s">
        <v>66</v>
      </c>
      <c r="C186" s="329"/>
      <c r="D186" s="430"/>
      <c r="E186" s="302"/>
      <c r="F186" s="301"/>
      <c r="G186" s="302"/>
      <c r="H186" s="362"/>
      <c r="I186" s="521"/>
      <c r="J186" s="459"/>
      <c r="K186" s="459"/>
      <c r="L186" s="459"/>
    </row>
    <row r="187" spans="1:12" s="460" customFormat="1" ht="23.15" customHeight="1">
      <c r="A187" s="302"/>
      <c r="B187" s="303" t="s">
        <v>75</v>
      </c>
      <c r="C187" s="329">
        <f>ROUND(D187,2)</f>
        <v>0.25</v>
      </c>
      <c r="D187" s="430">
        <f>D181*2.5/10</f>
        <v>0.25</v>
      </c>
      <c r="E187" s="302" t="s">
        <v>3</v>
      </c>
      <c r="F187" s="325">
        <f>VLOOKUP(B187,BQ!$B$6:$E$111,4,FALSE)</f>
        <v>30250.000000000004</v>
      </c>
      <c r="G187" s="302" t="s">
        <v>3</v>
      </c>
      <c r="H187" s="362">
        <f>F187*C187</f>
        <v>7562.5000000000009</v>
      </c>
      <c r="I187" s="521"/>
      <c r="J187" s="392"/>
      <c r="K187" s="392">
        <f>H187</f>
        <v>7562.5000000000009</v>
      </c>
      <c r="L187" s="459"/>
    </row>
    <row r="188" spans="1:12" s="460" customFormat="1" ht="23.15" customHeight="1" thickBot="1">
      <c r="A188" s="302"/>
      <c r="B188" s="303"/>
      <c r="C188" s="329"/>
      <c r="D188" s="430"/>
      <c r="E188" s="302"/>
      <c r="F188" s="301"/>
      <c r="G188" s="302"/>
      <c r="H188" s="362">
        <f>SUM(H187:H187)</f>
        <v>7562.5000000000009</v>
      </c>
      <c r="I188" s="521"/>
      <c r="J188" s="392"/>
      <c r="K188" s="392"/>
      <c r="L188" s="459"/>
    </row>
    <row r="189" spans="1:12" s="460" customFormat="1" ht="23.15" customHeight="1" thickBot="1">
      <c r="A189" s="302"/>
      <c r="B189" s="303"/>
      <c r="C189" s="329"/>
      <c r="D189" s="430"/>
      <c r="E189" s="302"/>
      <c r="F189" s="555" t="s">
        <v>266</v>
      </c>
      <c r="G189" s="503" t="s">
        <v>221</v>
      </c>
      <c r="H189" s="435" t="e">
        <f>H185+H188</f>
        <v>#N/A</v>
      </c>
      <c r="I189" s="522"/>
      <c r="J189" s="462"/>
      <c r="K189" s="462"/>
      <c r="L189" s="462"/>
    </row>
    <row r="190" spans="1:12" ht="23.15" customHeight="1" thickTop="1">
      <c r="A190" s="302"/>
      <c r="B190" s="303"/>
      <c r="C190" s="329"/>
      <c r="D190" s="430"/>
      <c r="E190" s="302"/>
      <c r="F190" s="449"/>
      <c r="G190" s="450"/>
      <c r="H190" s="451"/>
      <c r="I190" s="522"/>
      <c r="J190" s="398"/>
      <c r="K190" s="398"/>
      <c r="L190" s="398"/>
    </row>
    <row r="191" spans="1:12" s="460" customFormat="1" ht="22.25" customHeight="1">
      <c r="A191" s="312">
        <f>A181+1</f>
        <v>17</v>
      </c>
      <c r="B191" s="424" t="s">
        <v>365</v>
      </c>
      <c r="C191" s="428">
        <f>ROUND(D191,2)</f>
        <v>1</v>
      </c>
      <c r="D191" s="439">
        <v>1</v>
      </c>
      <c r="E191" s="457" t="s">
        <v>220</v>
      </c>
      <c r="F191" s="301"/>
      <c r="G191" s="302"/>
      <c r="H191" s="362"/>
      <c r="I191" s="521"/>
      <c r="J191" s="459"/>
      <c r="K191" s="459"/>
      <c r="L191" s="459"/>
    </row>
    <row r="192" spans="1:12" s="460" customFormat="1" ht="23.15" customHeight="1">
      <c r="A192" s="302"/>
      <c r="B192" s="461" t="s">
        <v>65</v>
      </c>
      <c r="C192" s="329"/>
      <c r="D192" s="430"/>
      <c r="E192" s="302"/>
      <c r="F192" s="301"/>
      <c r="G192" s="302"/>
      <c r="H192" s="362"/>
      <c r="I192" s="521"/>
      <c r="J192" s="459"/>
      <c r="K192" s="459"/>
      <c r="L192" s="459"/>
    </row>
    <row r="193" spans="1:12" s="460" customFormat="1" ht="23.15" customHeight="1">
      <c r="A193" s="302"/>
      <c r="B193" s="303" t="s">
        <v>379</v>
      </c>
      <c r="C193" s="329">
        <f>ROUND(D193,2)</f>
        <v>43.48</v>
      </c>
      <c r="D193" s="430">
        <f>D191*100/2.3</f>
        <v>43.478260869565219</v>
      </c>
      <c r="E193" s="329" t="s">
        <v>13</v>
      </c>
      <c r="F193" s="325">
        <f>VLOOKUP(B193,BQ!$B$6:$E$111,4,FALSE)</f>
        <v>4945</v>
      </c>
      <c r="G193" s="329" t="s">
        <v>13</v>
      </c>
      <c r="H193" s="362">
        <f>F193*C193</f>
        <v>215008.59999999998</v>
      </c>
      <c r="I193" s="521"/>
      <c r="J193" s="392">
        <f>H193</f>
        <v>215008.59999999998</v>
      </c>
      <c r="K193" s="459"/>
      <c r="L193" s="459"/>
    </row>
    <row r="194" spans="1:12" s="460" customFormat="1" ht="23.15" customHeight="1">
      <c r="A194" s="302"/>
      <c r="B194" s="303" t="s">
        <v>380</v>
      </c>
      <c r="C194" s="329">
        <f>ROUND(D194,2)</f>
        <v>0.42</v>
      </c>
      <c r="D194" s="430">
        <f>D191*1.5/3.6</f>
        <v>0.41666666666666663</v>
      </c>
      <c r="E194" s="329" t="s">
        <v>52</v>
      </c>
      <c r="F194" s="325">
        <f>VLOOKUP(B194,BQ!$B$6:$E$111,4,FALSE)</f>
        <v>18500</v>
      </c>
      <c r="G194" s="329" t="s">
        <v>52</v>
      </c>
      <c r="H194" s="362">
        <f>F194*C194</f>
        <v>7770</v>
      </c>
      <c r="I194" s="521"/>
      <c r="J194" s="392">
        <f>H194</f>
        <v>7770</v>
      </c>
      <c r="K194" s="459"/>
      <c r="L194" s="459"/>
    </row>
    <row r="195" spans="1:12" s="460" customFormat="1" ht="23.15" customHeight="1">
      <c r="A195" s="302"/>
      <c r="B195" s="303"/>
      <c r="C195" s="329"/>
      <c r="D195" s="430"/>
      <c r="E195" s="457"/>
      <c r="F195" s="301"/>
      <c r="G195" s="457"/>
      <c r="H195" s="362">
        <f>SUM(H193:H194)</f>
        <v>222778.59999999998</v>
      </c>
      <c r="I195" s="521"/>
      <c r="J195" s="459"/>
      <c r="K195" s="459"/>
      <c r="L195" s="459"/>
    </row>
    <row r="196" spans="1:12" s="460" customFormat="1" ht="23.15" customHeight="1">
      <c r="A196" s="302"/>
      <c r="B196" s="461" t="s">
        <v>66</v>
      </c>
      <c r="C196" s="329"/>
      <c r="D196" s="430"/>
      <c r="E196" s="302"/>
      <c r="F196" s="301"/>
      <c r="G196" s="302"/>
      <c r="H196" s="362"/>
      <c r="I196" s="521"/>
      <c r="J196" s="459"/>
      <c r="K196" s="459"/>
      <c r="L196" s="459"/>
    </row>
    <row r="197" spans="1:12" s="460" customFormat="1" ht="23.15" customHeight="1">
      <c r="A197" s="302"/>
      <c r="B197" s="303" t="s">
        <v>68</v>
      </c>
      <c r="C197" s="329">
        <f>ROUND(D197,2)</f>
        <v>1.5</v>
      </c>
      <c r="D197" s="430">
        <f>D191*1.5</f>
        <v>1.5</v>
      </c>
      <c r="E197" s="302" t="s">
        <v>3</v>
      </c>
      <c r="F197" s="325">
        <f>VLOOKUP(B197,BQ!$B$6:$E$111,4,FALSE)</f>
        <v>30250.000000000004</v>
      </c>
      <c r="G197" s="302" t="s">
        <v>3</v>
      </c>
      <c r="H197" s="362">
        <f>F197*C197</f>
        <v>45375.000000000007</v>
      </c>
      <c r="I197" s="521"/>
      <c r="J197" s="392"/>
      <c r="K197" s="392">
        <f>H197</f>
        <v>45375.000000000007</v>
      </c>
      <c r="L197" s="459"/>
    </row>
    <row r="198" spans="1:12" s="460" customFormat="1" ht="23.15" customHeight="1">
      <c r="A198" s="302"/>
      <c r="B198" s="303" t="s">
        <v>67</v>
      </c>
      <c r="C198" s="329">
        <f>ROUND(D198,2)</f>
        <v>1</v>
      </c>
      <c r="D198" s="430">
        <f>D191*1</f>
        <v>1</v>
      </c>
      <c r="E198" s="302" t="s">
        <v>3</v>
      </c>
      <c r="F198" s="325">
        <f>VLOOKUP(B198,BQ!$B$6:$E$111,4,FALSE)</f>
        <v>21780</v>
      </c>
      <c r="G198" s="302" t="s">
        <v>3</v>
      </c>
      <c r="H198" s="362">
        <f>F198*C198</f>
        <v>21780</v>
      </c>
      <c r="I198" s="521"/>
      <c r="J198" s="392"/>
      <c r="K198" s="392">
        <f>H198</f>
        <v>21780</v>
      </c>
      <c r="L198" s="459"/>
    </row>
    <row r="199" spans="1:12" s="460" customFormat="1" ht="23.15" customHeight="1" thickBot="1">
      <c r="A199" s="302"/>
      <c r="B199" s="303"/>
      <c r="C199" s="329"/>
      <c r="D199" s="430"/>
      <c r="E199" s="302"/>
      <c r="F199" s="301"/>
      <c r="G199" s="302"/>
      <c r="H199" s="362">
        <f>SUM(H197:H198)</f>
        <v>67155</v>
      </c>
      <c r="I199" s="521"/>
      <c r="J199" s="392"/>
      <c r="K199" s="392"/>
      <c r="L199" s="459"/>
    </row>
    <row r="200" spans="1:12" s="460" customFormat="1" ht="23.15" customHeight="1" thickBot="1">
      <c r="A200" s="302"/>
      <c r="B200" s="303"/>
      <c r="C200" s="329"/>
      <c r="D200" s="430"/>
      <c r="E200" s="302"/>
      <c r="F200" s="555" t="s">
        <v>266</v>
      </c>
      <c r="G200" s="503" t="s">
        <v>221</v>
      </c>
      <c r="H200" s="435">
        <f>H195+H199</f>
        <v>289933.59999999998</v>
      </c>
      <c r="I200" s="522"/>
      <c r="J200" s="462"/>
      <c r="K200" s="462"/>
      <c r="L200" s="462"/>
    </row>
    <row r="201" spans="1:12" ht="23.15" customHeight="1" thickTop="1">
      <c r="A201" s="302"/>
      <c r="B201" s="303"/>
      <c r="C201" s="329"/>
      <c r="D201" s="430"/>
      <c r="E201" s="302"/>
      <c r="F201" s="449"/>
      <c r="G201" s="450"/>
      <c r="H201" s="451"/>
      <c r="I201" s="522"/>
      <c r="J201" s="398"/>
      <c r="K201" s="398"/>
      <c r="L201" s="398"/>
    </row>
    <row r="202" spans="1:12" s="460" customFormat="1" ht="22.25" hidden="1" customHeight="1">
      <c r="A202" s="312">
        <f>A191+1</f>
        <v>18</v>
      </c>
      <c r="B202" s="424" t="s">
        <v>381</v>
      </c>
      <c r="C202" s="428">
        <f>ROUND(D202,2)</f>
        <v>1</v>
      </c>
      <c r="D202" s="439">
        <v>1</v>
      </c>
      <c r="E202" s="457" t="s">
        <v>13</v>
      </c>
      <c r="F202" s="301"/>
      <c r="G202" s="302"/>
      <c r="H202" s="362"/>
      <c r="I202" s="521"/>
      <c r="J202" s="459"/>
      <c r="K202" s="459"/>
      <c r="L202" s="459"/>
    </row>
    <row r="203" spans="1:12" s="460" customFormat="1" ht="23.15" hidden="1" customHeight="1">
      <c r="A203" s="302"/>
      <c r="B203" s="461" t="s">
        <v>65</v>
      </c>
      <c r="C203" s="329"/>
      <c r="D203" s="430"/>
      <c r="E203" s="302"/>
      <c r="F203" s="301"/>
      <c r="G203" s="302"/>
      <c r="H203" s="362"/>
      <c r="I203" s="521"/>
      <c r="J203" s="459"/>
      <c r="K203" s="459"/>
      <c r="L203" s="459"/>
    </row>
    <row r="204" spans="1:12" s="460" customFormat="1" ht="23.15" hidden="1" customHeight="1">
      <c r="A204" s="302"/>
      <c r="B204" s="303" t="s">
        <v>382</v>
      </c>
      <c r="C204" s="329">
        <f>ROUND(D204,2)</f>
        <v>1.05</v>
      </c>
      <c r="D204" s="430">
        <f>D202*1.05</f>
        <v>1.05</v>
      </c>
      <c r="E204" s="329" t="s">
        <v>13</v>
      </c>
      <c r="F204" s="325" t="e">
        <f>VLOOKUP(B204,BQ!$B$6:$E$111,4,FALSE)</f>
        <v>#N/A</v>
      </c>
      <c r="G204" s="329" t="s">
        <v>13</v>
      </c>
      <c r="H204" s="362" t="e">
        <f>F204*C204</f>
        <v>#N/A</v>
      </c>
      <c r="I204" s="521"/>
      <c r="J204" s="392" t="e">
        <f>H204</f>
        <v>#N/A</v>
      </c>
      <c r="K204" s="459"/>
      <c r="L204" s="459"/>
    </row>
    <row r="205" spans="1:12" s="460" customFormat="1" ht="23.15" hidden="1" customHeight="1">
      <c r="A205" s="302"/>
      <c r="B205" s="303"/>
      <c r="C205" s="329"/>
      <c r="D205" s="430"/>
      <c r="E205" s="457"/>
      <c r="F205" s="301"/>
      <c r="G205" s="457"/>
      <c r="H205" s="362" t="e">
        <f>SUM(H204:H204)</f>
        <v>#N/A</v>
      </c>
      <c r="I205" s="521"/>
      <c r="J205" s="459"/>
      <c r="K205" s="459"/>
      <c r="L205" s="459"/>
    </row>
    <row r="206" spans="1:12" s="460" customFormat="1" ht="23.15" hidden="1" customHeight="1">
      <c r="A206" s="302"/>
      <c r="B206" s="461" t="s">
        <v>66</v>
      </c>
      <c r="C206" s="329"/>
      <c r="D206" s="430"/>
      <c r="E206" s="302"/>
      <c r="F206" s="301"/>
      <c r="G206" s="302"/>
      <c r="H206" s="362"/>
      <c r="I206" s="521"/>
      <c r="J206" s="459"/>
      <c r="K206" s="459"/>
      <c r="L206" s="459"/>
    </row>
    <row r="207" spans="1:12" s="460" customFormat="1" ht="23.15" hidden="1" customHeight="1">
      <c r="A207" s="302"/>
      <c r="B207" s="303" t="s">
        <v>68</v>
      </c>
      <c r="C207" s="329">
        <f>ROUND(D207,2)</f>
        <v>0.03</v>
      </c>
      <c r="D207" s="430">
        <f>D202*3/100</f>
        <v>0.03</v>
      </c>
      <c r="E207" s="302" t="s">
        <v>3</v>
      </c>
      <c r="F207" s="325">
        <f>VLOOKUP(B207,BQ!$B$6:$E$111,4,FALSE)</f>
        <v>30250.000000000004</v>
      </c>
      <c r="G207" s="302" t="s">
        <v>3</v>
      </c>
      <c r="H207" s="362">
        <f>F207*C207</f>
        <v>907.50000000000011</v>
      </c>
      <c r="I207" s="521"/>
      <c r="J207" s="392"/>
      <c r="K207" s="392">
        <f>H207</f>
        <v>907.50000000000011</v>
      </c>
      <c r="L207" s="459"/>
    </row>
    <row r="208" spans="1:12" s="460" customFormat="1" ht="23.15" hidden="1" customHeight="1" thickBot="1">
      <c r="A208" s="302"/>
      <c r="B208" s="303"/>
      <c r="C208" s="329"/>
      <c r="D208" s="430"/>
      <c r="E208" s="302"/>
      <c r="F208" s="301"/>
      <c r="G208" s="302"/>
      <c r="H208" s="362">
        <f>SUM(H207:H207)</f>
        <v>907.50000000000011</v>
      </c>
      <c r="I208" s="521"/>
      <c r="J208" s="392"/>
      <c r="K208" s="392"/>
      <c r="L208" s="459"/>
    </row>
    <row r="209" spans="1:12" s="460" customFormat="1" ht="23.15" hidden="1" customHeight="1" thickBot="1">
      <c r="A209" s="302"/>
      <c r="B209" s="303"/>
      <c r="C209" s="329"/>
      <c r="D209" s="430"/>
      <c r="E209" s="302"/>
      <c r="F209" s="433" t="s">
        <v>266</v>
      </c>
      <c r="G209" s="434" t="s">
        <v>221</v>
      </c>
      <c r="H209" s="435" t="e">
        <f>H205+H208</f>
        <v>#N/A</v>
      </c>
      <c r="I209" s="522"/>
      <c r="J209" s="462"/>
      <c r="K209" s="462"/>
      <c r="L209" s="462"/>
    </row>
    <row r="210" spans="1:12" ht="27" hidden="1" customHeight="1" thickTop="1">
      <c r="A210" s="326"/>
      <c r="B210" s="525"/>
      <c r="C210" s="330"/>
      <c r="D210" s="526"/>
      <c r="E210" s="326"/>
      <c r="F210" s="449"/>
      <c r="G210" s="450"/>
      <c r="H210" s="451"/>
      <c r="I210" s="522"/>
      <c r="J210" s="398"/>
      <c r="K210" s="398"/>
      <c r="L210" s="398"/>
    </row>
    <row r="211" spans="1:12" s="460" customFormat="1" ht="22.25" customHeight="1">
      <c r="A211" s="312">
        <f>A191+1</f>
        <v>18</v>
      </c>
      <c r="B211" s="424" t="s">
        <v>411</v>
      </c>
      <c r="C211" s="428">
        <f>ROUND(D211,2)</f>
        <v>1</v>
      </c>
      <c r="D211" s="439">
        <v>1</v>
      </c>
      <c r="E211" s="457" t="s">
        <v>13</v>
      </c>
      <c r="F211" s="301"/>
      <c r="G211" s="302"/>
      <c r="H211" s="362"/>
      <c r="I211" s="521"/>
      <c r="J211" s="459"/>
      <c r="K211" s="459"/>
      <c r="L211" s="459"/>
    </row>
    <row r="212" spans="1:12" s="460" customFormat="1" ht="23.15" customHeight="1">
      <c r="A212" s="302"/>
      <c r="B212" s="461" t="s">
        <v>65</v>
      </c>
      <c r="C212" s="329"/>
      <c r="D212" s="430"/>
      <c r="E212" s="302"/>
      <c r="F212" s="301"/>
      <c r="G212" s="302"/>
      <c r="H212" s="362"/>
      <c r="I212" s="521"/>
      <c r="J212" s="459"/>
      <c r="K212" s="459"/>
      <c r="L212" s="459"/>
    </row>
    <row r="213" spans="1:12" s="460" customFormat="1" ht="23.15" customHeight="1">
      <c r="A213" s="302"/>
      <c r="B213" s="303" t="s">
        <v>412</v>
      </c>
      <c r="C213" s="329">
        <f>ROUND(D213,2)</f>
        <v>1.07</v>
      </c>
      <c r="D213" s="430">
        <f>D211*1.07</f>
        <v>1.07</v>
      </c>
      <c r="E213" s="329" t="s">
        <v>13</v>
      </c>
      <c r="F213" s="301">
        <f>VLOOKUP(B213,BQ!$B$6:$E$111,4,FALSE)</f>
        <v>3100</v>
      </c>
      <c r="G213" s="329" t="s">
        <v>13</v>
      </c>
      <c r="H213" s="362">
        <f>F213*C213</f>
        <v>3317</v>
      </c>
      <c r="I213" s="521"/>
      <c r="J213" s="392">
        <f>H213</f>
        <v>3317</v>
      </c>
      <c r="K213" s="459"/>
      <c r="L213" s="459"/>
    </row>
    <row r="214" spans="1:12" s="460" customFormat="1" ht="23.15" customHeight="1">
      <c r="A214" s="302"/>
      <c r="B214" s="303"/>
      <c r="C214" s="329"/>
      <c r="D214" s="430"/>
      <c r="E214" s="457"/>
      <c r="F214" s="301"/>
      <c r="G214" s="457"/>
      <c r="H214" s="362">
        <f>SUM(H213:H213)</f>
        <v>3317</v>
      </c>
      <c r="I214" s="521"/>
      <c r="J214" s="459"/>
      <c r="K214" s="459"/>
      <c r="L214" s="459"/>
    </row>
    <row r="215" spans="1:12" s="460" customFormat="1" ht="23.15" customHeight="1">
      <c r="A215" s="302"/>
      <c r="B215" s="461" t="s">
        <v>66</v>
      </c>
      <c r="C215" s="329"/>
      <c r="D215" s="430"/>
      <c r="E215" s="302"/>
      <c r="F215" s="301"/>
      <c r="G215" s="302"/>
      <c r="H215" s="362"/>
      <c r="I215" s="521"/>
      <c r="J215" s="459"/>
      <c r="K215" s="459"/>
      <c r="L215" s="459"/>
    </row>
    <row r="216" spans="1:12" s="460" customFormat="1" ht="23.15" customHeight="1">
      <c r="A216" s="302"/>
      <c r="B216" s="303" t="s">
        <v>68</v>
      </c>
      <c r="C216" s="329">
        <f>ROUND(D216,2)</f>
        <v>0.03</v>
      </c>
      <c r="D216" s="430">
        <f>D211*0.25/7.5</f>
        <v>3.3333333333333333E-2</v>
      </c>
      <c r="E216" s="302" t="s">
        <v>3</v>
      </c>
      <c r="F216" s="325">
        <f>VLOOKUP(B216,BQ!$B$6:$E$111,4,FALSE)</f>
        <v>30250.000000000004</v>
      </c>
      <c r="G216" s="302" t="s">
        <v>3</v>
      </c>
      <c r="H216" s="362">
        <f>F216*C216</f>
        <v>907.50000000000011</v>
      </c>
      <c r="I216" s="521"/>
      <c r="J216" s="392"/>
      <c r="K216" s="392">
        <f>H216</f>
        <v>907.50000000000011</v>
      </c>
      <c r="L216" s="459"/>
    </row>
    <row r="217" spans="1:12" s="460" customFormat="1" ht="23.15" customHeight="1" thickBot="1">
      <c r="A217" s="302"/>
      <c r="B217" s="303"/>
      <c r="C217" s="329"/>
      <c r="D217" s="430"/>
      <c r="E217" s="302"/>
      <c r="F217" s="301"/>
      <c r="G217" s="302"/>
      <c r="H217" s="362">
        <f>SUM(H216:H216)</f>
        <v>907.50000000000011</v>
      </c>
      <c r="I217" s="521"/>
      <c r="J217" s="392"/>
      <c r="K217" s="392"/>
      <c r="L217" s="459"/>
    </row>
    <row r="218" spans="1:12" s="460" customFormat="1" ht="23.15" customHeight="1" thickBot="1">
      <c r="A218" s="302"/>
      <c r="B218" s="303"/>
      <c r="C218" s="329"/>
      <c r="D218" s="430"/>
      <c r="E218" s="302"/>
      <c r="F218" s="555" t="s">
        <v>266</v>
      </c>
      <c r="G218" s="503" t="s">
        <v>221</v>
      </c>
      <c r="H218" s="435">
        <f>H214+H217</f>
        <v>4224.5</v>
      </c>
      <c r="I218" s="522"/>
      <c r="J218" s="462"/>
      <c r="K218" s="462"/>
      <c r="L218" s="462"/>
    </row>
    <row r="219" spans="1:12" ht="23.15" customHeight="1" thickTop="1" thickBot="1">
      <c r="A219" s="326"/>
      <c r="B219" s="525"/>
      <c r="C219" s="330"/>
      <c r="D219" s="526"/>
      <c r="E219" s="326"/>
      <c r="F219" s="449"/>
      <c r="G219" s="450"/>
      <c r="H219" s="451"/>
      <c r="I219" s="527"/>
      <c r="J219" s="398"/>
      <c r="K219" s="398"/>
      <c r="L219" s="398"/>
    </row>
    <row r="220" spans="1:12" s="467" customFormat="1" ht="23.15" customHeight="1">
      <c r="A220" s="515"/>
      <c r="B220" s="515" t="s">
        <v>321</v>
      </c>
      <c r="C220" s="515"/>
      <c r="D220" s="528"/>
      <c r="E220" s="515"/>
      <c r="F220" s="515"/>
      <c r="G220" s="529"/>
      <c r="H220" s="530"/>
      <c r="I220" s="531"/>
      <c r="J220" s="392"/>
      <c r="K220" s="392"/>
    </row>
    <row r="221" spans="1:12" ht="23.15" customHeight="1">
      <c r="A221" s="312">
        <f>A211+1</f>
        <v>19</v>
      </c>
      <c r="B221" s="438" t="s">
        <v>387</v>
      </c>
      <c r="C221" s="1176" t="s">
        <v>388</v>
      </c>
      <c r="D221" s="1177"/>
      <c r="E221" s="1178"/>
      <c r="F221" s="301"/>
      <c r="G221" s="302"/>
      <c r="H221" s="362"/>
      <c r="I221" s="521"/>
    </row>
    <row r="222" spans="1:12" ht="23.15" customHeight="1">
      <c r="A222" s="454"/>
      <c r="B222" s="303" t="s">
        <v>331</v>
      </c>
      <c r="C222" s="329"/>
      <c r="D222" s="430"/>
      <c r="E222" s="302"/>
      <c r="F222" s="301"/>
      <c r="G222" s="302"/>
      <c r="H222" s="362"/>
      <c r="I222" s="521"/>
      <c r="J222" s="392">
        <f>H222</f>
        <v>0</v>
      </c>
    </row>
    <row r="223" spans="1:12" ht="23.15" customHeight="1">
      <c r="A223" s="454"/>
      <c r="B223" s="303" t="s">
        <v>420</v>
      </c>
      <c r="C223" s="329">
        <f t="shared" ref="C223:C228" si="2">ROUND(D223,2)</f>
        <v>1</v>
      </c>
      <c r="D223" s="430">
        <v>1</v>
      </c>
      <c r="E223" s="329" t="s">
        <v>417</v>
      </c>
      <c r="F223" s="532">
        <v>9900</v>
      </c>
      <c r="G223" s="329" t="s">
        <v>417</v>
      </c>
      <c r="H223" s="532">
        <f t="shared" ref="H223:H228" si="3">F223*C223</f>
        <v>9900</v>
      </c>
      <c r="I223" s="533" t="s">
        <v>427</v>
      </c>
      <c r="J223" s="392">
        <v>6200</v>
      </c>
      <c r="K223" s="392">
        <f>J223*1.6</f>
        <v>9920</v>
      </c>
    </row>
    <row r="224" spans="1:12" ht="23.15" customHeight="1">
      <c r="A224" s="454"/>
      <c r="B224" s="303" t="s">
        <v>511</v>
      </c>
      <c r="C224" s="329">
        <v>3</v>
      </c>
      <c r="D224" s="430">
        <v>7</v>
      </c>
      <c r="E224" s="329" t="s">
        <v>417</v>
      </c>
      <c r="F224" s="532">
        <v>4000</v>
      </c>
      <c r="G224" s="329" t="s">
        <v>417</v>
      </c>
      <c r="H224" s="532">
        <f t="shared" si="3"/>
        <v>12000</v>
      </c>
      <c r="I224" s="533" t="s">
        <v>428</v>
      </c>
      <c r="J224" s="392">
        <v>2500</v>
      </c>
      <c r="K224" s="392">
        <f>J224*1.6</f>
        <v>4000</v>
      </c>
    </row>
    <row r="225" spans="1:12" ht="23.15" customHeight="1">
      <c r="A225" s="454"/>
      <c r="B225" s="303" t="s">
        <v>421</v>
      </c>
      <c r="C225" s="329">
        <f t="shared" si="2"/>
        <v>1</v>
      </c>
      <c r="D225" s="430">
        <v>1</v>
      </c>
      <c r="E225" s="329" t="s">
        <v>417</v>
      </c>
      <c r="F225" s="532">
        <v>11500</v>
      </c>
      <c r="G225" s="329" t="s">
        <v>417</v>
      </c>
      <c r="H225" s="532">
        <f t="shared" si="3"/>
        <v>11500</v>
      </c>
      <c r="I225" s="533" t="s">
        <v>425</v>
      </c>
      <c r="J225" s="392">
        <v>7200</v>
      </c>
      <c r="K225" s="392">
        <f>J225*1.6</f>
        <v>11520</v>
      </c>
    </row>
    <row r="226" spans="1:12" ht="23.15" customHeight="1">
      <c r="A226" s="454"/>
      <c r="B226" s="303" t="s">
        <v>512</v>
      </c>
      <c r="C226" s="329">
        <v>1</v>
      </c>
      <c r="D226" s="430">
        <v>1</v>
      </c>
      <c r="E226" s="329" t="s">
        <v>417</v>
      </c>
      <c r="F226" s="532">
        <v>4800</v>
      </c>
      <c r="G226" s="329" t="s">
        <v>417</v>
      </c>
      <c r="H226" s="532">
        <f t="shared" si="3"/>
        <v>4800</v>
      </c>
      <c r="I226" s="533" t="s">
        <v>426</v>
      </c>
      <c r="J226" s="392">
        <v>3000</v>
      </c>
      <c r="K226" s="392">
        <f>J226*1.6</f>
        <v>4800</v>
      </c>
    </row>
    <row r="227" spans="1:12" ht="23.15" customHeight="1">
      <c r="A227" s="454"/>
      <c r="B227" s="303" t="s">
        <v>324</v>
      </c>
      <c r="C227" s="329">
        <f t="shared" si="2"/>
        <v>1000</v>
      </c>
      <c r="D227" s="430">
        <v>1000</v>
      </c>
      <c r="E227" s="329" t="s">
        <v>183</v>
      </c>
      <c r="F227" s="532">
        <v>20</v>
      </c>
      <c r="G227" s="329" t="s">
        <v>183</v>
      </c>
      <c r="H227" s="532">
        <f t="shared" si="3"/>
        <v>20000</v>
      </c>
      <c r="I227" s="533" t="s">
        <v>429</v>
      </c>
    </row>
    <row r="228" spans="1:12" ht="23.15" customHeight="1" thickBot="1">
      <c r="A228" s="454"/>
      <c r="B228" s="303" t="s">
        <v>325</v>
      </c>
      <c r="C228" s="329">
        <f t="shared" si="2"/>
        <v>1000</v>
      </c>
      <c r="D228" s="430">
        <v>1000</v>
      </c>
      <c r="E228" s="329" t="s">
        <v>183</v>
      </c>
      <c r="F228" s="534">
        <v>20</v>
      </c>
      <c r="G228" s="329" t="s">
        <v>183</v>
      </c>
      <c r="H228" s="534">
        <f t="shared" si="3"/>
        <v>20000</v>
      </c>
      <c r="I228" s="533" t="s">
        <v>429</v>
      </c>
    </row>
    <row r="229" spans="1:12" ht="23.15" customHeight="1" thickBot="1">
      <c r="A229" s="454"/>
      <c r="B229" s="302" t="s">
        <v>389</v>
      </c>
      <c r="C229" s="329"/>
      <c r="D229" s="430"/>
      <c r="E229" s="302"/>
      <c r="F229" s="551" t="s">
        <v>266</v>
      </c>
      <c r="G229" s="503" t="s">
        <v>221</v>
      </c>
      <c r="H229" s="551">
        <f>SUM(H222:H228)</f>
        <v>78200</v>
      </c>
      <c r="I229" s="535"/>
    </row>
    <row r="230" spans="1:12" ht="23.15" customHeight="1" thickTop="1" thickBot="1">
      <c r="A230" s="454"/>
      <c r="B230" s="302" t="s">
        <v>390</v>
      </c>
      <c r="C230" s="329"/>
      <c r="D230" s="430"/>
      <c r="E230" s="302"/>
      <c r="F230" s="554"/>
      <c r="G230" s="552" t="s">
        <v>221</v>
      </c>
      <c r="H230" s="553">
        <f>ROUNDUP(H229/1000,0)</f>
        <v>79</v>
      </c>
      <c r="I230" s="536"/>
    </row>
    <row r="231" spans="1:12" ht="20.399999999999999" customHeight="1" thickTop="1">
      <c r="A231" s="454"/>
      <c r="B231" s="303"/>
      <c r="C231" s="329"/>
      <c r="D231" s="430"/>
      <c r="E231" s="302"/>
      <c r="F231" s="301"/>
      <c r="G231" s="436"/>
      <c r="H231" s="537"/>
      <c r="I231" s="522"/>
    </row>
    <row r="232" spans="1:12" ht="23.15" customHeight="1">
      <c r="A232" s="312">
        <f>A221+1</f>
        <v>20</v>
      </c>
      <c r="B232" s="438" t="s">
        <v>322</v>
      </c>
      <c r="C232" s="1176" t="s">
        <v>323</v>
      </c>
      <c r="D232" s="1177"/>
      <c r="E232" s="1178"/>
      <c r="F232" s="301"/>
      <c r="G232" s="302"/>
      <c r="H232" s="362"/>
      <c r="I232" s="521"/>
    </row>
    <row r="233" spans="1:12" ht="23.15" customHeight="1">
      <c r="A233" s="454"/>
      <c r="B233" s="303" t="s">
        <v>331</v>
      </c>
      <c r="C233" s="329"/>
      <c r="D233" s="430"/>
      <c r="E233" s="302"/>
      <c r="F233" s="301"/>
      <c r="G233" s="302"/>
      <c r="H233" s="362"/>
      <c r="I233" s="521"/>
      <c r="J233" s="392">
        <f>H233</f>
        <v>0</v>
      </c>
    </row>
    <row r="234" spans="1:12" ht="23.15" customHeight="1">
      <c r="A234" s="454"/>
      <c r="B234" s="303" t="s">
        <v>513</v>
      </c>
      <c r="C234" s="329">
        <v>4</v>
      </c>
      <c r="D234" s="430">
        <v>8</v>
      </c>
      <c r="E234" s="329" t="s">
        <v>417</v>
      </c>
      <c r="F234" s="532">
        <v>960</v>
      </c>
      <c r="G234" s="329" t="s">
        <v>417</v>
      </c>
      <c r="H234" s="532">
        <f>F234*C234</f>
        <v>3840</v>
      </c>
      <c r="I234" s="533" t="s">
        <v>432</v>
      </c>
      <c r="J234" s="392">
        <f>600*1.6</f>
        <v>960</v>
      </c>
      <c r="K234" s="392">
        <f>H234</f>
        <v>3840</v>
      </c>
      <c r="L234" s="392">
        <f>100*0.6</f>
        <v>60</v>
      </c>
    </row>
    <row r="235" spans="1:12" ht="23.15" customHeight="1">
      <c r="A235" s="454"/>
      <c r="B235" s="303" t="s">
        <v>514</v>
      </c>
      <c r="C235" s="329">
        <v>2</v>
      </c>
      <c r="D235" s="430">
        <v>2</v>
      </c>
      <c r="E235" s="329" t="s">
        <v>417</v>
      </c>
      <c r="F235" s="532">
        <v>1440</v>
      </c>
      <c r="G235" s="329" t="s">
        <v>417</v>
      </c>
      <c r="H235" s="532">
        <f>F235*C235</f>
        <v>2880</v>
      </c>
      <c r="I235" s="533" t="s">
        <v>433</v>
      </c>
      <c r="J235" s="392">
        <f>900*1.6</f>
        <v>1440</v>
      </c>
      <c r="L235" s="392">
        <f>100/60</f>
        <v>1.6666666666666667</v>
      </c>
    </row>
    <row r="236" spans="1:12" ht="23.15" customHeight="1">
      <c r="A236" s="454"/>
      <c r="B236" s="303" t="s">
        <v>324</v>
      </c>
      <c r="C236" s="329">
        <f>ROUND(D236,2)</f>
        <v>1</v>
      </c>
      <c r="D236" s="430">
        <v>1</v>
      </c>
      <c r="E236" s="329" t="s">
        <v>9</v>
      </c>
      <c r="F236" s="532">
        <v>5000</v>
      </c>
      <c r="G236" s="329" t="s">
        <v>9</v>
      </c>
      <c r="H236" s="532">
        <f>F236*C236</f>
        <v>5000</v>
      </c>
      <c r="I236" s="533" t="s">
        <v>430</v>
      </c>
    </row>
    <row r="237" spans="1:12" ht="23.15" customHeight="1" thickBot="1">
      <c r="A237" s="454"/>
      <c r="B237" s="303" t="s">
        <v>325</v>
      </c>
      <c r="C237" s="329">
        <f>ROUND(D237,2)</f>
        <v>1</v>
      </c>
      <c r="D237" s="430">
        <v>1</v>
      </c>
      <c r="E237" s="329" t="s">
        <v>9</v>
      </c>
      <c r="F237" s="532">
        <v>5000</v>
      </c>
      <c r="G237" s="329" t="s">
        <v>9</v>
      </c>
      <c r="H237" s="534">
        <f>F237*C237</f>
        <v>5000</v>
      </c>
      <c r="I237" s="533" t="s">
        <v>431</v>
      </c>
    </row>
    <row r="238" spans="1:12" ht="23.15" customHeight="1" thickBot="1">
      <c r="A238" s="454"/>
      <c r="B238" s="302" t="s">
        <v>326</v>
      </c>
      <c r="C238" s="329"/>
      <c r="D238" s="430"/>
      <c r="E238" s="302"/>
      <c r="F238" s="551" t="s">
        <v>266</v>
      </c>
      <c r="G238" s="503" t="s">
        <v>221</v>
      </c>
      <c r="H238" s="551">
        <f>SUM(H233:H237)</f>
        <v>16720</v>
      </c>
      <c r="I238" s="535"/>
    </row>
    <row r="239" spans="1:12" ht="23.15" customHeight="1" thickTop="1" thickBot="1">
      <c r="A239" s="454"/>
      <c r="B239" s="302" t="s">
        <v>327</v>
      </c>
      <c r="C239" s="329"/>
      <c r="D239" s="430"/>
      <c r="E239" s="302"/>
      <c r="F239" s="554"/>
      <c r="G239" s="552" t="s">
        <v>221</v>
      </c>
      <c r="H239" s="553">
        <f>ROUNDUP(H238*112/2204,0)</f>
        <v>850</v>
      </c>
      <c r="I239" s="536"/>
    </row>
    <row r="240" spans="1:12" ht="20.399999999999999" customHeight="1" thickTop="1">
      <c r="A240" s="454"/>
      <c r="B240" s="303"/>
      <c r="C240" s="329"/>
      <c r="D240" s="430"/>
      <c r="E240" s="302"/>
      <c r="F240" s="301"/>
      <c r="G240" s="436"/>
      <c r="H240" s="537"/>
      <c r="I240" s="522"/>
    </row>
    <row r="241" spans="1:12" ht="23.15" customHeight="1">
      <c r="A241" s="312">
        <f>A232+1</f>
        <v>21</v>
      </c>
      <c r="B241" s="438" t="s">
        <v>436</v>
      </c>
      <c r="C241" s="1176" t="s">
        <v>418</v>
      </c>
      <c r="D241" s="1177"/>
      <c r="E241" s="1178"/>
      <c r="F241" s="301"/>
      <c r="G241" s="302"/>
      <c r="H241" s="362"/>
      <c r="I241" s="521"/>
    </row>
    <row r="242" spans="1:12" ht="23.15" customHeight="1">
      <c r="A242" s="454"/>
      <c r="B242" s="303" t="s">
        <v>331</v>
      </c>
      <c r="C242" s="329"/>
      <c r="D242" s="430"/>
      <c r="E242" s="302"/>
      <c r="F242" s="301"/>
      <c r="G242" s="302"/>
      <c r="H242" s="362"/>
      <c r="I242" s="521"/>
      <c r="J242" s="392">
        <f>H242</f>
        <v>0</v>
      </c>
    </row>
    <row r="243" spans="1:12" ht="23.15" customHeight="1">
      <c r="A243" s="454"/>
      <c r="B243" s="303" t="s">
        <v>420</v>
      </c>
      <c r="C243" s="329">
        <f>ROUND(D243,2)</f>
        <v>1</v>
      </c>
      <c r="D243" s="430">
        <v>1</v>
      </c>
      <c r="E243" s="329" t="s">
        <v>417</v>
      </c>
      <c r="F243" s="532">
        <v>2900</v>
      </c>
      <c r="G243" s="329" t="s">
        <v>417</v>
      </c>
      <c r="H243" s="532">
        <f>F243*C243</f>
        <v>2900</v>
      </c>
      <c r="I243" s="533" t="s">
        <v>438</v>
      </c>
      <c r="J243" s="392">
        <v>660</v>
      </c>
      <c r="K243" s="392">
        <f>J243*1.6</f>
        <v>1056</v>
      </c>
      <c r="L243" s="392">
        <f>K243*2.83</f>
        <v>2988.48</v>
      </c>
    </row>
    <row r="244" spans="1:12" ht="23.15" customHeight="1">
      <c r="A244" s="454"/>
      <c r="B244" s="303" t="s">
        <v>511</v>
      </c>
      <c r="C244" s="329">
        <v>3</v>
      </c>
      <c r="D244" s="430">
        <v>7</v>
      </c>
      <c r="E244" s="329" t="s">
        <v>417</v>
      </c>
      <c r="F244" s="532">
        <v>2700</v>
      </c>
      <c r="G244" s="329" t="s">
        <v>417</v>
      </c>
      <c r="H244" s="532">
        <f>F244*C244</f>
        <v>8100</v>
      </c>
      <c r="I244" s="533" t="s">
        <v>439</v>
      </c>
      <c r="J244" s="392">
        <v>600</v>
      </c>
      <c r="K244" s="392">
        <f>J244*1.6</f>
        <v>960</v>
      </c>
      <c r="L244" s="392">
        <f>K244*2.83</f>
        <v>2716.8</v>
      </c>
    </row>
    <row r="245" spans="1:12" ht="23.15" customHeight="1">
      <c r="A245" s="454"/>
      <c r="B245" s="303" t="s">
        <v>421</v>
      </c>
      <c r="C245" s="329">
        <f>ROUND(D245,2)</f>
        <v>1</v>
      </c>
      <c r="D245" s="430">
        <v>1</v>
      </c>
      <c r="E245" s="329" t="s">
        <v>417</v>
      </c>
      <c r="F245" s="532">
        <v>3700</v>
      </c>
      <c r="G245" s="329" t="s">
        <v>417</v>
      </c>
      <c r="H245" s="532">
        <f>F245*C245</f>
        <v>3700</v>
      </c>
      <c r="I245" s="533" t="s">
        <v>434</v>
      </c>
      <c r="J245" s="392">
        <v>825</v>
      </c>
      <c r="K245" s="392">
        <f>J245*1.6</f>
        <v>1320</v>
      </c>
      <c r="L245" s="392">
        <f>K245*2.83</f>
        <v>3735.6</v>
      </c>
    </row>
    <row r="246" spans="1:12" ht="23.15" customHeight="1">
      <c r="A246" s="454"/>
      <c r="B246" s="303" t="s">
        <v>512</v>
      </c>
      <c r="C246" s="329">
        <v>1</v>
      </c>
      <c r="D246" s="430">
        <v>1</v>
      </c>
      <c r="E246" s="329" t="s">
        <v>417</v>
      </c>
      <c r="F246" s="532">
        <v>3300</v>
      </c>
      <c r="G246" s="329" t="s">
        <v>417</v>
      </c>
      <c r="H246" s="532">
        <f>F246*C246</f>
        <v>3300</v>
      </c>
      <c r="I246" s="533" t="s">
        <v>435</v>
      </c>
      <c r="J246" s="392">
        <v>750</v>
      </c>
      <c r="K246" s="392">
        <f>J246*1.6</f>
        <v>1200</v>
      </c>
      <c r="L246" s="392">
        <f>K246*2.83</f>
        <v>3396</v>
      </c>
    </row>
    <row r="247" spans="1:12" ht="16" thickBot="1">
      <c r="A247" s="454"/>
      <c r="B247" s="303" t="s">
        <v>324</v>
      </c>
      <c r="C247" s="329">
        <f>ROUND(D247,2)</f>
        <v>1</v>
      </c>
      <c r="D247" s="430">
        <v>1</v>
      </c>
      <c r="E247" s="329" t="s">
        <v>11</v>
      </c>
      <c r="F247" s="534">
        <v>7000</v>
      </c>
      <c r="G247" s="329" t="s">
        <v>11</v>
      </c>
      <c r="H247" s="534">
        <f>F247*C247</f>
        <v>7000</v>
      </c>
      <c r="I247" s="533" t="s">
        <v>440</v>
      </c>
      <c r="J247" s="392">
        <v>2500</v>
      </c>
      <c r="L247" s="392">
        <f>J247*2.83</f>
        <v>7075</v>
      </c>
    </row>
    <row r="248" spans="1:12" ht="23.15" customHeight="1" thickTop="1" thickBot="1">
      <c r="A248" s="454"/>
      <c r="B248" s="302" t="s">
        <v>328</v>
      </c>
      <c r="C248" s="329"/>
      <c r="D248" s="430"/>
      <c r="E248" s="302"/>
      <c r="F248" s="551" t="s">
        <v>266</v>
      </c>
      <c r="G248" s="503" t="s">
        <v>221</v>
      </c>
      <c r="H248" s="553">
        <f>SUM(H243:H247)</f>
        <v>25000</v>
      </c>
      <c r="I248" s="536"/>
    </row>
    <row r="249" spans="1:12" ht="22.25" customHeight="1" thickTop="1">
      <c r="A249" s="454"/>
      <c r="B249" s="303"/>
      <c r="C249" s="329"/>
      <c r="D249" s="430"/>
      <c r="E249" s="302"/>
      <c r="F249" s="301"/>
      <c r="G249" s="432"/>
      <c r="H249" s="465"/>
      <c r="I249" s="522"/>
    </row>
    <row r="250" spans="1:12" ht="23.15" customHeight="1">
      <c r="A250" s="312">
        <f>A241+1</f>
        <v>22</v>
      </c>
      <c r="B250" s="438" t="s">
        <v>437</v>
      </c>
      <c r="C250" s="1176" t="s">
        <v>418</v>
      </c>
      <c r="D250" s="1177"/>
      <c r="E250" s="1178"/>
      <c r="F250" s="301"/>
      <c r="G250" s="302"/>
      <c r="H250" s="362"/>
      <c r="I250" s="521"/>
    </row>
    <row r="251" spans="1:12" ht="23.15" customHeight="1">
      <c r="A251" s="454"/>
      <c r="B251" s="303" t="s">
        <v>331</v>
      </c>
      <c r="C251" s="329"/>
      <c r="D251" s="430"/>
      <c r="E251" s="302"/>
      <c r="F251" s="301"/>
      <c r="G251" s="302"/>
      <c r="H251" s="362"/>
      <c r="I251" s="521"/>
      <c r="J251" s="392">
        <f>H251</f>
        <v>0</v>
      </c>
    </row>
    <row r="252" spans="1:12" ht="23.15" customHeight="1">
      <c r="A252" s="454"/>
      <c r="B252" s="303" t="s">
        <v>420</v>
      </c>
      <c r="C252" s="329">
        <f>ROUND(D252,2)</f>
        <v>1</v>
      </c>
      <c r="D252" s="430">
        <v>1</v>
      </c>
      <c r="E252" s="329" t="s">
        <v>417</v>
      </c>
      <c r="F252" s="532">
        <v>2900</v>
      </c>
      <c r="G252" s="329" t="s">
        <v>417</v>
      </c>
      <c r="H252" s="532">
        <f>F252*C252</f>
        <v>2900</v>
      </c>
      <c r="I252" s="533" t="s">
        <v>438</v>
      </c>
      <c r="J252" s="392">
        <v>660</v>
      </c>
      <c r="K252" s="392">
        <f>J252*1.6</f>
        <v>1056</v>
      </c>
      <c r="L252" s="392">
        <f>K252*2.83</f>
        <v>2988.48</v>
      </c>
    </row>
    <row r="253" spans="1:12" ht="23.15" customHeight="1">
      <c r="A253" s="454"/>
      <c r="B253" s="303" t="s">
        <v>511</v>
      </c>
      <c r="C253" s="329">
        <v>3</v>
      </c>
      <c r="D253" s="430">
        <v>7</v>
      </c>
      <c r="E253" s="329" t="s">
        <v>417</v>
      </c>
      <c r="F253" s="532">
        <v>2700</v>
      </c>
      <c r="G253" s="329" t="s">
        <v>417</v>
      </c>
      <c r="H253" s="532">
        <f>F253*C253</f>
        <v>8100</v>
      </c>
      <c r="I253" s="533" t="s">
        <v>439</v>
      </c>
      <c r="J253" s="392">
        <v>600</v>
      </c>
      <c r="K253" s="392">
        <f>J253*1.6</f>
        <v>960</v>
      </c>
      <c r="L253" s="392">
        <f>K253*2.83</f>
        <v>2716.8</v>
      </c>
    </row>
    <row r="254" spans="1:12" ht="23.15" customHeight="1">
      <c r="A254" s="454"/>
      <c r="B254" s="303" t="s">
        <v>421</v>
      </c>
      <c r="C254" s="329">
        <f>ROUND(D254,2)</f>
        <v>1</v>
      </c>
      <c r="D254" s="430">
        <v>1</v>
      </c>
      <c r="E254" s="329" t="s">
        <v>417</v>
      </c>
      <c r="F254" s="532">
        <v>3700</v>
      </c>
      <c r="G254" s="329" t="s">
        <v>417</v>
      </c>
      <c r="H254" s="532">
        <f>F254*C254</f>
        <v>3700</v>
      </c>
      <c r="I254" s="533" t="s">
        <v>434</v>
      </c>
      <c r="J254" s="392">
        <v>825</v>
      </c>
      <c r="K254" s="392">
        <f>J254*1.6</f>
        <v>1320</v>
      </c>
      <c r="L254" s="392">
        <f>K254*2.83</f>
        <v>3735.6</v>
      </c>
    </row>
    <row r="255" spans="1:12" ht="23.15" customHeight="1">
      <c r="A255" s="454"/>
      <c r="B255" s="303" t="s">
        <v>512</v>
      </c>
      <c r="C255" s="329">
        <v>1</v>
      </c>
      <c r="D255" s="430">
        <v>1</v>
      </c>
      <c r="E255" s="329" t="s">
        <v>417</v>
      </c>
      <c r="F255" s="532">
        <v>3300</v>
      </c>
      <c r="G255" s="329" t="s">
        <v>417</v>
      </c>
      <c r="H255" s="532">
        <f>F255*C255</f>
        <v>3300</v>
      </c>
      <c r="I255" s="533" t="s">
        <v>435</v>
      </c>
      <c r="J255" s="392">
        <v>750</v>
      </c>
      <c r="K255" s="392">
        <f>J255*1.6</f>
        <v>1200</v>
      </c>
      <c r="L255" s="392">
        <f>K255*2.83</f>
        <v>3396</v>
      </c>
    </row>
    <row r="256" spans="1:12" ht="16" thickBot="1">
      <c r="A256" s="454"/>
      <c r="B256" s="303" t="s">
        <v>324</v>
      </c>
      <c r="C256" s="329">
        <f>ROUND(D256,2)</f>
        <v>1</v>
      </c>
      <c r="D256" s="430">
        <v>1</v>
      </c>
      <c r="E256" s="329" t="s">
        <v>11</v>
      </c>
      <c r="F256" s="534">
        <v>14000</v>
      </c>
      <c r="G256" s="329" t="s">
        <v>11</v>
      </c>
      <c r="H256" s="534">
        <f>F256*C256</f>
        <v>14000</v>
      </c>
      <c r="I256" s="533" t="s">
        <v>441</v>
      </c>
      <c r="J256" s="392">
        <v>5200</v>
      </c>
      <c r="L256" s="392">
        <f>J256*2.83</f>
        <v>14716</v>
      </c>
    </row>
    <row r="257" spans="1:11" ht="23.15" customHeight="1" thickTop="1" thickBot="1">
      <c r="A257" s="454"/>
      <c r="B257" s="302" t="s">
        <v>328</v>
      </c>
      <c r="C257" s="329"/>
      <c r="D257" s="430"/>
      <c r="E257" s="302"/>
      <c r="F257" s="551" t="s">
        <v>266</v>
      </c>
      <c r="G257" s="503" t="s">
        <v>221</v>
      </c>
      <c r="H257" s="553">
        <f>SUM(H252:H256)</f>
        <v>32000</v>
      </c>
      <c r="I257" s="536"/>
    </row>
    <row r="258" spans="1:11" ht="22.25" customHeight="1" thickTop="1">
      <c r="A258" s="454"/>
      <c r="B258" s="303"/>
      <c r="C258" s="329"/>
      <c r="D258" s="430"/>
      <c r="E258" s="302"/>
      <c r="F258" s="301"/>
      <c r="G258" s="432"/>
      <c r="H258" s="465"/>
      <c r="I258" s="522"/>
    </row>
    <row r="259" spans="1:11" ht="23.15" customHeight="1">
      <c r="A259" s="312">
        <f>A250+1</f>
        <v>23</v>
      </c>
      <c r="B259" s="438" t="s">
        <v>423</v>
      </c>
      <c r="C259" s="1176" t="s">
        <v>418</v>
      </c>
      <c r="D259" s="1177"/>
      <c r="E259" s="1178"/>
      <c r="F259" s="301"/>
      <c r="G259" s="302"/>
      <c r="H259" s="362"/>
      <c r="I259" s="521"/>
    </row>
    <row r="260" spans="1:11" ht="23.15" customHeight="1">
      <c r="A260" s="454"/>
      <c r="B260" s="303" t="s">
        <v>331</v>
      </c>
      <c r="C260" s="329"/>
      <c r="D260" s="430"/>
      <c r="E260" s="302"/>
      <c r="F260" s="532"/>
      <c r="G260" s="329"/>
      <c r="H260" s="532"/>
      <c r="I260" s="538"/>
      <c r="J260" s="392">
        <f>H260</f>
        <v>0</v>
      </c>
    </row>
    <row r="261" spans="1:11" ht="23.15" customHeight="1">
      <c r="A261" s="454"/>
      <c r="B261" s="303" t="s">
        <v>420</v>
      </c>
      <c r="C261" s="329">
        <f>ROUND(D261,2)</f>
        <v>1</v>
      </c>
      <c r="D261" s="430">
        <v>1</v>
      </c>
      <c r="E261" s="329" t="s">
        <v>417</v>
      </c>
      <c r="F261" s="532">
        <v>2500</v>
      </c>
      <c r="G261" s="329" t="s">
        <v>417</v>
      </c>
      <c r="H261" s="532">
        <f>F261*C261</f>
        <v>2500</v>
      </c>
      <c r="I261" s="533"/>
      <c r="K261" s="392">
        <f>H261</f>
        <v>2500</v>
      </c>
    </row>
    <row r="262" spans="1:11" ht="23.15" customHeight="1">
      <c r="A262" s="454"/>
      <c r="B262" s="303" t="s">
        <v>511</v>
      </c>
      <c r="C262" s="329">
        <v>3</v>
      </c>
      <c r="D262" s="430">
        <v>7</v>
      </c>
      <c r="E262" s="329" t="s">
        <v>417</v>
      </c>
      <c r="F262" s="532">
        <v>2200</v>
      </c>
      <c r="G262" s="329" t="s">
        <v>417</v>
      </c>
      <c r="H262" s="532">
        <f>F262*C262</f>
        <v>6600</v>
      </c>
      <c r="I262" s="533"/>
      <c r="K262" s="392">
        <f>H262</f>
        <v>6600</v>
      </c>
    </row>
    <row r="263" spans="1:11" ht="23.15" customHeight="1">
      <c r="A263" s="454"/>
      <c r="B263" s="303" t="s">
        <v>421</v>
      </c>
      <c r="C263" s="329">
        <f>ROUND(D263,2)</f>
        <v>1</v>
      </c>
      <c r="D263" s="430">
        <v>1</v>
      </c>
      <c r="E263" s="329" t="s">
        <v>417</v>
      </c>
      <c r="F263" s="532">
        <v>3500</v>
      </c>
      <c r="G263" s="329" t="s">
        <v>417</v>
      </c>
      <c r="H263" s="532">
        <f>F263*C263</f>
        <v>3500</v>
      </c>
      <c r="I263" s="533"/>
    </row>
    <row r="264" spans="1:11" ht="23.15" customHeight="1">
      <c r="A264" s="454"/>
      <c r="B264" s="303" t="s">
        <v>512</v>
      </c>
      <c r="C264" s="329">
        <v>1</v>
      </c>
      <c r="D264" s="430">
        <v>1</v>
      </c>
      <c r="E264" s="329" t="s">
        <v>417</v>
      </c>
      <c r="F264" s="532">
        <v>3000</v>
      </c>
      <c r="G264" s="329" t="s">
        <v>417</v>
      </c>
      <c r="H264" s="532">
        <f>F264*C264</f>
        <v>3000</v>
      </c>
      <c r="I264" s="533"/>
    </row>
    <row r="265" spans="1:11" ht="23.15" customHeight="1" thickBot="1">
      <c r="A265" s="454"/>
      <c r="B265" s="303" t="s">
        <v>324</v>
      </c>
      <c r="C265" s="329">
        <f>ROUND(D265,2)</f>
        <v>1</v>
      </c>
      <c r="D265" s="430">
        <v>1</v>
      </c>
      <c r="E265" s="329" t="s">
        <v>11</v>
      </c>
      <c r="F265" s="532">
        <v>10000</v>
      </c>
      <c r="G265" s="329" t="s">
        <v>11</v>
      </c>
      <c r="H265" s="532">
        <f>F265*C265</f>
        <v>10000</v>
      </c>
      <c r="I265" s="533"/>
    </row>
    <row r="266" spans="1:11" ht="23.15" customHeight="1" thickTop="1" thickBot="1">
      <c r="A266" s="454"/>
      <c r="B266" s="302" t="s">
        <v>328</v>
      </c>
      <c r="C266" s="329"/>
      <c r="D266" s="430"/>
      <c r="E266" s="302"/>
      <c r="F266" s="551" t="s">
        <v>266</v>
      </c>
      <c r="G266" s="552" t="s">
        <v>221</v>
      </c>
      <c r="H266" s="553">
        <f>SUM(H261:H265)</f>
        <v>25600</v>
      </c>
      <c r="I266" s="536"/>
    </row>
    <row r="267" spans="1:11" ht="21.65" customHeight="1" thickTop="1">
      <c r="A267" s="454"/>
      <c r="B267" s="303"/>
      <c r="C267" s="329"/>
      <c r="D267" s="430"/>
      <c r="E267" s="302"/>
      <c r="F267" s="301"/>
      <c r="G267" s="432"/>
      <c r="H267" s="465"/>
      <c r="I267" s="522"/>
    </row>
    <row r="268" spans="1:11" ht="23.15" customHeight="1">
      <c r="A268" s="312">
        <f>A259+1</f>
        <v>24</v>
      </c>
      <c r="B268" s="438" t="s">
        <v>332</v>
      </c>
      <c r="C268" s="1176" t="s">
        <v>330</v>
      </c>
      <c r="D268" s="1177"/>
      <c r="E268" s="1178"/>
      <c r="F268" s="301"/>
      <c r="G268" s="302"/>
      <c r="H268" s="362"/>
      <c r="I268" s="521"/>
    </row>
    <row r="269" spans="1:11" ht="23.15" customHeight="1">
      <c r="A269" s="454"/>
      <c r="B269" s="303" t="s">
        <v>331</v>
      </c>
      <c r="C269" s="329"/>
      <c r="D269" s="430"/>
      <c r="E269" s="302"/>
      <c r="F269" s="301"/>
      <c r="G269" s="302"/>
      <c r="H269" s="362"/>
      <c r="I269" s="521"/>
      <c r="J269" s="392">
        <f>H269</f>
        <v>0</v>
      </c>
    </row>
    <row r="270" spans="1:11" ht="23.15" customHeight="1">
      <c r="A270" s="454"/>
      <c r="B270" s="303" t="s">
        <v>513</v>
      </c>
      <c r="C270" s="329">
        <v>4</v>
      </c>
      <c r="D270" s="430">
        <v>8</v>
      </c>
      <c r="E270" s="329" t="s">
        <v>417</v>
      </c>
      <c r="F270" s="532">
        <f>F234</f>
        <v>960</v>
      </c>
      <c r="G270" s="329" t="s">
        <v>417</v>
      </c>
      <c r="H270" s="532">
        <f>F270*C270</f>
        <v>3840</v>
      </c>
      <c r="I270" s="533" t="str">
        <f>I234</f>
        <v>P-12, No.1a</v>
      </c>
      <c r="J270" s="393"/>
      <c r="K270" s="393"/>
    </row>
    <row r="271" spans="1:11" ht="23.15" customHeight="1">
      <c r="A271" s="454"/>
      <c r="B271" s="303" t="s">
        <v>514</v>
      </c>
      <c r="C271" s="329">
        <v>2</v>
      </c>
      <c r="D271" s="430">
        <v>2</v>
      </c>
      <c r="E271" s="329" t="s">
        <v>417</v>
      </c>
      <c r="F271" s="532">
        <f>F235</f>
        <v>1440</v>
      </c>
      <c r="G271" s="329" t="s">
        <v>417</v>
      </c>
      <c r="H271" s="532">
        <f>F271*C271</f>
        <v>2880</v>
      </c>
      <c r="I271" s="533" t="str">
        <f>I235</f>
        <v>P-12, No.1b</v>
      </c>
      <c r="J271" s="393"/>
      <c r="K271" s="393"/>
    </row>
    <row r="272" spans="1:11" ht="23.15" customHeight="1">
      <c r="A272" s="454"/>
      <c r="B272" s="303" t="s">
        <v>324</v>
      </c>
      <c r="C272" s="329">
        <f>ROUND(D272,2)</f>
        <v>1</v>
      </c>
      <c r="D272" s="430">
        <v>1</v>
      </c>
      <c r="E272" s="329" t="s">
        <v>9</v>
      </c>
      <c r="F272" s="532">
        <v>20000</v>
      </c>
      <c r="G272" s="329" t="s">
        <v>9</v>
      </c>
      <c r="H272" s="532">
        <f>F272*C272</f>
        <v>20000</v>
      </c>
      <c r="I272" s="533" t="s">
        <v>446</v>
      </c>
    </row>
    <row r="273" spans="1:13" ht="23.15" customHeight="1" thickBot="1">
      <c r="A273" s="454"/>
      <c r="B273" s="303" t="s">
        <v>325</v>
      </c>
      <c r="C273" s="329">
        <f>ROUND(D273,2)</f>
        <v>1</v>
      </c>
      <c r="D273" s="430">
        <v>1</v>
      </c>
      <c r="E273" s="329" t="s">
        <v>9</v>
      </c>
      <c r="F273" s="534">
        <v>15000</v>
      </c>
      <c r="G273" s="329" t="s">
        <v>9</v>
      </c>
      <c r="H273" s="534">
        <f>F273*C273</f>
        <v>15000</v>
      </c>
      <c r="I273" s="533" t="s">
        <v>447</v>
      </c>
    </row>
    <row r="274" spans="1:13" ht="23.15" customHeight="1" thickBot="1">
      <c r="A274" s="454"/>
      <c r="B274" s="302" t="s">
        <v>326</v>
      </c>
      <c r="C274" s="329"/>
      <c r="D274" s="430"/>
      <c r="E274" s="302"/>
      <c r="F274" s="551" t="s">
        <v>266</v>
      </c>
      <c r="G274" s="503" t="s">
        <v>221</v>
      </c>
      <c r="H274" s="551">
        <f>SUM(H269:H273)</f>
        <v>41720</v>
      </c>
      <c r="I274" s="535"/>
    </row>
    <row r="275" spans="1:13" ht="22.25" customHeight="1" thickTop="1">
      <c r="A275" s="454"/>
      <c r="B275" s="302"/>
      <c r="C275" s="329"/>
      <c r="D275" s="539"/>
      <c r="E275" s="540"/>
      <c r="F275" s="449"/>
      <c r="G275" s="450"/>
      <c r="H275" s="451"/>
      <c r="I275" s="522"/>
    </row>
    <row r="276" spans="1:13" ht="23.15" customHeight="1">
      <c r="A276" s="312">
        <f>A268+1</f>
        <v>25</v>
      </c>
      <c r="B276" s="438" t="s">
        <v>329</v>
      </c>
      <c r="C276" s="1176" t="s">
        <v>330</v>
      </c>
      <c r="D276" s="1177"/>
      <c r="E276" s="1178"/>
      <c r="F276" s="301"/>
      <c r="G276" s="302"/>
      <c r="H276" s="362"/>
      <c r="I276" s="521"/>
    </row>
    <row r="277" spans="1:13" ht="23.15" customHeight="1">
      <c r="A277" s="454"/>
      <c r="B277" s="303" t="s">
        <v>331</v>
      </c>
      <c r="C277" s="329"/>
      <c r="D277" s="430"/>
      <c r="E277" s="302"/>
      <c r="F277" s="301"/>
      <c r="G277" s="302"/>
      <c r="H277" s="362"/>
      <c r="I277" s="521"/>
      <c r="J277" s="392">
        <f>H277</f>
        <v>0</v>
      </c>
    </row>
    <row r="278" spans="1:13" ht="23.15" customHeight="1">
      <c r="A278" s="454"/>
      <c r="B278" s="303" t="s">
        <v>513</v>
      </c>
      <c r="C278" s="329">
        <v>4</v>
      </c>
      <c r="D278" s="430">
        <v>8</v>
      </c>
      <c r="E278" s="329" t="s">
        <v>417</v>
      </c>
      <c r="F278" s="532">
        <v>1600</v>
      </c>
      <c r="G278" s="329" t="s">
        <v>417</v>
      </c>
      <c r="H278" s="532">
        <f>F278*C278</f>
        <v>6400</v>
      </c>
      <c r="I278" s="533" t="s">
        <v>442</v>
      </c>
      <c r="J278" s="392">
        <v>750</v>
      </c>
      <c r="K278" s="392">
        <f>J278*1.6</f>
        <v>1200</v>
      </c>
      <c r="L278" s="392">
        <f>K278/35.32</f>
        <v>33.975084937712346</v>
      </c>
      <c r="M278" s="393">
        <f>L278*50</f>
        <v>1698.7542468856172</v>
      </c>
    </row>
    <row r="279" spans="1:13" ht="23.15" customHeight="1">
      <c r="A279" s="454"/>
      <c r="B279" s="303" t="s">
        <v>514</v>
      </c>
      <c r="C279" s="329">
        <v>2</v>
      </c>
      <c r="D279" s="430">
        <v>2</v>
      </c>
      <c r="E279" s="329" t="s">
        <v>417</v>
      </c>
      <c r="F279" s="532">
        <v>2000</v>
      </c>
      <c r="G279" s="329" t="s">
        <v>417</v>
      </c>
      <c r="H279" s="532">
        <f>F279*C279</f>
        <v>4000</v>
      </c>
      <c r="I279" s="533" t="s">
        <v>443</v>
      </c>
      <c r="J279" s="392">
        <v>900</v>
      </c>
      <c r="K279" s="392">
        <f>J279*1.6</f>
        <v>1440</v>
      </c>
      <c r="L279" s="392">
        <f>K279/35.32</f>
        <v>40.770101925254814</v>
      </c>
      <c r="M279" s="393">
        <f>L279*50</f>
        <v>2038.5050962627406</v>
      </c>
    </row>
    <row r="280" spans="1:13" ht="23.15" customHeight="1">
      <c r="A280" s="454"/>
      <c r="B280" s="303" t="s">
        <v>324</v>
      </c>
      <c r="C280" s="329">
        <f>ROUND(D280,2)</f>
        <v>1</v>
      </c>
      <c r="D280" s="430">
        <v>1</v>
      </c>
      <c r="E280" s="329" t="s">
        <v>9</v>
      </c>
      <c r="F280" s="532">
        <v>20000</v>
      </c>
      <c r="G280" s="329" t="s">
        <v>9</v>
      </c>
      <c r="H280" s="532">
        <f>F280*C280</f>
        <v>20000</v>
      </c>
      <c r="I280" s="533" t="s">
        <v>444</v>
      </c>
      <c r="J280" s="392">
        <v>14200</v>
      </c>
      <c r="L280" s="392">
        <f>J280/35.32</f>
        <v>402.03850509626272</v>
      </c>
      <c r="M280" s="393">
        <f>L280*50</f>
        <v>20101.925254813137</v>
      </c>
    </row>
    <row r="281" spans="1:13" ht="23.15" customHeight="1" thickBot="1">
      <c r="A281" s="454"/>
      <c r="B281" s="303" t="s">
        <v>325</v>
      </c>
      <c r="C281" s="329">
        <f>ROUND(D281,2)</f>
        <v>1</v>
      </c>
      <c r="D281" s="430">
        <v>1</v>
      </c>
      <c r="E281" s="329" t="s">
        <v>9</v>
      </c>
      <c r="F281" s="534">
        <v>14000</v>
      </c>
      <c r="G281" s="329" t="s">
        <v>9</v>
      </c>
      <c r="H281" s="534">
        <f>F281*C281</f>
        <v>14000</v>
      </c>
      <c r="I281" s="533" t="s">
        <v>445</v>
      </c>
      <c r="J281" s="392">
        <v>10000</v>
      </c>
      <c r="L281" s="392">
        <f>J281/35.32</f>
        <v>283.12570781426956</v>
      </c>
      <c r="M281" s="393">
        <f>L281*50</f>
        <v>14156.285390713478</v>
      </c>
    </row>
    <row r="282" spans="1:13" ht="23.15" customHeight="1" thickBot="1">
      <c r="A282" s="541"/>
      <c r="B282" s="541" t="s">
        <v>326</v>
      </c>
      <c r="C282" s="542"/>
      <c r="D282" s="543"/>
      <c r="E282" s="541"/>
      <c r="F282" s="551" t="s">
        <v>266</v>
      </c>
      <c r="G282" s="503" t="s">
        <v>221</v>
      </c>
      <c r="H282" s="551">
        <f>SUM(H277:H281)</f>
        <v>44400</v>
      </c>
      <c r="I282" s="551"/>
    </row>
    <row r="283" spans="1:13" ht="23.15" customHeight="1" thickTop="1">
      <c r="G283" s="426"/>
      <c r="H283" s="426"/>
      <c r="I283" s="544"/>
      <c r="J283" s="392" t="e">
        <f>#REF!+#REF!</f>
        <v>#REF!</v>
      </c>
      <c r="K283" s="392" t="e">
        <f>J283-#REF!</f>
        <v>#REF!</v>
      </c>
    </row>
    <row r="284" spans="1:13" ht="23.15" customHeight="1">
      <c r="G284" s="426"/>
      <c r="H284" s="426"/>
      <c r="I284" s="544"/>
    </row>
    <row r="285" spans="1:13" ht="23.15" customHeight="1">
      <c r="G285" s="426"/>
      <c r="H285" s="426"/>
      <c r="I285" s="544"/>
      <c r="L285" s="398"/>
    </row>
    <row r="286" spans="1:13" ht="23.15" customHeight="1">
      <c r="G286" s="426"/>
      <c r="H286" s="426"/>
      <c r="I286" s="544"/>
    </row>
    <row r="287" spans="1:13" ht="23.15" customHeight="1">
      <c r="H287" s="398"/>
      <c r="I287" s="545"/>
      <c r="J287" s="398"/>
      <c r="K287" s="468"/>
    </row>
    <row r="290" spans="4:9" s="393" customFormat="1" ht="23.15" customHeight="1">
      <c r="D290" s="516"/>
      <c r="I290" s="517"/>
    </row>
  </sheetData>
  <mergeCells count="10">
    <mergeCell ref="C276:E276"/>
    <mergeCell ref="C221:E221"/>
    <mergeCell ref="C232:E232"/>
    <mergeCell ref="A1:I1"/>
    <mergeCell ref="A2:I2"/>
    <mergeCell ref="A3:I3"/>
    <mergeCell ref="C241:E241"/>
    <mergeCell ref="C250:E250"/>
    <mergeCell ref="C268:E268"/>
    <mergeCell ref="C259:E259"/>
  </mergeCells>
  <phoneticPr fontId="33" type="noConversion"/>
  <printOptions horizontalCentered="1"/>
  <pageMargins left="0.5" right="0.25" top="0.5" bottom="0.25" header="0" footer="0"/>
  <pageSetup paperSize="9" orientation="portrait" horizontalDpi="360" verticalDpi="360" r:id="rId1"/>
  <headerFooter>
    <oddHeader>Page &amp;P of &amp;N</oddHeader>
    <oddFooter>&amp;R&amp;G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BF67-7DE7-4505-96CD-7E555F683423}">
  <dimension ref="A1:AL75"/>
  <sheetViews>
    <sheetView view="pageBreakPreview" topLeftCell="E1" zoomScale="50" zoomScaleNormal="100" zoomScaleSheetLayoutView="50" workbookViewId="0">
      <pane ySplit="6" topLeftCell="A7" activePane="bottomLeft" state="frozen"/>
      <selection activeCell="B223" sqref="B223"/>
      <selection pane="bottomLeft" activeCell="B223" sqref="B223"/>
    </sheetView>
  </sheetViews>
  <sheetFormatPr defaultColWidth="9.36328125" defaultRowHeight="25.25" customHeight="1"/>
  <cols>
    <col min="1" max="1" width="4.54296875" style="332" customWidth="1"/>
    <col min="2" max="2" width="31.36328125" style="343" customWidth="1"/>
    <col min="3" max="3" width="13" style="332" customWidth="1"/>
    <col min="4" max="4" width="6.6328125" style="331" customWidth="1"/>
    <col min="5" max="5" width="8.6328125" style="344" customWidth="1"/>
    <col min="6" max="6" width="10.6328125" style="331" bestFit="1" customWidth="1"/>
    <col min="7" max="7" width="8.36328125" style="331" customWidth="1"/>
    <col min="8" max="8" width="8.54296875" style="331" customWidth="1"/>
    <col min="9" max="9" width="7.6328125" style="331" customWidth="1"/>
    <col min="10" max="10" width="10.08984375" style="344" customWidth="1"/>
    <col min="11" max="11" width="9.36328125" style="331" customWidth="1"/>
    <col min="12" max="12" width="8.36328125" style="331" customWidth="1"/>
    <col min="13" max="13" width="8.6328125" style="344" customWidth="1"/>
    <col min="14" max="15" width="10.6328125" style="331" bestFit="1" customWidth="1"/>
    <col min="16" max="17" width="8.08984375" style="331" customWidth="1"/>
    <col min="18" max="18" width="11.6328125" style="344" customWidth="1"/>
    <col min="19" max="19" width="11" style="344" bestFit="1" customWidth="1"/>
    <col min="20" max="21" width="9.36328125" style="344" customWidth="1"/>
    <col min="22" max="22" width="7.90625" style="344" bestFit="1" customWidth="1"/>
    <col min="23" max="25" width="8.08984375" style="331" customWidth="1"/>
    <col min="26" max="26" width="10.08984375" style="331" customWidth="1"/>
    <col min="27" max="27" width="7.36328125" style="331" customWidth="1"/>
    <col min="28" max="30" width="12.453125" style="331" bestFit="1" customWidth="1"/>
    <col min="31" max="31" width="9.6328125" style="331" bestFit="1" customWidth="1"/>
    <col min="32" max="32" width="12.453125" style="331" bestFit="1" customWidth="1"/>
    <col min="33" max="33" width="9.6328125" style="331" bestFit="1" customWidth="1"/>
    <col min="34" max="34" width="12.6328125" style="331" customWidth="1"/>
    <col min="35" max="35" width="9.90625" style="331" customWidth="1"/>
    <col min="36" max="36" width="12.453125" style="331" customWidth="1"/>
    <col min="37" max="37" width="12.08984375" style="331" customWidth="1"/>
    <col min="38" max="38" width="7.453125" style="331" customWidth="1"/>
    <col min="39" max="16384" width="9.36328125" style="331"/>
  </cols>
  <sheetData>
    <row r="1" spans="1:38" ht="25.25" customHeight="1">
      <c r="A1" s="1182" t="str">
        <f>Detail!A1</f>
        <v>One Storeyed RCC Building, Myat Lay Street</v>
      </c>
      <c r="B1" s="1182"/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2"/>
      <c r="Q1" s="1182"/>
      <c r="R1" s="1182"/>
      <c r="S1" s="1182"/>
      <c r="T1" s="1182"/>
      <c r="U1" s="1182"/>
      <c r="V1" s="1182"/>
      <c r="W1" s="1182"/>
      <c r="X1" s="1182"/>
      <c r="Y1" s="1182"/>
      <c r="Z1" s="1182"/>
      <c r="AA1" s="1182"/>
      <c r="AB1" s="1182"/>
      <c r="AC1" s="1182"/>
      <c r="AD1" s="1182"/>
      <c r="AE1" s="1182"/>
      <c r="AF1" s="1182"/>
      <c r="AG1" s="1182"/>
      <c r="AH1" s="1182"/>
      <c r="AI1" s="1182"/>
      <c r="AJ1" s="1182"/>
      <c r="AK1" s="1182"/>
      <c r="AL1" s="1182"/>
    </row>
    <row r="2" spans="1:38" s="293" customFormat="1" ht="25.25" customHeight="1">
      <c r="A2" s="1182" t="str">
        <f>Detail!A2</f>
        <v>35'-0"x45'-0"x13'-0" Ht;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1182"/>
      <c r="S2" s="1182"/>
      <c r="T2" s="1182"/>
      <c r="U2" s="1182"/>
      <c r="V2" s="1182"/>
      <c r="W2" s="1182"/>
      <c r="X2" s="1182"/>
      <c r="Y2" s="1182"/>
      <c r="Z2" s="1182"/>
      <c r="AA2" s="1182"/>
      <c r="AB2" s="1182"/>
      <c r="AC2" s="1182"/>
      <c r="AD2" s="1182"/>
      <c r="AE2" s="1182"/>
      <c r="AF2" s="1182"/>
      <c r="AG2" s="1182"/>
      <c r="AH2" s="1182"/>
      <c r="AI2" s="1182"/>
      <c r="AJ2" s="1182"/>
      <c r="AK2" s="1182"/>
      <c r="AL2" s="1182"/>
    </row>
    <row r="3" spans="1:38" ht="25.25" customHeight="1" thickBot="1">
      <c r="A3" s="1183" t="s">
        <v>334</v>
      </c>
      <c r="B3" s="1183"/>
      <c r="C3" s="1183"/>
      <c r="D3" s="1183"/>
      <c r="E3" s="1183"/>
      <c r="F3" s="1183"/>
      <c r="G3" s="1183"/>
      <c r="H3" s="1183"/>
      <c r="I3" s="1183"/>
      <c r="J3" s="1183"/>
      <c r="K3" s="1183"/>
      <c r="L3" s="1183"/>
      <c r="M3" s="1183"/>
      <c r="N3" s="1183"/>
      <c r="O3" s="1183"/>
      <c r="P3" s="1183"/>
      <c r="Q3" s="1183"/>
      <c r="R3" s="1183"/>
      <c r="S3" s="1183"/>
      <c r="T3" s="1183"/>
      <c r="U3" s="1183"/>
      <c r="V3" s="1183"/>
      <c r="W3" s="1183"/>
      <c r="X3" s="1183"/>
      <c r="Y3" s="1183"/>
      <c r="Z3" s="1183"/>
      <c r="AA3" s="1183"/>
      <c r="AB3" s="1183"/>
      <c r="AC3" s="1183"/>
      <c r="AD3" s="1183"/>
      <c r="AE3" s="1183"/>
      <c r="AF3" s="1183"/>
      <c r="AG3" s="1183"/>
      <c r="AH3" s="1183"/>
      <c r="AI3" s="1183"/>
      <c r="AJ3" s="1183"/>
      <c r="AK3" s="1183"/>
      <c r="AL3" s="1183"/>
    </row>
    <row r="4" spans="1:38" ht="23.75" customHeight="1">
      <c r="A4" s="1193" t="s">
        <v>40</v>
      </c>
      <c r="B4" s="1184" t="s">
        <v>31</v>
      </c>
      <c r="C4" s="1187" t="s">
        <v>32</v>
      </c>
      <c r="D4" s="1190" t="s">
        <v>0</v>
      </c>
      <c r="E4" s="1180" t="s">
        <v>185</v>
      </c>
      <c r="F4" s="1180"/>
      <c r="G4" s="1180"/>
      <c r="H4" s="1180"/>
      <c r="I4" s="1180"/>
      <c r="J4" s="1180"/>
      <c r="K4" s="1180" t="s">
        <v>336</v>
      </c>
      <c r="L4" s="1180"/>
      <c r="M4" s="1180"/>
      <c r="N4" s="1180"/>
      <c r="O4" s="1180"/>
      <c r="P4" s="1180"/>
      <c r="Q4" s="1180"/>
      <c r="R4" s="1180"/>
      <c r="S4" s="1180"/>
      <c r="T4" s="1180"/>
      <c r="U4" s="1180"/>
      <c r="V4" s="1180"/>
      <c r="W4" s="1180"/>
      <c r="X4" s="1180"/>
      <c r="Y4" s="1180"/>
      <c r="Z4" s="1180"/>
      <c r="AA4" s="1180"/>
      <c r="AB4" s="1180"/>
      <c r="AC4" s="1180"/>
      <c r="AD4" s="1180"/>
      <c r="AE4" s="1180"/>
      <c r="AF4" s="1180"/>
      <c r="AG4" s="1180"/>
      <c r="AH4" s="1180"/>
      <c r="AI4" s="1180"/>
      <c r="AJ4" s="1180"/>
      <c r="AK4" s="1180"/>
      <c r="AL4" s="1181"/>
    </row>
    <row r="5" spans="1:38" ht="73.25" customHeight="1">
      <c r="A5" s="1194"/>
      <c r="B5" s="1185"/>
      <c r="C5" s="1188"/>
      <c r="D5" s="1191"/>
      <c r="E5" s="573" t="s">
        <v>143</v>
      </c>
      <c r="F5" s="573" t="s">
        <v>68</v>
      </c>
      <c r="G5" s="573" t="s">
        <v>69</v>
      </c>
      <c r="H5" s="573" t="s">
        <v>75</v>
      </c>
      <c r="I5" s="573" t="s">
        <v>242</v>
      </c>
      <c r="J5" s="573" t="s">
        <v>67</v>
      </c>
      <c r="K5" s="574" t="s">
        <v>14</v>
      </c>
      <c r="L5" s="574" t="s">
        <v>16</v>
      </c>
      <c r="M5" s="575" t="s">
        <v>303</v>
      </c>
      <c r="N5" s="575" t="s">
        <v>422</v>
      </c>
      <c r="O5" s="575" t="s">
        <v>26</v>
      </c>
      <c r="P5" s="574" t="s">
        <v>27</v>
      </c>
      <c r="Q5" s="574" t="s">
        <v>21</v>
      </c>
      <c r="R5" s="574" t="s">
        <v>24</v>
      </c>
      <c r="S5" s="575" t="s">
        <v>409</v>
      </c>
      <c r="T5" s="575" t="s">
        <v>342</v>
      </c>
      <c r="U5" s="575" t="s">
        <v>344</v>
      </c>
      <c r="V5" s="575" t="s">
        <v>20</v>
      </c>
      <c r="W5" s="574" t="s">
        <v>374</v>
      </c>
      <c r="X5" s="574" t="s">
        <v>73</v>
      </c>
      <c r="Y5" s="575" t="s">
        <v>155</v>
      </c>
      <c r="Z5" s="575" t="s">
        <v>152</v>
      </c>
      <c r="AA5" s="574" t="s">
        <v>72</v>
      </c>
      <c r="AB5" s="575" t="s">
        <v>362</v>
      </c>
      <c r="AC5" s="575" t="s">
        <v>363</v>
      </c>
      <c r="AD5" s="575" t="s">
        <v>364</v>
      </c>
      <c r="AE5" s="575" t="s">
        <v>378</v>
      </c>
      <c r="AF5" s="575" t="s">
        <v>379</v>
      </c>
      <c r="AG5" s="575" t="s">
        <v>380</v>
      </c>
      <c r="AH5" s="575" t="s">
        <v>419</v>
      </c>
      <c r="AI5" s="575" t="s">
        <v>412</v>
      </c>
      <c r="AJ5" s="575" t="s">
        <v>414</v>
      </c>
      <c r="AK5" s="575" t="s">
        <v>413</v>
      </c>
      <c r="AL5" s="576" t="s">
        <v>366</v>
      </c>
    </row>
    <row r="6" spans="1:38" ht="21.5" customHeight="1" thickBot="1">
      <c r="A6" s="1195"/>
      <c r="B6" s="1186"/>
      <c r="C6" s="1189"/>
      <c r="D6" s="1192"/>
      <c r="E6" s="572" t="s">
        <v>335</v>
      </c>
      <c r="F6" s="572" t="s">
        <v>335</v>
      </c>
      <c r="G6" s="572" t="s">
        <v>335</v>
      </c>
      <c r="H6" s="572" t="s">
        <v>335</v>
      </c>
      <c r="I6" s="572" t="s">
        <v>335</v>
      </c>
      <c r="J6" s="572" t="s">
        <v>335</v>
      </c>
      <c r="K6" s="572" t="s">
        <v>392</v>
      </c>
      <c r="L6" s="572" t="s">
        <v>393</v>
      </c>
      <c r="M6" s="572" t="s">
        <v>393</v>
      </c>
      <c r="N6" s="572" t="s">
        <v>393</v>
      </c>
      <c r="O6" s="572" t="s">
        <v>337</v>
      </c>
      <c r="P6" s="572" t="s">
        <v>394</v>
      </c>
      <c r="Q6" s="572" t="s">
        <v>338</v>
      </c>
      <c r="R6" s="572" t="s">
        <v>335</v>
      </c>
      <c r="S6" s="572" t="s">
        <v>397</v>
      </c>
      <c r="T6" s="572" t="s">
        <v>337</v>
      </c>
      <c r="U6" s="572" t="s">
        <v>337</v>
      </c>
      <c r="V6" s="572" t="s">
        <v>338</v>
      </c>
      <c r="W6" s="572" t="s">
        <v>395</v>
      </c>
      <c r="X6" s="572" t="s">
        <v>396</v>
      </c>
      <c r="Y6" s="572" t="s">
        <v>335</v>
      </c>
      <c r="Z6" s="572" t="s">
        <v>395</v>
      </c>
      <c r="AA6" s="572" t="s">
        <v>335</v>
      </c>
      <c r="AB6" s="572" t="s">
        <v>397</v>
      </c>
      <c r="AC6" s="572" t="s">
        <v>397</v>
      </c>
      <c r="AD6" s="572" t="s">
        <v>397</v>
      </c>
      <c r="AE6" s="572" t="s">
        <v>395</v>
      </c>
      <c r="AF6" s="572" t="s">
        <v>397</v>
      </c>
      <c r="AG6" s="572" t="s">
        <v>338</v>
      </c>
      <c r="AH6" s="572" t="s">
        <v>397</v>
      </c>
      <c r="AI6" s="572" t="s">
        <v>397</v>
      </c>
      <c r="AJ6" s="572" t="s">
        <v>398</v>
      </c>
      <c r="AK6" s="572" t="s">
        <v>398</v>
      </c>
      <c r="AL6" s="572" t="s">
        <v>335</v>
      </c>
    </row>
    <row r="7" spans="1:38" s="294" customFormat="1" ht="25.25" customHeight="1">
      <c r="A7" s="336">
        <v>1</v>
      </c>
      <c r="B7" s="546" t="s">
        <v>64</v>
      </c>
      <c r="C7" s="570">
        <f>VLOOKUP(B7,BE!$B$5:$C$459,2,FALSE)</f>
        <v>24.75</v>
      </c>
      <c r="D7" s="336" t="s">
        <v>220</v>
      </c>
      <c r="E7" s="571"/>
      <c r="F7" s="336"/>
      <c r="G7" s="337"/>
      <c r="H7" s="337"/>
      <c r="I7" s="337"/>
      <c r="J7" s="338">
        <f>VLOOKUP(J5,BE!B5:C7,2,FALSE)</f>
        <v>6.19</v>
      </c>
      <c r="K7" s="336"/>
      <c r="L7" s="337"/>
      <c r="M7" s="338"/>
      <c r="N7" s="336"/>
      <c r="O7" s="337"/>
      <c r="P7" s="337"/>
      <c r="Q7" s="337"/>
      <c r="R7" s="338"/>
      <c r="S7" s="338"/>
      <c r="T7" s="338"/>
      <c r="U7" s="338"/>
      <c r="V7" s="338"/>
      <c r="W7" s="336"/>
      <c r="X7" s="337"/>
      <c r="Y7" s="337"/>
      <c r="Z7" s="546"/>
      <c r="AA7" s="546"/>
      <c r="AB7" s="546"/>
      <c r="AC7" s="546"/>
      <c r="AD7" s="546"/>
      <c r="AE7" s="546"/>
      <c r="AF7" s="546"/>
      <c r="AG7" s="546"/>
      <c r="AH7" s="546"/>
      <c r="AI7" s="546"/>
      <c r="AJ7" s="546"/>
      <c r="AK7" s="546"/>
      <c r="AL7" s="546"/>
    </row>
    <row r="8" spans="1:38" s="294" customFormat="1" ht="25.25" customHeight="1">
      <c r="A8" s="282">
        <v>2</v>
      </c>
      <c r="B8" s="283" t="s">
        <v>347</v>
      </c>
      <c r="C8" s="284">
        <f>VLOOKUP(B8,BE!$B$5:$C$459,2,FALSE)</f>
        <v>15.75</v>
      </c>
      <c r="D8" s="282" t="s">
        <v>222</v>
      </c>
      <c r="E8" s="285">
        <f>VLOOKUP(E5,BE!$B$10:$C$18,2,FALSE)</f>
        <v>0.16</v>
      </c>
      <c r="F8" s="285">
        <f>VLOOKUP(F5,BE!$B$10:$C$18,2,FALSE)</f>
        <v>0.79</v>
      </c>
      <c r="G8" s="285"/>
      <c r="H8" s="285"/>
      <c r="I8" s="285"/>
      <c r="J8" s="285">
        <f>VLOOKUP(J5,BE!$B$10:$C$18,2,FALSE)</f>
        <v>1.58</v>
      </c>
      <c r="K8" s="285"/>
      <c r="L8" s="285"/>
      <c r="M8" s="285"/>
      <c r="N8" s="285"/>
      <c r="O8" s="339">
        <f>VLOOKUP(O5,BE!$B$10:$C$18,2,FALSE)</f>
        <v>2.4E-2</v>
      </c>
      <c r="P8" s="285"/>
      <c r="Q8" s="285">
        <f>VLOOKUP(Q5,BE!$B$10:$C$18,2,FALSE)</f>
        <v>0.33</v>
      </c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5"/>
      <c r="AC8" s="285"/>
      <c r="AD8" s="285"/>
      <c r="AE8" s="285"/>
      <c r="AF8" s="285"/>
      <c r="AG8" s="285"/>
      <c r="AH8" s="285"/>
      <c r="AI8" s="285"/>
      <c r="AJ8" s="285"/>
      <c r="AK8" s="285"/>
      <c r="AL8" s="285"/>
    </row>
    <row r="9" spans="1:38" s="294" customFormat="1" ht="35">
      <c r="A9" s="282">
        <v>3</v>
      </c>
      <c r="B9" s="287" t="s">
        <v>369</v>
      </c>
      <c r="C9" s="284">
        <f>VLOOKUP(B9,BE!$B$5:$C$459,2,FALSE)</f>
        <v>56.07</v>
      </c>
      <c r="D9" s="282" t="s">
        <v>222</v>
      </c>
      <c r="E9" s="285"/>
      <c r="F9" s="285"/>
      <c r="G9" s="285"/>
      <c r="H9" s="285"/>
      <c r="I9" s="285"/>
      <c r="J9" s="285">
        <f>VLOOKUP(J5,BE!$B$22:$C$24,2,FALSE)</f>
        <v>112.14</v>
      </c>
      <c r="K9" s="285"/>
      <c r="L9" s="285"/>
      <c r="M9" s="285"/>
      <c r="N9" s="282"/>
      <c r="O9" s="286"/>
      <c r="P9" s="286"/>
      <c r="Q9" s="286"/>
      <c r="R9" s="285"/>
      <c r="S9" s="285"/>
      <c r="T9" s="285"/>
      <c r="U9" s="285"/>
      <c r="V9" s="285"/>
      <c r="W9" s="282"/>
      <c r="X9" s="286"/>
      <c r="Y9" s="286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</row>
    <row r="10" spans="1:38" s="294" customFormat="1" ht="24.65" customHeight="1">
      <c r="A10" s="282">
        <v>4</v>
      </c>
      <c r="B10" s="283" t="s">
        <v>115</v>
      </c>
      <c r="C10" s="284" t="e">
        <f>VLOOKUP(B10,BE!$B$5:$C$459,2,FALSE)</f>
        <v>#N/A</v>
      </c>
      <c r="D10" s="282" t="s">
        <v>220</v>
      </c>
      <c r="E10" s="285"/>
      <c r="F10" s="285">
        <f>VLOOKUP(F5,BE!$B$27:$C$35,2,FALSE)</f>
        <v>0</v>
      </c>
      <c r="G10" s="285"/>
      <c r="H10" s="285"/>
      <c r="I10" s="285"/>
      <c r="J10" s="285">
        <f>VLOOKUP(J5,BE!$B$27:$C$35,2,FALSE)</f>
        <v>0</v>
      </c>
      <c r="K10" s="285"/>
      <c r="L10" s="285"/>
      <c r="M10" s="285"/>
      <c r="N10" s="285"/>
      <c r="O10" s="285">
        <f>VLOOKUP(O5,BE!$B$27:$C$35,2,FALSE)</f>
        <v>0</v>
      </c>
      <c r="P10" s="285">
        <f>VLOOKUP(P5,BE!$B$27:$C$35,2,FALSE)</f>
        <v>0</v>
      </c>
      <c r="Q10" s="285">
        <f>VLOOKUP(Q5,BE!$B$27:$C$35,2,FALSE)</f>
        <v>0</v>
      </c>
      <c r="R10" s="285"/>
      <c r="S10" s="285"/>
      <c r="T10" s="285"/>
      <c r="U10" s="285"/>
      <c r="V10" s="285"/>
      <c r="W10" s="282"/>
      <c r="X10" s="283"/>
      <c r="Y10" s="286"/>
      <c r="Z10" s="547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</row>
    <row r="11" spans="1:38" s="294" customFormat="1" ht="35">
      <c r="A11" s="282">
        <v>5</v>
      </c>
      <c r="B11" s="287" t="s">
        <v>370</v>
      </c>
      <c r="C11" s="284">
        <f>VLOOKUP(B11,BE!$B$5:$C$459,2,FALSE)</f>
        <v>2.34</v>
      </c>
      <c r="D11" s="282" t="s">
        <v>222</v>
      </c>
      <c r="E11" s="285"/>
      <c r="F11" s="285"/>
      <c r="G11" s="285"/>
      <c r="H11" s="285"/>
      <c r="I11" s="285"/>
      <c r="J11" s="285">
        <f>VLOOKUP(J5,BE!$B$147:$C$153,2,FALSE)</f>
        <v>2.34</v>
      </c>
      <c r="K11" s="285"/>
      <c r="L11" s="285">
        <f>VLOOKUP(L5,BE!$B$147:$C$153,2,FALSE)</f>
        <v>0.59</v>
      </c>
      <c r="M11" s="285"/>
      <c r="N11" s="285" t="e">
        <f>VLOOKUP(N5,BE!$B$147:$C$153,2,FALSE)</f>
        <v>#N/A</v>
      </c>
      <c r="O11" s="285"/>
      <c r="P11" s="285"/>
      <c r="Q11" s="286"/>
      <c r="R11" s="285"/>
      <c r="S11" s="285"/>
      <c r="T11" s="285"/>
      <c r="U11" s="285"/>
      <c r="V11" s="285"/>
      <c r="W11" s="282"/>
      <c r="X11" s="283"/>
      <c r="Y11" s="286"/>
      <c r="Z11" s="547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</row>
    <row r="12" spans="1:38" s="294" customFormat="1" ht="52.5" customHeight="1">
      <c r="A12" s="282">
        <v>6</v>
      </c>
      <c r="B12" s="287" t="s">
        <v>371</v>
      </c>
      <c r="C12" s="284">
        <f>VLOOKUP(B12,BE!$B$5:$C$459,2,FALSE)</f>
        <v>10.83</v>
      </c>
      <c r="D12" s="282" t="s">
        <v>222</v>
      </c>
      <c r="E12" s="285"/>
      <c r="F12" s="285"/>
      <c r="G12" s="285">
        <f>VLOOKUP(G5,BE!$B$157:$C$166,2,FALSE)</f>
        <v>10.83</v>
      </c>
      <c r="H12" s="285"/>
      <c r="I12" s="285"/>
      <c r="J12" s="285">
        <f>VLOOKUP(J5,BE!$B$157:$C$166,2,FALSE)</f>
        <v>64.989999999999995</v>
      </c>
      <c r="K12" s="285">
        <f>VLOOKUP(K5,BE!$B$157:$C$166,2,FALSE)</f>
        <v>139.26</v>
      </c>
      <c r="L12" s="285">
        <f>VLOOKUP(L5,BE!$B$157:$C$166,2,FALSE)</f>
        <v>5.2</v>
      </c>
      <c r="M12" s="285">
        <f>VLOOKUP(M5,BE!$B$157:$C$166,2,FALSE)</f>
        <v>10.4</v>
      </c>
      <c r="N12" s="285"/>
      <c r="O12" s="285"/>
      <c r="P12" s="285"/>
      <c r="Q12" s="286"/>
      <c r="R12" s="285"/>
      <c r="S12" s="285"/>
      <c r="T12" s="285"/>
      <c r="U12" s="285"/>
      <c r="V12" s="285"/>
      <c r="W12" s="282"/>
      <c r="X12" s="286"/>
      <c r="Y12" s="286"/>
      <c r="Z12" s="547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</row>
    <row r="13" spans="1:38" s="340" customFormat="1" ht="35">
      <c r="A13" s="282">
        <v>7</v>
      </c>
      <c r="B13" s="287" t="s">
        <v>372</v>
      </c>
      <c r="C13" s="284">
        <f>VLOOKUP(B13,BE!$B$5:$C$459,2,FALSE)</f>
        <v>41.77</v>
      </c>
      <c r="D13" s="282" t="s">
        <v>222</v>
      </c>
      <c r="E13" s="285"/>
      <c r="F13" s="282"/>
      <c r="G13" s="286"/>
      <c r="H13" s="286"/>
      <c r="I13" s="286"/>
      <c r="J13" s="285">
        <f>VLOOKUP(J5,BE!$B$171:$C$176,2,FALSE)</f>
        <v>41.77</v>
      </c>
      <c r="K13" s="285"/>
      <c r="L13" s="285">
        <f>VLOOKUP(L5,BE!$B$171:$C$176,2,FALSE)</f>
        <v>52.22</v>
      </c>
      <c r="M13" s="285"/>
      <c r="N13" s="282"/>
      <c r="O13" s="286"/>
      <c r="P13" s="286"/>
      <c r="Q13" s="286"/>
      <c r="R13" s="285"/>
      <c r="S13" s="285"/>
      <c r="T13" s="285"/>
      <c r="U13" s="285"/>
      <c r="V13" s="285"/>
      <c r="W13" s="284"/>
      <c r="X13" s="548"/>
      <c r="Y13" s="549"/>
      <c r="Z13" s="550"/>
      <c r="AA13" s="550"/>
      <c r="AB13" s="550"/>
      <c r="AC13" s="550"/>
      <c r="AD13" s="550"/>
      <c r="AE13" s="550"/>
      <c r="AF13" s="550"/>
      <c r="AG13" s="550"/>
      <c r="AH13" s="550"/>
      <c r="AI13" s="550"/>
      <c r="AJ13" s="550"/>
      <c r="AK13" s="550"/>
      <c r="AL13" s="550"/>
    </row>
    <row r="14" spans="1:38" ht="25.25" customHeight="1">
      <c r="A14" s="282">
        <v>8</v>
      </c>
      <c r="B14" s="341" t="s">
        <v>341</v>
      </c>
      <c r="C14" s="284">
        <f>VLOOKUP(B14,BE!$B$5:$C$459,2,FALSE)</f>
        <v>20.39</v>
      </c>
      <c r="D14" s="282" t="s">
        <v>222</v>
      </c>
      <c r="E14" s="285"/>
      <c r="F14" s="284"/>
      <c r="G14" s="285" t="e">
        <f>VLOOKUP(G5,BE!#REF!,2,FALSE)</f>
        <v>#REF!</v>
      </c>
      <c r="H14" s="286"/>
      <c r="I14" s="286"/>
      <c r="J14" s="285" t="e">
        <f>VLOOKUP(J5,BE!#REF!,2,FALSE)</f>
        <v>#REF!</v>
      </c>
      <c r="K14" s="285" t="e">
        <f>VLOOKUP(K5,BE!#REF!,2,FALSE)</f>
        <v>#REF!</v>
      </c>
      <c r="L14" s="285" t="e">
        <f>VLOOKUP(L5,BE!#REF!,2,FALSE)</f>
        <v>#REF!</v>
      </c>
      <c r="M14" s="285" t="e">
        <f>VLOOKUP(M5,BE!#REF!,2,FALSE)</f>
        <v>#REF!</v>
      </c>
      <c r="N14" s="284"/>
      <c r="O14" s="286"/>
      <c r="P14" s="286"/>
      <c r="Q14" s="286"/>
      <c r="R14" s="285"/>
      <c r="S14" s="285"/>
      <c r="T14" s="285"/>
      <c r="U14" s="285"/>
      <c r="V14" s="285"/>
      <c r="W14" s="282"/>
      <c r="X14" s="283"/>
      <c r="Y14" s="286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</row>
    <row r="15" spans="1:38" ht="35">
      <c r="A15" s="282">
        <v>9</v>
      </c>
      <c r="B15" s="287" t="s">
        <v>399</v>
      </c>
      <c r="C15" s="284">
        <f>VLOOKUP(B15,BE!$B$5:$C$459,2,FALSE)</f>
        <v>16.78</v>
      </c>
      <c r="D15" s="282" t="s">
        <v>220</v>
      </c>
      <c r="E15" s="289"/>
      <c r="F15" s="279"/>
      <c r="G15" s="285" t="e">
        <f>VLOOKUP(G5,BE!#REF!,2,FALSE)</f>
        <v>#REF!</v>
      </c>
      <c r="H15" s="290"/>
      <c r="I15" s="290"/>
      <c r="J15" s="285" t="e">
        <f>VLOOKUP(J5,BE!#REF!,2,FALSE)</f>
        <v>#REF!</v>
      </c>
      <c r="K15" s="285" t="e">
        <f>VLOOKUP(K5,BE!#REF!,2,FALSE)</f>
        <v>#REF!</v>
      </c>
      <c r="L15" s="285" t="e">
        <f>VLOOKUP(L5,BE!#REF!,2,FALSE)</f>
        <v>#REF!</v>
      </c>
      <c r="M15" s="285" t="e">
        <f>VLOOKUP(M5,BE!#REF!,2,FALSE)</f>
        <v>#REF!</v>
      </c>
      <c r="N15" s="279"/>
      <c r="O15" s="290"/>
      <c r="P15" s="290"/>
      <c r="Q15" s="290"/>
      <c r="R15" s="289"/>
      <c r="S15" s="289"/>
      <c r="T15" s="289"/>
      <c r="U15" s="289"/>
      <c r="V15" s="289"/>
      <c r="W15" s="279"/>
      <c r="X15" s="286"/>
      <c r="Y15" s="286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</row>
    <row r="16" spans="1:38" ht="70">
      <c r="A16" s="282">
        <v>10</v>
      </c>
      <c r="B16" s="287" t="s">
        <v>410</v>
      </c>
      <c r="C16" s="284">
        <f>VLOOKUP(B16,BE!$B$5:$C$459,2,FALSE)</f>
        <v>11.427551050340734</v>
      </c>
      <c r="D16" s="282" t="s">
        <v>9</v>
      </c>
      <c r="E16" s="289"/>
      <c r="F16" s="279"/>
      <c r="G16" s="285"/>
      <c r="H16" s="290"/>
      <c r="I16" s="285">
        <f>VLOOKUP(I5,BE!$B$303:$C$313,2,FALSE)</f>
        <v>0</v>
      </c>
      <c r="J16" s="285">
        <f>VLOOKUP(J5,BE!$B$303:$C$313,2,FALSE)</f>
        <v>0</v>
      </c>
      <c r="K16" s="285"/>
      <c r="L16" s="285"/>
      <c r="M16" s="285"/>
      <c r="N16" s="279"/>
      <c r="O16" s="290"/>
      <c r="P16" s="290"/>
      <c r="Q16" s="290"/>
      <c r="R16" s="289"/>
      <c r="S16" s="289"/>
      <c r="T16" s="285" t="e">
        <f>VLOOKUP(T5,BE!$B$303:$C$313,2,FALSE)</f>
        <v>#N/A</v>
      </c>
      <c r="U16" s="285" t="e">
        <f>VLOOKUP(U5,BE!$B$303:$C$313,2,FALSE)</f>
        <v>#N/A</v>
      </c>
      <c r="V16" s="285">
        <f>VLOOKUP(V5,BE!$B$303:$C$313,2,FALSE)</f>
        <v>0</v>
      </c>
      <c r="W16" s="279"/>
      <c r="X16" s="286"/>
      <c r="Y16" s="286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</row>
    <row r="17" spans="1:38" ht="35">
      <c r="A17" s="282">
        <v>11</v>
      </c>
      <c r="B17" s="287" t="s">
        <v>357</v>
      </c>
      <c r="C17" s="284">
        <f>VLOOKUP(B17,BE!$B$5:$C$459,2,FALSE)</f>
        <v>14.25</v>
      </c>
      <c r="D17" s="282" t="s">
        <v>222</v>
      </c>
      <c r="E17" s="289"/>
      <c r="F17" s="291"/>
      <c r="G17" s="285">
        <f>VLOOKUP(G5,BE!$B$448:$C$456,2,FALSE)</f>
        <v>57</v>
      </c>
      <c r="H17" s="290"/>
      <c r="I17" s="290"/>
      <c r="J17" s="285">
        <f>VLOOKUP(J5,BE!$B$448:$C$456,2,FALSE)</f>
        <v>85.5</v>
      </c>
      <c r="K17" s="285">
        <f>VLOOKUP(K5,BE!$B$448:$C$456,2,FALSE)</f>
        <v>99.24</v>
      </c>
      <c r="L17" s="285">
        <f>VLOOKUP(L5,BE!$B$448:$C$456,2,FALSE)</f>
        <v>3.7</v>
      </c>
      <c r="M17" s="289"/>
      <c r="N17" s="291"/>
      <c r="O17" s="290"/>
      <c r="P17" s="290"/>
      <c r="Q17" s="290"/>
      <c r="R17" s="285">
        <f>VLOOKUP(R5,BE!$B$448:$C$456,2,FALSE)</f>
        <v>19237</v>
      </c>
      <c r="S17" s="289"/>
      <c r="T17" s="289"/>
      <c r="U17" s="289"/>
      <c r="V17" s="289"/>
      <c r="W17" s="291"/>
      <c r="X17" s="286"/>
      <c r="Y17" s="286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</row>
    <row r="18" spans="1:38" ht="35">
      <c r="A18" s="282">
        <v>12</v>
      </c>
      <c r="B18" s="287" t="s">
        <v>407</v>
      </c>
      <c r="C18" s="284" t="e">
        <f>VLOOKUP(B18,BE!$B$5:$C$459,2,FALSE)</f>
        <v>#N/A</v>
      </c>
      <c r="D18" s="282" t="s">
        <v>220</v>
      </c>
      <c r="E18" s="289"/>
      <c r="F18" s="291"/>
      <c r="G18" s="285" t="e">
        <f>VLOOKUP(G5,BE!#REF!,2,FALSE)</f>
        <v>#REF!</v>
      </c>
      <c r="H18" s="290"/>
      <c r="I18" s="290"/>
      <c r="J18" s="285" t="e">
        <f>VLOOKUP(J5,BE!#REF!,2,FALSE)</f>
        <v>#REF!</v>
      </c>
      <c r="K18" s="285" t="e">
        <f>VLOOKUP(K5,BE!#REF!,2,FALSE)</f>
        <v>#REF!</v>
      </c>
      <c r="L18" s="285" t="e">
        <f>VLOOKUP(L5,BE!#REF!,2,FALSE)</f>
        <v>#REF!</v>
      </c>
      <c r="M18" s="289"/>
      <c r="N18" s="291"/>
      <c r="O18" s="290"/>
      <c r="P18" s="290"/>
      <c r="Q18" s="290"/>
      <c r="R18" s="285" t="e">
        <f>VLOOKUP(R5,BE!#REF!,2,FALSE)</f>
        <v>#REF!</v>
      </c>
      <c r="S18" s="285" t="e">
        <f>VLOOKUP(S5,BE!#REF!,2,FALSE)</f>
        <v>#REF!</v>
      </c>
      <c r="T18" s="289"/>
      <c r="U18" s="289"/>
      <c r="V18" s="289"/>
      <c r="W18" s="291"/>
      <c r="X18" s="286"/>
      <c r="Y18" s="286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</row>
    <row r="19" spans="1:38" ht="58.5" customHeight="1">
      <c r="A19" s="282">
        <v>13</v>
      </c>
      <c r="B19" s="287" t="s">
        <v>359</v>
      </c>
      <c r="C19" s="284" t="e">
        <f>VLOOKUP(B19,BE!$B$5:$C$459,2,FALSE)</f>
        <v>#N/A</v>
      </c>
      <c r="D19" s="282" t="s">
        <v>220</v>
      </c>
      <c r="E19" s="289"/>
      <c r="F19" s="291"/>
      <c r="G19" s="285" t="e">
        <f>VLOOKUP(G5,BE!#REF!,2,FALSE)</f>
        <v>#REF!</v>
      </c>
      <c r="H19" s="290"/>
      <c r="I19" s="290"/>
      <c r="J19" s="285" t="e">
        <f>VLOOKUP(J5,BE!#REF!,2,FALSE)</f>
        <v>#REF!</v>
      </c>
      <c r="K19" s="285" t="e">
        <f>VLOOKUP(K5,BE!#REF!,2,FALSE)</f>
        <v>#REF!</v>
      </c>
      <c r="L19" s="285" t="e">
        <f>VLOOKUP(L5,BE!#REF!,2,FALSE)</f>
        <v>#REF!</v>
      </c>
      <c r="M19" s="289"/>
      <c r="N19" s="291"/>
      <c r="O19" s="290"/>
      <c r="P19" s="290"/>
      <c r="Q19" s="290"/>
      <c r="R19" s="289"/>
      <c r="S19" s="289"/>
      <c r="T19" s="289"/>
      <c r="U19" s="289"/>
      <c r="V19" s="289"/>
      <c r="W19" s="291"/>
      <c r="X19" s="286"/>
      <c r="Y19" s="286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</row>
    <row r="20" spans="1:38" ht="35">
      <c r="A20" s="282">
        <v>14</v>
      </c>
      <c r="B20" s="287" t="s">
        <v>373</v>
      </c>
      <c r="C20" s="284" t="e">
        <f>VLOOKUP(B20,BE!$B$5:$C$459,2,FALSE)</f>
        <v>#N/A</v>
      </c>
      <c r="D20" s="282" t="s">
        <v>220</v>
      </c>
      <c r="E20" s="289"/>
      <c r="F20" s="291"/>
      <c r="G20" s="285"/>
      <c r="H20" s="285" t="e">
        <f>VLOOKUP(H5,BE!#REF!,2,FALSE)</f>
        <v>#REF!</v>
      </c>
      <c r="I20" s="285"/>
      <c r="J20" s="285" t="e">
        <f>VLOOKUP(J5,BE!#REF!,2,FALSE)</f>
        <v>#REF!</v>
      </c>
      <c r="K20" s="291"/>
      <c r="L20" s="290"/>
      <c r="M20" s="289"/>
      <c r="N20" s="291"/>
      <c r="O20" s="290"/>
      <c r="P20" s="290"/>
      <c r="Q20" s="290"/>
      <c r="R20" s="289"/>
      <c r="S20" s="289"/>
      <c r="T20" s="289"/>
      <c r="U20" s="289"/>
      <c r="V20" s="289"/>
      <c r="W20" s="285" t="e">
        <f>VLOOKUP(W5,BE!#REF!,2,FALSE)</f>
        <v>#REF!</v>
      </c>
      <c r="X20" s="285" t="e">
        <f>VLOOKUP(X5,BE!#REF!,2,FALSE)</f>
        <v>#REF!</v>
      </c>
      <c r="Y20" s="285" t="e">
        <f>VLOOKUP(Y5,BE!#REF!,2,FALSE)</f>
        <v>#REF!</v>
      </c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</row>
    <row r="21" spans="1:38" ht="25.25" customHeight="1">
      <c r="A21" s="282">
        <v>15</v>
      </c>
      <c r="B21" s="287" t="s">
        <v>375</v>
      </c>
      <c r="C21" s="284" t="e">
        <f>VLOOKUP(B21,BE!$B$5:$C$459,2,FALSE)</f>
        <v>#N/A</v>
      </c>
      <c r="D21" s="282" t="s">
        <v>220</v>
      </c>
      <c r="E21" s="289"/>
      <c r="F21" s="291"/>
      <c r="G21" s="290"/>
      <c r="H21" s="285" t="e">
        <f>VLOOKUP(H5,BE!#REF!,2,FALSE)</f>
        <v>#REF!</v>
      </c>
      <c r="I21" s="289"/>
      <c r="J21" s="289"/>
      <c r="K21" s="291"/>
      <c r="L21" s="290"/>
      <c r="M21" s="289"/>
      <c r="N21" s="291"/>
      <c r="O21" s="290"/>
      <c r="P21" s="290"/>
      <c r="Q21" s="290"/>
      <c r="R21" s="289"/>
      <c r="S21" s="289"/>
      <c r="T21" s="289"/>
      <c r="U21" s="289"/>
      <c r="V21" s="289"/>
      <c r="W21" s="291"/>
      <c r="X21" s="286"/>
      <c r="Y21" s="286"/>
      <c r="Z21" s="285" t="e">
        <f>VLOOKUP(Z5,BE!#REF!,2,FALSE)</f>
        <v>#REF!</v>
      </c>
      <c r="AA21" s="285" t="e">
        <f>VLOOKUP(AA5,BE!#REF!,2,FALSE)</f>
        <v>#REF!</v>
      </c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</row>
    <row r="22" spans="1:38" ht="52.5">
      <c r="A22" s="282">
        <v>16</v>
      </c>
      <c r="B22" s="287" t="s">
        <v>376</v>
      </c>
      <c r="C22" s="284" t="e">
        <f>VLOOKUP(B22,BE!$B$5:$C$459,2,FALSE)</f>
        <v>#N/A</v>
      </c>
      <c r="D22" s="282" t="s">
        <v>13</v>
      </c>
      <c r="E22" s="289"/>
      <c r="F22" s="291"/>
      <c r="G22" s="290"/>
      <c r="H22" s="285"/>
      <c r="I22" s="289"/>
      <c r="J22" s="289"/>
      <c r="K22" s="291"/>
      <c r="L22" s="290"/>
      <c r="M22" s="289"/>
      <c r="N22" s="291"/>
      <c r="O22" s="290"/>
      <c r="P22" s="290"/>
      <c r="Q22" s="290"/>
      <c r="R22" s="289"/>
      <c r="S22" s="289"/>
      <c r="T22" s="289"/>
      <c r="U22" s="289"/>
      <c r="V22" s="289"/>
      <c r="W22" s="291"/>
      <c r="X22" s="286"/>
      <c r="Y22" s="286"/>
      <c r="Z22" s="283"/>
      <c r="AA22" s="283"/>
      <c r="AB22" s="285" t="e">
        <f>VLOOKUP(AB5,BE!#REF!,2,FALSE)</f>
        <v>#REF!</v>
      </c>
      <c r="AC22" s="285" t="e">
        <f>VLOOKUP(AC5,BE!#REF!,2,FALSE)</f>
        <v>#REF!</v>
      </c>
      <c r="AD22" s="285" t="e">
        <f>VLOOKUP(AD5,BE!#REF!,2,FALSE)</f>
        <v>#REF!</v>
      </c>
      <c r="AE22" s="283"/>
      <c r="AF22" s="283"/>
      <c r="AG22" s="283"/>
      <c r="AH22" s="283"/>
      <c r="AI22" s="283"/>
      <c r="AJ22" s="283"/>
      <c r="AK22" s="283"/>
      <c r="AL22" s="283"/>
    </row>
    <row r="23" spans="1:38" ht="35">
      <c r="A23" s="282">
        <v>17</v>
      </c>
      <c r="B23" s="287" t="s">
        <v>306</v>
      </c>
      <c r="C23" s="284" t="e">
        <f>VLOOKUP(B23,BE!$B$5:$C$459,2,FALSE)</f>
        <v>#N/A</v>
      </c>
      <c r="D23" s="282" t="s">
        <v>220</v>
      </c>
      <c r="E23" s="289"/>
      <c r="F23" s="291"/>
      <c r="G23" s="290"/>
      <c r="H23" s="285" t="e">
        <f>VLOOKUP(H5,BE!#REF!,2,FALSE)</f>
        <v>#REF!</v>
      </c>
      <c r="I23" s="289"/>
      <c r="J23" s="289"/>
      <c r="K23" s="291"/>
      <c r="L23" s="290"/>
      <c r="M23" s="289"/>
      <c r="N23" s="291"/>
      <c r="O23" s="290"/>
      <c r="P23" s="290"/>
      <c r="Q23" s="290"/>
      <c r="R23" s="289"/>
      <c r="S23" s="289"/>
      <c r="T23" s="289"/>
      <c r="U23" s="289"/>
      <c r="V23" s="289"/>
      <c r="W23" s="291"/>
      <c r="X23" s="286"/>
      <c r="Y23" s="286"/>
      <c r="Z23" s="283"/>
      <c r="AA23" s="285" t="e">
        <f>VLOOKUP(AA5,BE!#REF!,2,FALSE)</f>
        <v>#REF!</v>
      </c>
      <c r="AB23" s="283"/>
      <c r="AC23" s="283"/>
      <c r="AD23" s="283"/>
      <c r="AE23" s="285" t="e">
        <f>VLOOKUP(AE5,BE!#REF!,2,FALSE)</f>
        <v>#REF!</v>
      </c>
      <c r="AF23" s="283"/>
      <c r="AG23" s="283"/>
      <c r="AH23" s="283"/>
      <c r="AI23" s="283"/>
      <c r="AJ23" s="283"/>
      <c r="AK23" s="283"/>
      <c r="AL23" s="283"/>
    </row>
    <row r="24" spans="1:38" ht="25.25" customHeight="1">
      <c r="A24" s="282">
        <v>18</v>
      </c>
      <c r="B24" s="287" t="s">
        <v>365</v>
      </c>
      <c r="C24" s="284" t="e">
        <f>VLOOKUP(B24,BE!$B$5:$C$459,2,FALSE)</f>
        <v>#N/A</v>
      </c>
      <c r="D24" s="282" t="s">
        <v>220</v>
      </c>
      <c r="E24" s="289"/>
      <c r="F24" s="285" t="e">
        <f>VLOOKUP(F5,BE!#REF!,2,FALSE)</f>
        <v>#REF!</v>
      </c>
      <c r="G24" s="290"/>
      <c r="H24" s="285"/>
      <c r="I24" s="285"/>
      <c r="J24" s="285" t="e">
        <f>VLOOKUP(J5,BE!#REF!,2,FALSE)</f>
        <v>#REF!</v>
      </c>
      <c r="K24" s="291"/>
      <c r="L24" s="290"/>
      <c r="M24" s="289"/>
      <c r="N24" s="291"/>
      <c r="O24" s="290"/>
      <c r="P24" s="290"/>
      <c r="Q24" s="290"/>
      <c r="R24" s="289"/>
      <c r="S24" s="289"/>
      <c r="T24" s="289"/>
      <c r="U24" s="289"/>
      <c r="V24" s="289"/>
      <c r="W24" s="291"/>
      <c r="X24" s="286"/>
      <c r="Y24" s="286"/>
      <c r="Z24" s="283"/>
      <c r="AA24" s="283"/>
      <c r="AB24" s="283"/>
      <c r="AC24" s="283"/>
      <c r="AD24" s="283"/>
      <c r="AE24" s="283"/>
      <c r="AF24" s="285" t="e">
        <f>VLOOKUP(AF5,BE!#REF!,2,FALSE)</f>
        <v>#REF!</v>
      </c>
      <c r="AG24" s="285" t="e">
        <f>VLOOKUP(AG5,BE!#REF!,2,FALSE)</f>
        <v>#REF!</v>
      </c>
      <c r="AH24" s="283"/>
      <c r="AI24" s="283"/>
      <c r="AJ24" s="283"/>
      <c r="AK24" s="283"/>
      <c r="AL24" s="283"/>
    </row>
    <row r="25" spans="1:38" ht="35">
      <c r="A25" s="282">
        <v>19</v>
      </c>
      <c r="B25" s="287" t="s">
        <v>381</v>
      </c>
      <c r="C25" s="284" t="e">
        <f>VLOOKUP(B25,BE!$B$5:$C$459,2,FALSE)</f>
        <v>#N/A</v>
      </c>
      <c r="D25" s="282" t="s">
        <v>13</v>
      </c>
      <c r="E25" s="289"/>
      <c r="F25" s="285"/>
      <c r="G25" s="290"/>
      <c r="H25" s="290"/>
      <c r="I25" s="290"/>
      <c r="J25" s="289"/>
      <c r="K25" s="291"/>
      <c r="L25" s="290"/>
      <c r="M25" s="289"/>
      <c r="N25" s="291"/>
      <c r="O25" s="290"/>
      <c r="P25" s="290"/>
      <c r="Q25" s="290"/>
      <c r="R25" s="289"/>
      <c r="S25" s="289"/>
      <c r="T25" s="289"/>
      <c r="U25" s="289"/>
      <c r="V25" s="289"/>
      <c r="W25" s="291"/>
      <c r="X25" s="286"/>
      <c r="Y25" s="286"/>
      <c r="Z25" s="283"/>
      <c r="AA25" s="283"/>
      <c r="AB25" s="283"/>
      <c r="AC25" s="283"/>
      <c r="AD25" s="283"/>
      <c r="AE25" s="283"/>
      <c r="AF25" s="283"/>
      <c r="AG25" s="283"/>
      <c r="AH25" s="285" t="e">
        <f>VLOOKUP(AH5,BE!#REF!,2,FALSE)</f>
        <v>#REF!</v>
      </c>
      <c r="AI25" s="285"/>
      <c r="AJ25" s="283"/>
      <c r="AK25" s="283"/>
      <c r="AL25" s="283"/>
    </row>
    <row r="26" spans="1:38" ht="25.25" customHeight="1">
      <c r="A26" s="282">
        <v>20</v>
      </c>
      <c r="B26" s="287" t="s">
        <v>411</v>
      </c>
      <c r="C26" s="284" t="e">
        <f>VLOOKUP(B26,BE!$B$5:$C$459,2,FALSE)</f>
        <v>#N/A</v>
      </c>
      <c r="D26" s="282" t="s">
        <v>13</v>
      </c>
      <c r="E26" s="289"/>
      <c r="F26" s="285" t="e">
        <f>VLOOKUP(F5,BE!#REF!,2,FALSE)</f>
        <v>#REF!</v>
      </c>
      <c r="G26" s="290"/>
      <c r="H26" s="290"/>
      <c r="I26" s="290"/>
      <c r="J26" s="289"/>
      <c r="K26" s="291"/>
      <c r="L26" s="290"/>
      <c r="M26" s="289"/>
      <c r="N26" s="291"/>
      <c r="O26" s="290"/>
      <c r="P26" s="290"/>
      <c r="Q26" s="290"/>
      <c r="R26" s="289"/>
      <c r="S26" s="289"/>
      <c r="T26" s="289"/>
      <c r="U26" s="289"/>
      <c r="V26" s="289"/>
      <c r="W26" s="291"/>
      <c r="X26" s="286"/>
      <c r="Y26" s="286"/>
      <c r="Z26" s="283"/>
      <c r="AA26" s="283"/>
      <c r="AB26" s="283"/>
      <c r="AC26" s="283"/>
      <c r="AD26" s="283"/>
      <c r="AE26" s="283"/>
      <c r="AF26" s="283"/>
      <c r="AG26" s="283"/>
      <c r="AH26" s="285"/>
      <c r="AI26" s="285" t="e">
        <f>VLOOKUP(AI5,BE!#REF!,2,FALSE)</f>
        <v>#REF!</v>
      </c>
      <c r="AJ26" s="283"/>
      <c r="AK26" s="283"/>
      <c r="AL26" s="283"/>
    </row>
    <row r="27" spans="1:38" ht="25.25" customHeight="1">
      <c r="A27" s="282">
        <v>21</v>
      </c>
      <c r="B27" s="287" t="s">
        <v>367</v>
      </c>
      <c r="C27" s="284" t="e">
        <f>VLOOKUP(B27,BE!$B$5:$C$459,2,FALSE)</f>
        <v>#N/A</v>
      </c>
      <c r="D27" s="291" t="s">
        <v>45</v>
      </c>
      <c r="E27" s="289"/>
      <c r="F27" s="291"/>
      <c r="G27" s="290"/>
      <c r="H27" s="290"/>
      <c r="I27" s="290"/>
      <c r="J27" s="289"/>
      <c r="K27" s="291"/>
      <c r="L27" s="290"/>
      <c r="M27" s="289"/>
      <c r="N27" s="291"/>
      <c r="O27" s="290"/>
      <c r="P27" s="290"/>
      <c r="Q27" s="290"/>
      <c r="R27" s="289"/>
      <c r="S27" s="289"/>
      <c r="T27" s="289"/>
      <c r="U27" s="289"/>
      <c r="V27" s="289"/>
      <c r="W27" s="291"/>
      <c r="X27" s="286"/>
      <c r="Y27" s="286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5" t="e">
        <f>VLOOKUP(AJ5,BE!#REF!,2,FALSE)</f>
        <v>#REF!</v>
      </c>
      <c r="AK27" s="285" t="e">
        <f>VLOOKUP(AK5,BE!#REF!,2,FALSE)</f>
        <v>#REF!</v>
      </c>
      <c r="AL27" s="283"/>
    </row>
    <row r="28" spans="1:38" ht="25.25" customHeight="1" thickBot="1">
      <c r="A28" s="292">
        <v>22</v>
      </c>
      <c r="B28" s="562" t="s">
        <v>383</v>
      </c>
      <c r="C28" s="288" t="e">
        <f>VLOOKUP(B28,BE!$B$5:$C$459,2,FALSE)</f>
        <v>#N/A</v>
      </c>
      <c r="D28" s="291" t="s">
        <v>304</v>
      </c>
      <c r="E28" s="289"/>
      <c r="F28" s="291"/>
      <c r="G28" s="290"/>
      <c r="H28" s="290"/>
      <c r="I28" s="290"/>
      <c r="J28" s="289"/>
      <c r="K28" s="291"/>
      <c r="L28" s="290"/>
      <c r="M28" s="289"/>
      <c r="N28" s="291"/>
      <c r="O28" s="290"/>
      <c r="P28" s="290"/>
      <c r="Q28" s="290"/>
      <c r="R28" s="289"/>
      <c r="S28" s="289"/>
      <c r="T28" s="289"/>
      <c r="U28" s="289"/>
      <c r="V28" s="289"/>
      <c r="W28" s="291"/>
      <c r="X28" s="290"/>
      <c r="Y28" s="290"/>
      <c r="Z28" s="563"/>
      <c r="AA28" s="563"/>
      <c r="AB28" s="563"/>
      <c r="AC28" s="563"/>
      <c r="AD28" s="563"/>
      <c r="AE28" s="563"/>
      <c r="AF28" s="563"/>
      <c r="AG28" s="563"/>
      <c r="AH28" s="563"/>
      <c r="AI28" s="563"/>
      <c r="AJ28" s="563"/>
      <c r="AK28" s="563"/>
      <c r="AL28" s="289" t="e">
        <f>VLOOKUP(AL5,BE!#REF!,2,FALSE)</f>
        <v>#REF!</v>
      </c>
    </row>
    <row r="29" spans="1:38" ht="35" customHeight="1" thickBot="1">
      <c r="A29" s="564"/>
      <c r="B29" s="565" t="s">
        <v>266</v>
      </c>
      <c r="C29" s="566"/>
      <c r="D29" s="566"/>
      <c r="E29" s="567">
        <f t="shared" ref="E29:AL29" si="0">SUM(E7:E28)</f>
        <v>0.16</v>
      </c>
      <c r="F29" s="567" t="e">
        <f t="shared" si="0"/>
        <v>#REF!</v>
      </c>
      <c r="G29" s="567" t="e">
        <f t="shared" si="0"/>
        <v>#REF!</v>
      </c>
      <c r="H29" s="567" t="e">
        <f t="shared" si="0"/>
        <v>#REF!</v>
      </c>
      <c r="I29" s="567">
        <f t="shared" si="0"/>
        <v>0</v>
      </c>
      <c r="J29" s="567" t="e">
        <f t="shared" si="0"/>
        <v>#REF!</v>
      </c>
      <c r="K29" s="567" t="e">
        <f t="shared" si="0"/>
        <v>#REF!</v>
      </c>
      <c r="L29" s="567" t="e">
        <f t="shared" si="0"/>
        <v>#REF!</v>
      </c>
      <c r="M29" s="567" t="e">
        <f t="shared" si="0"/>
        <v>#REF!</v>
      </c>
      <c r="N29" s="567" t="e">
        <f t="shared" si="0"/>
        <v>#N/A</v>
      </c>
      <c r="O29" s="567">
        <f t="shared" si="0"/>
        <v>2.4E-2</v>
      </c>
      <c r="P29" s="567">
        <f t="shared" si="0"/>
        <v>0</v>
      </c>
      <c r="Q29" s="567">
        <f t="shared" si="0"/>
        <v>0.33</v>
      </c>
      <c r="R29" s="567" t="e">
        <f t="shared" si="0"/>
        <v>#REF!</v>
      </c>
      <c r="S29" s="567" t="e">
        <f t="shared" si="0"/>
        <v>#REF!</v>
      </c>
      <c r="T29" s="567" t="e">
        <f t="shared" si="0"/>
        <v>#N/A</v>
      </c>
      <c r="U29" s="567" t="e">
        <f t="shared" si="0"/>
        <v>#N/A</v>
      </c>
      <c r="V29" s="567">
        <f t="shared" si="0"/>
        <v>0</v>
      </c>
      <c r="W29" s="567" t="e">
        <f t="shared" si="0"/>
        <v>#REF!</v>
      </c>
      <c r="X29" s="567" t="e">
        <f t="shared" si="0"/>
        <v>#REF!</v>
      </c>
      <c r="Y29" s="567" t="e">
        <f t="shared" si="0"/>
        <v>#REF!</v>
      </c>
      <c r="Z29" s="567" t="e">
        <f t="shared" si="0"/>
        <v>#REF!</v>
      </c>
      <c r="AA29" s="567" t="e">
        <f t="shared" si="0"/>
        <v>#REF!</v>
      </c>
      <c r="AB29" s="567" t="e">
        <f t="shared" si="0"/>
        <v>#REF!</v>
      </c>
      <c r="AC29" s="567" t="e">
        <f t="shared" si="0"/>
        <v>#REF!</v>
      </c>
      <c r="AD29" s="567" t="e">
        <f t="shared" si="0"/>
        <v>#REF!</v>
      </c>
      <c r="AE29" s="567" t="e">
        <f t="shared" si="0"/>
        <v>#REF!</v>
      </c>
      <c r="AF29" s="567" t="e">
        <f t="shared" si="0"/>
        <v>#REF!</v>
      </c>
      <c r="AG29" s="567" t="e">
        <f t="shared" si="0"/>
        <v>#REF!</v>
      </c>
      <c r="AH29" s="567" t="e">
        <f t="shared" si="0"/>
        <v>#REF!</v>
      </c>
      <c r="AI29" s="567" t="e">
        <f t="shared" si="0"/>
        <v>#REF!</v>
      </c>
      <c r="AJ29" s="567" t="e">
        <f t="shared" si="0"/>
        <v>#REF!</v>
      </c>
      <c r="AK29" s="567" t="e">
        <f t="shared" si="0"/>
        <v>#REF!</v>
      </c>
      <c r="AL29" s="567" t="e">
        <f t="shared" si="0"/>
        <v>#REF!</v>
      </c>
    </row>
    <row r="30" spans="1:38" s="342" customFormat="1" ht="35" customHeight="1" thickBot="1">
      <c r="A30" s="568"/>
      <c r="B30" s="569"/>
      <c r="C30" s="569"/>
      <c r="D30" s="569"/>
      <c r="E30" s="569">
        <f>ROUNDUP(E29,0)</f>
        <v>1</v>
      </c>
      <c r="F30" s="569" t="e">
        <f t="shared" ref="F30:AL30" si="1">ROUNDUP(F29,0)</f>
        <v>#REF!</v>
      </c>
      <c r="G30" s="569" t="e">
        <f t="shared" si="1"/>
        <v>#REF!</v>
      </c>
      <c r="H30" s="569" t="e">
        <f t="shared" si="1"/>
        <v>#REF!</v>
      </c>
      <c r="I30" s="569">
        <f>ROUNDUP(I29,0)</f>
        <v>0</v>
      </c>
      <c r="J30" s="569" t="e">
        <f t="shared" si="1"/>
        <v>#REF!</v>
      </c>
      <c r="K30" s="569" t="e">
        <f t="shared" si="1"/>
        <v>#REF!</v>
      </c>
      <c r="L30" s="569" t="e">
        <f t="shared" si="1"/>
        <v>#REF!</v>
      </c>
      <c r="M30" s="569" t="e">
        <f t="shared" si="1"/>
        <v>#REF!</v>
      </c>
      <c r="N30" s="569" t="e">
        <f t="shared" si="1"/>
        <v>#N/A</v>
      </c>
      <c r="O30" s="569">
        <f t="shared" si="1"/>
        <v>1</v>
      </c>
      <c r="P30" s="569">
        <f t="shared" si="1"/>
        <v>0</v>
      </c>
      <c r="Q30" s="569">
        <f t="shared" si="1"/>
        <v>1</v>
      </c>
      <c r="R30" s="569" t="e">
        <f t="shared" si="1"/>
        <v>#REF!</v>
      </c>
      <c r="S30" s="569" t="e">
        <f>ROUNDUP(S29,0)</f>
        <v>#REF!</v>
      </c>
      <c r="T30" s="569" t="e">
        <f>ROUNDUP(T29,0)</f>
        <v>#N/A</v>
      </c>
      <c r="U30" s="569" t="e">
        <f>ROUNDUP(U29,0)</f>
        <v>#N/A</v>
      </c>
      <c r="V30" s="569">
        <f>ROUNDUP(V29,0)</f>
        <v>0</v>
      </c>
      <c r="W30" s="569" t="e">
        <f t="shared" si="1"/>
        <v>#REF!</v>
      </c>
      <c r="X30" s="569" t="e">
        <f t="shared" si="1"/>
        <v>#REF!</v>
      </c>
      <c r="Y30" s="569" t="e">
        <f t="shared" si="1"/>
        <v>#REF!</v>
      </c>
      <c r="Z30" s="569" t="e">
        <f t="shared" si="1"/>
        <v>#REF!</v>
      </c>
      <c r="AA30" s="569" t="e">
        <f t="shared" si="1"/>
        <v>#REF!</v>
      </c>
      <c r="AB30" s="569" t="e">
        <f t="shared" si="1"/>
        <v>#REF!</v>
      </c>
      <c r="AC30" s="569" t="e">
        <f t="shared" si="1"/>
        <v>#REF!</v>
      </c>
      <c r="AD30" s="569" t="e">
        <f t="shared" si="1"/>
        <v>#REF!</v>
      </c>
      <c r="AE30" s="569" t="e">
        <f t="shared" si="1"/>
        <v>#REF!</v>
      </c>
      <c r="AF30" s="569" t="e">
        <f t="shared" si="1"/>
        <v>#REF!</v>
      </c>
      <c r="AG30" s="569" t="e">
        <f t="shared" si="1"/>
        <v>#REF!</v>
      </c>
      <c r="AH30" s="569" t="e">
        <f t="shared" si="1"/>
        <v>#REF!</v>
      </c>
      <c r="AI30" s="569" t="e">
        <f>ROUNDUP(AI29,0)</f>
        <v>#REF!</v>
      </c>
      <c r="AJ30" s="569" t="e">
        <f t="shared" si="1"/>
        <v>#REF!</v>
      </c>
      <c r="AK30" s="569" t="e">
        <f t="shared" si="1"/>
        <v>#REF!</v>
      </c>
      <c r="AL30" s="569" t="e">
        <f t="shared" si="1"/>
        <v>#REF!</v>
      </c>
    </row>
    <row r="31" spans="1:38" ht="25.25" customHeight="1">
      <c r="A31" s="295"/>
      <c r="B31" s="296"/>
      <c r="C31" s="295"/>
      <c r="D31" s="297"/>
      <c r="E31" s="298"/>
      <c r="F31" s="297"/>
      <c r="G31" s="297"/>
      <c r="H31" s="297"/>
      <c r="I31" s="297"/>
      <c r="J31" s="298"/>
      <c r="K31" s="297"/>
      <c r="L31" s="297"/>
      <c r="M31" s="298"/>
      <c r="N31" s="297"/>
      <c r="O31" s="297"/>
      <c r="P31" s="297"/>
      <c r="Q31" s="297"/>
      <c r="R31" s="298"/>
      <c r="S31" s="298"/>
      <c r="T31" s="298"/>
      <c r="U31" s="298"/>
      <c r="V31" s="298"/>
      <c r="W31" s="297"/>
    </row>
    <row r="33" spans="26:26" ht="25.25" customHeight="1">
      <c r="Z33" s="345"/>
    </row>
    <row r="61" spans="5:5" ht="25.25" customHeight="1">
      <c r="E61" s="344">
        <v>18.611039999999999</v>
      </c>
    </row>
    <row r="62" spans="5:5" ht="25.25" customHeight="1">
      <c r="E62" s="344">
        <v>196.0608</v>
      </c>
    </row>
    <row r="63" spans="5:5" ht="25.25" customHeight="1">
      <c r="E63" s="344">
        <v>1.5139489917014757</v>
      </c>
    </row>
    <row r="64" spans="5:5" ht="25.25" customHeight="1">
      <c r="E64" s="344">
        <v>103.75</v>
      </c>
    </row>
    <row r="65" spans="5:5" ht="25.25" customHeight="1">
      <c r="E65" s="344">
        <v>67.58</v>
      </c>
    </row>
    <row r="66" spans="5:5" ht="25.25" customHeight="1">
      <c r="E66" s="344">
        <v>117.94833728301396</v>
      </c>
    </row>
    <row r="67" spans="5:5" ht="25.25" customHeight="1">
      <c r="E67" s="344">
        <v>814.83540627471541</v>
      </c>
    </row>
    <row r="68" spans="5:5" ht="25.25" customHeight="1">
      <c r="E68" s="344">
        <v>20.27</v>
      </c>
    </row>
    <row r="69" spans="5:5" ht="25.25" customHeight="1">
      <c r="E69" s="344">
        <v>202.75</v>
      </c>
    </row>
    <row r="70" spans="5:5" ht="25.25" customHeight="1">
      <c r="E70" s="344">
        <v>6.76</v>
      </c>
    </row>
    <row r="71" spans="5:5" ht="25.25" customHeight="1">
      <c r="E71" s="344">
        <v>7</v>
      </c>
    </row>
    <row r="72" spans="5:5" ht="25.25" customHeight="1">
      <c r="E72" s="344">
        <v>5</v>
      </c>
    </row>
    <row r="73" spans="5:5" ht="25.25" customHeight="1">
      <c r="E73" s="344">
        <v>3000</v>
      </c>
    </row>
    <row r="74" spans="5:5" ht="25.25" customHeight="1">
      <c r="E74" s="344">
        <v>37.5</v>
      </c>
    </row>
    <row r="75" spans="5:5" ht="25.25" customHeight="1">
      <c r="E75" s="344">
        <v>11</v>
      </c>
    </row>
  </sheetData>
  <mergeCells count="9">
    <mergeCell ref="E4:J4"/>
    <mergeCell ref="K4:AL4"/>
    <mergeCell ref="A1:AL1"/>
    <mergeCell ref="A2:AL2"/>
    <mergeCell ref="A3:AL3"/>
    <mergeCell ref="B4:B6"/>
    <mergeCell ref="C4:C6"/>
    <mergeCell ref="D4:D6"/>
    <mergeCell ref="A4:A6"/>
  </mergeCells>
  <pageMargins left="0.25" right="0" top="0.25" bottom="0" header="0" footer="0"/>
  <pageSetup paperSize="5" scale="45" orientation="landscape" horizontalDpi="360" verticalDpi="360" r:id="rId1"/>
  <headerFooter>
    <oddHeader>Page &amp;P</oddHeader>
    <oddFooter>&amp;R&amp;G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3880-BC7A-4BDB-BC37-0A1DB18D26DF}">
  <dimension ref="A1:P77"/>
  <sheetViews>
    <sheetView workbookViewId="0">
      <pane ySplit="2" topLeftCell="A66" activePane="bottomLeft" state="frozen"/>
      <selection pane="bottomLeft" activeCell="C47" sqref="C47"/>
    </sheetView>
  </sheetViews>
  <sheetFormatPr defaultColWidth="9.08984375" defaultRowHeight="14.5"/>
  <cols>
    <col min="1" max="1" width="8.90625" style="618" customWidth="1"/>
    <col min="2" max="2" width="8.6328125" style="670" customWidth="1"/>
    <col min="3" max="3" width="7.36328125" style="618" customWidth="1"/>
    <col min="4" max="4" width="7.90625" style="618" customWidth="1"/>
    <col min="5" max="5" width="8.08984375" style="618" customWidth="1"/>
    <col min="6" max="6" width="11.90625" style="618" customWidth="1"/>
    <col min="7" max="7" width="10.453125" style="618" customWidth="1"/>
    <col min="8" max="8" width="8.36328125" style="618" customWidth="1"/>
    <col min="9" max="9" width="12.6328125" style="618" customWidth="1"/>
    <col min="10" max="10" width="13.36328125" style="618" customWidth="1"/>
    <col min="11" max="11" width="17" style="641" customWidth="1"/>
    <col min="12" max="12" width="12" style="641" customWidth="1"/>
    <col min="13" max="16" width="12" style="618" customWidth="1"/>
    <col min="17" max="16384" width="9.08984375" style="620"/>
  </cols>
  <sheetData>
    <row r="1" spans="1:16" s="610" customFormat="1" ht="39" customHeight="1">
      <c r="A1" s="1202" t="s">
        <v>210</v>
      </c>
      <c r="B1" s="1202"/>
      <c r="C1" s="1202"/>
      <c r="D1" s="1202"/>
      <c r="E1" s="1202"/>
      <c r="F1" s="1152" t="s">
        <v>448</v>
      </c>
      <c r="G1" s="1152" t="s">
        <v>449</v>
      </c>
      <c r="H1" s="1173" t="s">
        <v>450</v>
      </c>
      <c r="I1" s="1152" t="s">
        <v>451</v>
      </c>
      <c r="J1" s="1152" t="s">
        <v>452</v>
      </c>
      <c r="K1" s="1169" t="s">
        <v>453</v>
      </c>
      <c r="L1" s="1199" t="s">
        <v>454</v>
      </c>
      <c r="M1" s="1199"/>
      <c r="N1" s="1199"/>
      <c r="O1" s="1199"/>
      <c r="P1" s="1199"/>
    </row>
    <row r="2" spans="1:16" s="610" customFormat="1" ht="18.75" customHeight="1">
      <c r="A2" s="1202"/>
      <c r="B2" s="1202"/>
      <c r="C2" s="1202"/>
      <c r="D2" s="1202"/>
      <c r="E2" s="1202"/>
      <c r="F2" s="1152"/>
      <c r="G2" s="1152"/>
      <c r="H2" s="1173"/>
      <c r="I2" s="1152"/>
      <c r="J2" s="1152"/>
      <c r="K2" s="1169"/>
      <c r="L2" s="616">
        <v>6</v>
      </c>
      <c r="M2" s="615">
        <v>10</v>
      </c>
      <c r="N2" s="615">
        <v>12</v>
      </c>
      <c r="O2" s="615">
        <v>16</v>
      </c>
      <c r="P2" s="615">
        <v>18</v>
      </c>
    </row>
    <row r="3" spans="1:16" s="610" customFormat="1" ht="18.75" customHeight="1">
      <c r="A3" s="1203"/>
      <c r="B3" s="1203"/>
      <c r="C3" s="1203"/>
      <c r="D3" s="1203"/>
      <c r="E3" s="1203"/>
      <c r="F3" s="611"/>
      <c r="G3" s="611"/>
      <c r="H3" s="611"/>
      <c r="I3" s="611"/>
      <c r="J3" s="611"/>
      <c r="K3" s="612"/>
      <c r="L3" s="612"/>
      <c r="M3" s="611"/>
      <c r="N3" s="611"/>
      <c r="O3" s="611"/>
      <c r="P3" s="611"/>
    </row>
    <row r="4" spans="1:16" s="617" customFormat="1" ht="23.25" customHeight="1">
      <c r="A4" s="613"/>
      <c r="B4" s="614" t="s">
        <v>7</v>
      </c>
      <c r="C4" s="613" t="s">
        <v>8</v>
      </c>
      <c r="D4" s="613" t="s">
        <v>455</v>
      </c>
      <c r="E4" s="613" t="s">
        <v>456</v>
      </c>
      <c r="F4" s="615"/>
      <c r="G4" s="615"/>
      <c r="H4" s="615"/>
      <c r="I4" s="615"/>
      <c r="J4" s="615"/>
      <c r="K4" s="616"/>
      <c r="L4" s="616"/>
      <c r="M4" s="615"/>
      <c r="N4" s="615"/>
      <c r="O4" s="615"/>
      <c r="P4" s="615"/>
    </row>
    <row r="5" spans="1:16" ht="15.5">
      <c r="A5" s="1196" t="s">
        <v>353</v>
      </c>
      <c r="B5" s="1196"/>
      <c r="C5" s="1196"/>
      <c r="D5" s="615"/>
      <c r="E5" s="615"/>
      <c r="K5" s="619"/>
      <c r="L5" s="619"/>
    </row>
    <row r="6" spans="1:16" ht="15.5">
      <c r="A6" s="613" t="s">
        <v>46</v>
      </c>
      <c r="B6" s="628"/>
      <c r="C6" s="628"/>
      <c r="D6" s="615"/>
      <c r="E6" s="615"/>
      <c r="K6" s="619"/>
      <c r="L6" s="619"/>
    </row>
    <row r="7" spans="1:16" ht="15.5">
      <c r="A7" s="672" t="s">
        <v>458</v>
      </c>
      <c r="B7" s="628"/>
      <c r="C7" s="628"/>
      <c r="D7" s="615"/>
      <c r="E7" s="615"/>
      <c r="K7" s="619"/>
      <c r="L7" s="619"/>
    </row>
    <row r="8" spans="1:16" s="610" customFormat="1" ht="15.5">
      <c r="A8" s="621" t="e">
        <f>Detail!#REF!/3.281</f>
        <v>#REF!</v>
      </c>
      <c r="B8" s="622"/>
      <c r="C8" s="623"/>
      <c r="D8" s="669" t="e">
        <f>Detail!#REF!</f>
        <v>#REF!</v>
      </c>
      <c r="E8" s="611">
        <v>7.4999999999999997E-2</v>
      </c>
      <c r="F8" s="611" t="s">
        <v>457</v>
      </c>
      <c r="G8" s="611">
        <v>16</v>
      </c>
      <c r="H8" s="624">
        <f>6/(12*3.281)</f>
        <v>0.15239256324291375</v>
      </c>
      <c r="I8" s="625" t="e">
        <f>ROUND(A9/H8,0)+1</f>
        <v>#REF!</v>
      </c>
      <c r="J8" s="626" t="e">
        <f>A8-2*E8+2*((3/12)/3.281)</f>
        <v>#REF!</v>
      </c>
      <c r="K8" s="624" t="e">
        <f>I8*J8*D8</f>
        <v>#REF!</v>
      </c>
      <c r="L8" s="624">
        <f t="shared" ref="L8:P10" si="0">IF($G8=L$2,$K8,0)</f>
        <v>0</v>
      </c>
      <c r="M8" s="624">
        <f t="shared" si="0"/>
        <v>0</v>
      </c>
      <c r="N8" s="624">
        <f t="shared" si="0"/>
        <v>0</v>
      </c>
      <c r="O8" s="624" t="e">
        <f t="shared" si="0"/>
        <v>#REF!</v>
      </c>
      <c r="P8" s="624">
        <f t="shared" si="0"/>
        <v>0</v>
      </c>
    </row>
    <row r="9" spans="1:16" s="610" customFormat="1" ht="15.5">
      <c r="A9" s="621" t="e">
        <f>Detail!#REF!/3.281</f>
        <v>#REF!</v>
      </c>
      <c r="B9" s="622"/>
      <c r="C9" s="623"/>
      <c r="D9" s="669" t="e">
        <f>D8</f>
        <v>#REF!</v>
      </c>
      <c r="E9" s="611">
        <v>7.4999999999999997E-2</v>
      </c>
      <c r="F9" s="611" t="s">
        <v>457</v>
      </c>
      <c r="G9" s="611">
        <v>16</v>
      </c>
      <c r="H9" s="624">
        <f>6/(12*3.281)</f>
        <v>0.15239256324291375</v>
      </c>
      <c r="I9" s="625" t="e">
        <f>ROUND(A8/H9,0)+1</f>
        <v>#REF!</v>
      </c>
      <c r="J9" s="626" t="e">
        <f>A9-2*E9+2*((3/12)/3.281)</f>
        <v>#REF!</v>
      </c>
      <c r="K9" s="624" t="e">
        <f>I9*J9*D9</f>
        <v>#REF!</v>
      </c>
      <c r="L9" s="624">
        <f t="shared" si="0"/>
        <v>0</v>
      </c>
      <c r="M9" s="624">
        <f t="shared" si="0"/>
        <v>0</v>
      </c>
      <c r="N9" s="624">
        <f t="shared" si="0"/>
        <v>0</v>
      </c>
      <c r="O9" s="624" t="e">
        <f t="shared" si="0"/>
        <v>#REF!</v>
      </c>
      <c r="P9" s="624">
        <f t="shared" si="0"/>
        <v>0</v>
      </c>
    </row>
    <row r="10" spans="1:16" ht="15.5">
      <c r="A10" s="628"/>
      <c r="B10" s="628"/>
      <c r="C10" s="628"/>
      <c r="E10" s="615"/>
      <c r="K10" s="619"/>
      <c r="L10" s="624">
        <f t="shared" si="0"/>
        <v>0</v>
      </c>
      <c r="M10" s="624">
        <f t="shared" si="0"/>
        <v>0</v>
      </c>
      <c r="N10" s="624">
        <f t="shared" si="0"/>
        <v>0</v>
      </c>
      <c r="O10" s="624">
        <f t="shared" si="0"/>
        <v>0</v>
      </c>
      <c r="P10" s="624">
        <f t="shared" si="0"/>
        <v>0</v>
      </c>
    </row>
    <row r="11" spans="1:16" ht="15.5">
      <c r="A11" s="672" t="s">
        <v>460</v>
      </c>
      <c r="B11" s="628"/>
      <c r="C11" s="628"/>
      <c r="D11" s="615"/>
      <c r="E11" s="615"/>
      <c r="K11" s="619"/>
      <c r="L11" s="619"/>
    </row>
    <row r="12" spans="1:16" s="610" customFormat="1" ht="15.5">
      <c r="A12" s="621" t="e">
        <f>Detail!#REF!/3.281</f>
        <v>#REF!</v>
      </c>
      <c r="B12" s="622"/>
      <c r="C12" s="623"/>
      <c r="D12" s="669" t="e">
        <f>Detail!#REF!</f>
        <v>#REF!</v>
      </c>
      <c r="E12" s="611">
        <v>7.4999999999999997E-2</v>
      </c>
      <c r="F12" s="611" t="s">
        <v>457</v>
      </c>
      <c r="G12" s="611">
        <v>16</v>
      </c>
      <c r="H12" s="624">
        <f>6/(12*3.281)</f>
        <v>0.15239256324291375</v>
      </c>
      <c r="I12" s="625" t="e">
        <f>ROUND(A13/H12,0)+1</f>
        <v>#REF!</v>
      </c>
      <c r="J12" s="626" t="e">
        <f>A12-2*E12+2*((3/12)/3.281)</f>
        <v>#REF!</v>
      </c>
      <c r="K12" s="624" t="e">
        <f>I12*J12*D12</f>
        <v>#REF!</v>
      </c>
      <c r="L12" s="624">
        <f t="shared" ref="L12:P14" si="1">IF($G12=L$2,$K12,0)</f>
        <v>0</v>
      </c>
      <c r="M12" s="624">
        <f t="shared" si="1"/>
        <v>0</v>
      </c>
      <c r="N12" s="624">
        <f t="shared" si="1"/>
        <v>0</v>
      </c>
      <c r="O12" s="624" t="e">
        <f t="shared" si="1"/>
        <v>#REF!</v>
      </c>
      <c r="P12" s="624">
        <f t="shared" si="1"/>
        <v>0</v>
      </c>
    </row>
    <row r="13" spans="1:16" s="610" customFormat="1" ht="15.5">
      <c r="A13" s="621" t="e">
        <f>Detail!#REF!/3.281</f>
        <v>#REF!</v>
      </c>
      <c r="B13" s="622"/>
      <c r="C13" s="623"/>
      <c r="D13" s="669" t="e">
        <f>D12</f>
        <v>#REF!</v>
      </c>
      <c r="E13" s="611">
        <v>7.4999999999999997E-2</v>
      </c>
      <c r="F13" s="611" t="s">
        <v>457</v>
      </c>
      <c r="G13" s="611">
        <v>16</v>
      </c>
      <c r="H13" s="624">
        <f>6/(12*3.281)</f>
        <v>0.15239256324291375</v>
      </c>
      <c r="I13" s="625" t="e">
        <f>ROUND(A12/H13,0)+1</f>
        <v>#REF!</v>
      </c>
      <c r="J13" s="626" t="e">
        <f>A13-2*E13+2*((3/12)/3.281)</f>
        <v>#REF!</v>
      </c>
      <c r="K13" s="624" t="e">
        <f>I13*J13*D13</f>
        <v>#REF!</v>
      </c>
      <c r="L13" s="624">
        <f t="shared" si="1"/>
        <v>0</v>
      </c>
      <c r="M13" s="624">
        <f t="shared" si="1"/>
        <v>0</v>
      </c>
      <c r="N13" s="624">
        <f t="shared" si="1"/>
        <v>0</v>
      </c>
      <c r="O13" s="624" t="e">
        <f t="shared" si="1"/>
        <v>#REF!</v>
      </c>
      <c r="P13" s="624">
        <f t="shared" si="1"/>
        <v>0</v>
      </c>
    </row>
    <row r="14" spans="1:16" ht="15.5">
      <c r="A14" s="628"/>
      <c r="B14" s="628"/>
      <c r="C14" s="628"/>
      <c r="E14" s="615"/>
      <c r="K14" s="619"/>
      <c r="L14" s="624">
        <f t="shared" si="1"/>
        <v>0</v>
      </c>
      <c r="M14" s="624">
        <f t="shared" si="1"/>
        <v>0</v>
      </c>
      <c r="N14" s="624">
        <f t="shared" si="1"/>
        <v>0</v>
      </c>
      <c r="O14" s="624">
        <f t="shared" si="1"/>
        <v>0</v>
      </c>
      <c r="P14" s="624">
        <f t="shared" si="1"/>
        <v>0</v>
      </c>
    </row>
    <row r="15" spans="1:16" ht="15.5">
      <c r="A15" s="672" t="s">
        <v>461</v>
      </c>
      <c r="B15" s="628"/>
      <c r="C15" s="628"/>
      <c r="D15" s="615"/>
      <c r="E15" s="615"/>
      <c r="K15" s="619"/>
      <c r="L15" s="619"/>
    </row>
    <row r="16" spans="1:16" s="610" customFormat="1" ht="15.5">
      <c r="A16" s="621" t="e">
        <f>Detail!#REF!/3.281</f>
        <v>#REF!</v>
      </c>
      <c r="B16" s="622"/>
      <c r="C16" s="623"/>
      <c r="D16" s="669" t="e">
        <f>Detail!#REF!</f>
        <v>#REF!</v>
      </c>
      <c r="E16" s="611">
        <v>7.4999999999999997E-2</v>
      </c>
      <c r="F16" s="611" t="s">
        <v>457</v>
      </c>
      <c r="G16" s="611">
        <v>16</v>
      </c>
      <c r="H16" s="624">
        <f>6/(12*3.281)</f>
        <v>0.15239256324291375</v>
      </c>
      <c r="I16" s="625" t="e">
        <f>ROUND(A17/H16,0)+1</f>
        <v>#REF!</v>
      </c>
      <c r="J16" s="626" t="e">
        <f>A16-2*E16+2*((3/12)/3.281)</f>
        <v>#REF!</v>
      </c>
      <c r="K16" s="624" t="e">
        <f>I16*J16*D16</f>
        <v>#REF!</v>
      </c>
      <c r="L16" s="624">
        <f t="shared" ref="L16:P30" si="2">IF($G16=L$2,$K16,0)</f>
        <v>0</v>
      </c>
      <c r="M16" s="624">
        <f t="shared" si="2"/>
        <v>0</v>
      </c>
      <c r="N16" s="624">
        <f t="shared" si="2"/>
        <v>0</v>
      </c>
      <c r="O16" s="624" t="e">
        <f t="shared" si="2"/>
        <v>#REF!</v>
      </c>
      <c r="P16" s="624">
        <f t="shared" si="2"/>
        <v>0</v>
      </c>
    </row>
    <row r="17" spans="1:16" s="610" customFormat="1" ht="15.5">
      <c r="A17" s="621" t="e">
        <f>Detail!#REF!/3.281</f>
        <v>#REF!</v>
      </c>
      <c r="B17" s="622"/>
      <c r="C17" s="623"/>
      <c r="D17" s="669" t="e">
        <f>D16</f>
        <v>#REF!</v>
      </c>
      <c r="E17" s="611">
        <v>7.4999999999999997E-2</v>
      </c>
      <c r="F17" s="611" t="s">
        <v>457</v>
      </c>
      <c r="G17" s="611">
        <v>16</v>
      </c>
      <c r="H17" s="624">
        <f>6/(12*3.281)</f>
        <v>0.15239256324291375</v>
      </c>
      <c r="I17" s="625" t="e">
        <f>ROUND(A16/H17,0)+1</f>
        <v>#REF!</v>
      </c>
      <c r="J17" s="626" t="e">
        <f>A17-2*E17+2*((3/12)/3.281)</f>
        <v>#REF!</v>
      </c>
      <c r="K17" s="624" t="e">
        <f>I17*J17*D17</f>
        <v>#REF!</v>
      </c>
      <c r="L17" s="624">
        <f t="shared" si="2"/>
        <v>0</v>
      </c>
      <c r="M17" s="624">
        <f t="shared" si="2"/>
        <v>0</v>
      </c>
      <c r="N17" s="624">
        <f t="shared" si="2"/>
        <v>0</v>
      </c>
      <c r="O17" s="624" t="e">
        <f t="shared" si="2"/>
        <v>#REF!</v>
      </c>
      <c r="P17" s="624">
        <f t="shared" si="2"/>
        <v>0</v>
      </c>
    </row>
    <row r="18" spans="1:16" ht="15.5">
      <c r="A18" s="628"/>
      <c r="B18" s="628"/>
      <c r="C18" s="628"/>
      <c r="E18" s="615"/>
      <c r="K18" s="619"/>
      <c r="L18" s="624">
        <f t="shared" si="2"/>
        <v>0</v>
      </c>
      <c r="M18" s="624">
        <f t="shared" si="2"/>
        <v>0</v>
      </c>
      <c r="N18" s="624">
        <f t="shared" si="2"/>
        <v>0</v>
      </c>
      <c r="O18" s="624">
        <f t="shared" si="2"/>
        <v>0</v>
      </c>
      <c r="P18" s="624">
        <f t="shared" si="2"/>
        <v>0</v>
      </c>
    </row>
    <row r="19" spans="1:16" s="610" customFormat="1" ht="15.5">
      <c r="A19" s="1200" t="s">
        <v>355</v>
      </c>
      <c r="B19" s="1200"/>
      <c r="C19" s="1201"/>
      <c r="D19" s="611"/>
      <c r="E19" s="611"/>
      <c r="F19" s="611"/>
      <c r="G19" s="611"/>
      <c r="H19" s="611"/>
      <c r="I19" s="611"/>
      <c r="J19" s="611"/>
      <c r="K19" s="624"/>
      <c r="L19" s="624">
        <f t="shared" si="2"/>
        <v>0</v>
      </c>
      <c r="M19" s="624">
        <f t="shared" si="2"/>
        <v>0</v>
      </c>
      <c r="N19" s="624">
        <f t="shared" si="2"/>
        <v>0</v>
      </c>
      <c r="O19" s="624">
        <f t="shared" si="2"/>
        <v>0</v>
      </c>
      <c r="P19" s="624">
        <f t="shared" si="2"/>
        <v>0</v>
      </c>
    </row>
    <row r="20" spans="1:16" s="610" customFormat="1" ht="15.5" hidden="1">
      <c r="A20" s="1200"/>
      <c r="B20" s="1200"/>
      <c r="C20" s="1201"/>
      <c r="D20" s="611"/>
      <c r="E20" s="611"/>
      <c r="F20" s="611"/>
      <c r="G20" s="611"/>
      <c r="H20" s="611"/>
      <c r="I20" s="611"/>
      <c r="J20" s="611"/>
      <c r="K20" s="624"/>
      <c r="L20" s="624">
        <f t="shared" si="2"/>
        <v>0</v>
      </c>
      <c r="M20" s="624">
        <f t="shared" si="2"/>
        <v>0</v>
      </c>
      <c r="N20" s="624">
        <f t="shared" si="2"/>
        <v>0</v>
      </c>
      <c r="O20" s="624">
        <f t="shared" si="2"/>
        <v>0</v>
      </c>
      <c r="P20" s="624">
        <f t="shared" si="2"/>
        <v>0</v>
      </c>
    </row>
    <row r="21" spans="1:16" s="610" customFormat="1" ht="15.5">
      <c r="A21" s="673" t="s">
        <v>462</v>
      </c>
      <c r="B21" s="628"/>
      <c r="C21" s="628"/>
      <c r="D21" s="611"/>
      <c r="E21" s="611"/>
      <c r="F21" s="611"/>
      <c r="G21" s="611"/>
      <c r="H21" s="611"/>
      <c r="I21" s="611"/>
      <c r="J21" s="611"/>
      <c r="K21" s="624"/>
      <c r="L21" s="624">
        <f t="shared" si="2"/>
        <v>0</v>
      </c>
      <c r="M21" s="624">
        <f t="shared" si="2"/>
        <v>0</v>
      </c>
      <c r="N21" s="624">
        <f t="shared" si="2"/>
        <v>0</v>
      </c>
      <c r="O21" s="624">
        <f t="shared" si="2"/>
        <v>0</v>
      </c>
      <c r="P21" s="624">
        <f t="shared" si="2"/>
        <v>0</v>
      </c>
    </row>
    <row r="22" spans="1:16" s="631" customFormat="1" ht="23.25" customHeight="1">
      <c r="A22" s="629">
        <f>10/(12*3.281)</f>
        <v>0.25398760540485626</v>
      </c>
      <c r="B22" s="629">
        <f>10/(12*3.281)</f>
        <v>0.25398760540485626</v>
      </c>
      <c r="C22" s="630" t="e">
        <f>Detail!#REF!/3.281</f>
        <v>#REF!</v>
      </c>
      <c r="D22" s="674" t="e">
        <f>Detail!#REF!</f>
        <v>#REF!</v>
      </c>
      <c r="E22" s="611">
        <v>0.05</v>
      </c>
      <c r="F22" s="611" t="s">
        <v>459</v>
      </c>
      <c r="G22" s="611">
        <v>16</v>
      </c>
      <c r="H22" s="624"/>
      <c r="I22" s="625">
        <v>6</v>
      </c>
      <c r="J22" s="626" t="e">
        <f>C22-1*E22-1*E16+(1*1/3.281)+2*4*G22/1000+14*G22/1000</f>
        <v>#REF!</v>
      </c>
      <c r="K22" s="624" t="e">
        <f>I22*J22*D22</f>
        <v>#REF!</v>
      </c>
      <c r="L22" s="624">
        <f t="shared" si="2"/>
        <v>0</v>
      </c>
      <c r="M22" s="624">
        <f t="shared" si="2"/>
        <v>0</v>
      </c>
      <c r="N22" s="624">
        <f t="shared" si="2"/>
        <v>0</v>
      </c>
      <c r="O22" s="624" t="e">
        <f t="shared" si="2"/>
        <v>#REF!</v>
      </c>
      <c r="P22" s="624">
        <f t="shared" si="2"/>
        <v>0</v>
      </c>
    </row>
    <row r="23" spans="1:16" s="610" customFormat="1" ht="15.5">
      <c r="A23" s="632"/>
      <c r="B23" s="633"/>
      <c r="C23" s="630" t="e">
        <f>C22</f>
        <v>#REF!</v>
      </c>
      <c r="D23" s="674" t="e">
        <f>D22</f>
        <v>#REF!</v>
      </c>
      <c r="E23" s="611">
        <v>0.05</v>
      </c>
      <c r="F23" s="611" t="s">
        <v>463</v>
      </c>
      <c r="G23" s="611">
        <v>10</v>
      </c>
      <c r="H23" s="624">
        <f>5/(12*3.281)</f>
        <v>0.12699380270242813</v>
      </c>
      <c r="I23" s="625" t="e">
        <f>(ROUND(C22/H23,0)+1)</f>
        <v>#REF!</v>
      </c>
      <c r="J23" s="626">
        <f>2*(A22+B22)-8*E23+2*8*G23/1000</f>
        <v>0.77595042161942507</v>
      </c>
      <c r="K23" s="624" t="e">
        <f>I23*J23*D23</f>
        <v>#REF!</v>
      </c>
      <c r="L23" s="624">
        <f t="shared" si="2"/>
        <v>0</v>
      </c>
      <c r="M23" s="624" t="e">
        <f t="shared" si="2"/>
        <v>#REF!</v>
      </c>
      <c r="N23" s="624">
        <f t="shared" si="2"/>
        <v>0</v>
      </c>
      <c r="O23" s="624">
        <f t="shared" si="2"/>
        <v>0</v>
      </c>
      <c r="P23" s="624">
        <f t="shared" si="2"/>
        <v>0</v>
      </c>
    </row>
    <row r="24" spans="1:16" s="610" customFormat="1" ht="15.5">
      <c r="A24" s="632"/>
      <c r="B24" s="633"/>
      <c r="C24" s="630"/>
      <c r="D24" s="674" t="e">
        <f>D23</f>
        <v>#REF!</v>
      </c>
      <c r="E24" s="611"/>
      <c r="F24" s="611" t="s">
        <v>464</v>
      </c>
      <c r="G24" s="611">
        <v>10</v>
      </c>
      <c r="H24" s="624">
        <f>1.5/3.281</f>
        <v>0.45717768972874123</v>
      </c>
      <c r="I24" s="625" t="e">
        <f>C22/H24</f>
        <v>#REF!</v>
      </c>
      <c r="J24" s="626">
        <f>2/3.281</f>
        <v>0.6095702529716549</v>
      </c>
      <c r="K24" s="624" t="e">
        <f>I24*J24*D24</f>
        <v>#REF!</v>
      </c>
      <c r="L24" s="624">
        <f t="shared" si="2"/>
        <v>0</v>
      </c>
      <c r="M24" s="624" t="e">
        <f t="shared" si="2"/>
        <v>#REF!</v>
      </c>
      <c r="N24" s="624">
        <f t="shared" si="2"/>
        <v>0</v>
      </c>
      <c r="O24" s="624">
        <f t="shared" si="2"/>
        <v>0</v>
      </c>
      <c r="P24" s="624">
        <f t="shared" si="2"/>
        <v>0</v>
      </c>
    </row>
    <row r="25" spans="1:16" s="610" customFormat="1" ht="15.5">
      <c r="A25" s="632"/>
      <c r="B25" s="633"/>
      <c r="C25" s="623"/>
      <c r="D25" s="611"/>
      <c r="E25" s="611"/>
      <c r="F25" s="611"/>
      <c r="G25" s="611"/>
      <c r="H25" s="624"/>
      <c r="I25" s="625"/>
      <c r="J25" s="626"/>
      <c r="K25" s="624"/>
      <c r="L25" s="624">
        <f t="shared" si="2"/>
        <v>0</v>
      </c>
      <c r="M25" s="624">
        <f t="shared" si="2"/>
        <v>0</v>
      </c>
      <c r="N25" s="624">
        <f t="shared" si="2"/>
        <v>0</v>
      </c>
      <c r="O25" s="624">
        <f t="shared" si="2"/>
        <v>0</v>
      </c>
      <c r="P25" s="624">
        <f t="shared" si="2"/>
        <v>0</v>
      </c>
    </row>
    <row r="26" spans="1:16" s="610" customFormat="1" ht="15.5">
      <c r="A26" s="673" t="s">
        <v>462</v>
      </c>
      <c r="B26" s="628"/>
      <c r="C26" s="628"/>
      <c r="D26" s="611"/>
      <c r="E26" s="611"/>
      <c r="F26" s="611"/>
      <c r="G26" s="611"/>
      <c r="H26" s="611"/>
      <c r="I26" s="611"/>
      <c r="J26" s="611"/>
      <c r="K26" s="624"/>
      <c r="L26" s="624">
        <f t="shared" si="2"/>
        <v>0</v>
      </c>
      <c r="M26" s="624">
        <f t="shared" si="2"/>
        <v>0</v>
      </c>
      <c r="N26" s="624">
        <f t="shared" si="2"/>
        <v>0</v>
      </c>
      <c r="O26" s="624">
        <f t="shared" si="2"/>
        <v>0</v>
      </c>
      <c r="P26" s="624">
        <f t="shared" si="2"/>
        <v>0</v>
      </c>
    </row>
    <row r="27" spans="1:16" s="631" customFormat="1" ht="23.25" customHeight="1">
      <c r="A27" s="629">
        <f>10/(12*3.281)</f>
        <v>0.25398760540485626</v>
      </c>
      <c r="B27" s="629">
        <f>10/(12*3.281)</f>
        <v>0.25398760540485626</v>
      </c>
      <c r="C27" s="630" t="e">
        <f>Detail!#REF!/3.281</f>
        <v>#REF!</v>
      </c>
      <c r="D27" s="674" t="e">
        <f>Detail!#REF!</f>
        <v>#REF!</v>
      </c>
      <c r="E27" s="611">
        <v>0.05</v>
      </c>
      <c r="F27" s="611" t="s">
        <v>459</v>
      </c>
      <c r="G27" s="611">
        <v>16</v>
      </c>
      <c r="H27" s="624"/>
      <c r="I27" s="625">
        <v>6</v>
      </c>
      <c r="J27" s="626" t="e">
        <f>C27-1*E27-1*E21+(1*1/3.281)+2*4*G27/1000+14*G27/1000</f>
        <v>#REF!</v>
      </c>
      <c r="K27" s="624" t="e">
        <f>I27*J27*D27</f>
        <v>#REF!</v>
      </c>
      <c r="L27" s="624">
        <f t="shared" si="2"/>
        <v>0</v>
      </c>
      <c r="M27" s="624">
        <f t="shared" si="2"/>
        <v>0</v>
      </c>
      <c r="N27" s="624">
        <f t="shared" si="2"/>
        <v>0</v>
      </c>
      <c r="O27" s="624" t="e">
        <f t="shared" si="2"/>
        <v>#REF!</v>
      </c>
      <c r="P27" s="624">
        <f t="shared" si="2"/>
        <v>0</v>
      </c>
    </row>
    <row r="28" spans="1:16" s="610" customFormat="1" ht="15.5">
      <c r="A28" s="632"/>
      <c r="B28" s="633"/>
      <c r="C28" s="630" t="e">
        <f>C27</f>
        <v>#REF!</v>
      </c>
      <c r="D28" s="674" t="e">
        <f>D27</f>
        <v>#REF!</v>
      </c>
      <c r="E28" s="611">
        <v>0.05</v>
      </c>
      <c r="F28" s="611" t="s">
        <v>463</v>
      </c>
      <c r="G28" s="611">
        <v>10</v>
      </c>
      <c r="H28" s="624">
        <f>6/(12*3.281)</f>
        <v>0.15239256324291375</v>
      </c>
      <c r="I28" s="625" t="e">
        <f>(ROUND(C27/H28,0)+1)</f>
        <v>#REF!</v>
      </c>
      <c r="J28" s="626">
        <f>2*(A27+B27)-8*E28+2*8*G28/1000</f>
        <v>0.77595042161942507</v>
      </c>
      <c r="K28" s="624" t="e">
        <f>I28*J28*D28</f>
        <v>#REF!</v>
      </c>
      <c r="L28" s="624">
        <f t="shared" si="2"/>
        <v>0</v>
      </c>
      <c r="M28" s="624" t="e">
        <f t="shared" si="2"/>
        <v>#REF!</v>
      </c>
      <c r="N28" s="624">
        <f t="shared" si="2"/>
        <v>0</v>
      </c>
      <c r="O28" s="624">
        <f t="shared" si="2"/>
        <v>0</v>
      </c>
      <c r="P28" s="624">
        <f t="shared" si="2"/>
        <v>0</v>
      </c>
    </row>
    <row r="29" spans="1:16" s="610" customFormat="1" ht="15.5">
      <c r="A29" s="632"/>
      <c r="B29" s="633"/>
      <c r="C29" s="630"/>
      <c r="D29" s="674" t="e">
        <f>D28</f>
        <v>#REF!</v>
      </c>
      <c r="E29" s="611"/>
      <c r="F29" s="611" t="s">
        <v>464</v>
      </c>
      <c r="G29" s="611">
        <v>10</v>
      </c>
      <c r="H29" s="624">
        <f>1.5/3.281</f>
        <v>0.45717768972874123</v>
      </c>
      <c r="I29" s="625" t="e">
        <f>C27/H29</f>
        <v>#REF!</v>
      </c>
      <c r="J29" s="626">
        <f>2/3.281</f>
        <v>0.6095702529716549</v>
      </c>
      <c r="K29" s="624" t="e">
        <f>I29*J29*D29</f>
        <v>#REF!</v>
      </c>
      <c r="L29" s="624">
        <f t="shared" si="2"/>
        <v>0</v>
      </c>
      <c r="M29" s="624" t="e">
        <f t="shared" si="2"/>
        <v>#REF!</v>
      </c>
      <c r="N29" s="624">
        <f t="shared" si="2"/>
        <v>0</v>
      </c>
      <c r="O29" s="624">
        <f t="shared" si="2"/>
        <v>0</v>
      </c>
      <c r="P29" s="624">
        <f t="shared" si="2"/>
        <v>0</v>
      </c>
    </row>
    <row r="30" spans="1:16" s="610" customFormat="1" ht="15.5">
      <c r="A30" s="632"/>
      <c r="B30" s="633"/>
      <c r="C30" s="623"/>
      <c r="D30" s="611"/>
      <c r="E30" s="611"/>
      <c r="F30" s="611"/>
      <c r="G30" s="611"/>
      <c r="H30" s="624"/>
      <c r="I30" s="625"/>
      <c r="J30" s="626"/>
      <c r="K30" s="624"/>
      <c r="L30" s="624">
        <f t="shared" si="2"/>
        <v>0</v>
      </c>
      <c r="M30" s="624">
        <f t="shared" si="2"/>
        <v>0</v>
      </c>
      <c r="N30" s="624">
        <f t="shared" si="2"/>
        <v>0</v>
      </c>
      <c r="O30" s="624">
        <f t="shared" si="2"/>
        <v>0</v>
      </c>
      <c r="P30" s="624">
        <f t="shared" si="2"/>
        <v>0</v>
      </c>
    </row>
    <row r="31" spans="1:16" s="610" customFormat="1" ht="15.5">
      <c r="A31" s="1196" t="s">
        <v>465</v>
      </c>
      <c r="B31" s="1196"/>
      <c r="C31" s="1196"/>
      <c r="D31" s="611"/>
      <c r="E31" s="611"/>
      <c r="F31" s="611"/>
      <c r="G31" s="611"/>
      <c r="H31" s="611"/>
      <c r="I31" s="611"/>
      <c r="J31" s="624"/>
      <c r="K31" s="624"/>
      <c r="L31" s="624">
        <f t="shared" ref="L31:P37" si="3">IF($G31=L$2,$K31,0)</f>
        <v>0</v>
      </c>
      <c r="M31" s="624">
        <f t="shared" si="3"/>
        <v>0</v>
      </c>
      <c r="N31" s="624">
        <f t="shared" si="3"/>
        <v>0</v>
      </c>
      <c r="O31" s="624">
        <f t="shared" si="3"/>
        <v>0</v>
      </c>
      <c r="P31" s="624">
        <f t="shared" si="3"/>
        <v>0</v>
      </c>
    </row>
    <row r="32" spans="1:16" s="610" customFormat="1" ht="15.5">
      <c r="A32" s="637" t="s">
        <v>405</v>
      </c>
      <c r="B32" s="628"/>
      <c r="C32" s="628"/>
      <c r="D32" s="611"/>
      <c r="E32" s="611"/>
      <c r="F32" s="611"/>
      <c r="G32" s="611"/>
      <c r="H32" s="611"/>
      <c r="I32" s="611"/>
      <c r="J32" s="624"/>
      <c r="K32" s="624"/>
      <c r="L32" s="624">
        <f t="shared" si="3"/>
        <v>0</v>
      </c>
      <c r="M32" s="624">
        <f t="shared" si="3"/>
        <v>0</v>
      </c>
      <c r="N32" s="624">
        <f t="shared" si="3"/>
        <v>0</v>
      </c>
      <c r="O32" s="624">
        <f t="shared" si="3"/>
        <v>0</v>
      </c>
      <c r="P32" s="624">
        <f t="shared" si="3"/>
        <v>0</v>
      </c>
    </row>
    <row r="33" spans="1:16" s="610" customFormat="1" ht="15.5">
      <c r="A33" s="637" t="e">
        <f>Detail!#REF!</f>
        <v>#REF!</v>
      </c>
      <c r="B33" s="628"/>
      <c r="C33" s="628"/>
      <c r="D33" s="611"/>
      <c r="E33" s="611"/>
      <c r="F33" s="611"/>
      <c r="G33" s="611"/>
      <c r="H33" s="611"/>
      <c r="I33" s="611"/>
      <c r="J33" s="624"/>
      <c r="K33" s="624"/>
      <c r="L33" s="624"/>
      <c r="M33" s="624"/>
      <c r="N33" s="624"/>
      <c r="O33" s="624"/>
      <c r="P33" s="624"/>
    </row>
    <row r="34" spans="1:16" s="610" customFormat="1" ht="15.5">
      <c r="A34" s="613" t="s">
        <v>478</v>
      </c>
      <c r="B34" s="634"/>
      <c r="C34" s="613"/>
      <c r="D34" s="611"/>
      <c r="E34" s="611"/>
      <c r="F34" s="611"/>
      <c r="G34" s="611"/>
      <c r="H34" s="611"/>
      <c r="I34" s="611"/>
      <c r="J34" s="624"/>
      <c r="K34" s="624"/>
      <c r="L34" s="624">
        <f t="shared" si="3"/>
        <v>0</v>
      </c>
      <c r="M34" s="624">
        <f t="shared" si="3"/>
        <v>0</v>
      </c>
      <c r="N34" s="624">
        <f t="shared" si="3"/>
        <v>0</v>
      </c>
      <c r="O34" s="624">
        <f t="shared" si="3"/>
        <v>0</v>
      </c>
      <c r="P34" s="624">
        <f t="shared" si="3"/>
        <v>0</v>
      </c>
    </row>
    <row r="35" spans="1:16" s="631" customFormat="1" ht="23.25" customHeight="1">
      <c r="A35" s="621" t="e">
        <f>(Detail!#REF!+0.83*2)/3.281</f>
        <v>#REF!</v>
      </c>
      <c r="B35" s="635">
        <f>10/(12*3.281)</f>
        <v>0.25398760540485626</v>
      </c>
      <c r="C35" s="635">
        <f>10/(12*3.281)</f>
        <v>0.25398760540485626</v>
      </c>
      <c r="D35" s="611" t="e">
        <f>Detail!#REF!</f>
        <v>#REF!</v>
      </c>
      <c r="E35" s="611">
        <v>0.05</v>
      </c>
      <c r="F35" s="611" t="s">
        <v>459</v>
      </c>
      <c r="G35" s="611">
        <v>16</v>
      </c>
      <c r="H35" s="624"/>
      <c r="I35" s="625">
        <v>6</v>
      </c>
      <c r="J35" s="626" t="e">
        <f>A35-2*E35+8*G35/1000</f>
        <v>#REF!</v>
      </c>
      <c r="K35" s="624" t="e">
        <f>I35*J35*D35</f>
        <v>#REF!</v>
      </c>
      <c r="L35" s="624">
        <f t="shared" si="3"/>
        <v>0</v>
      </c>
      <c r="M35" s="624">
        <f t="shared" si="3"/>
        <v>0</v>
      </c>
      <c r="N35" s="624">
        <f t="shared" si="3"/>
        <v>0</v>
      </c>
      <c r="O35" s="624" t="e">
        <f t="shared" si="3"/>
        <v>#REF!</v>
      </c>
      <c r="P35" s="624">
        <f t="shared" si="3"/>
        <v>0</v>
      </c>
    </row>
    <row r="36" spans="1:16" s="610" customFormat="1" ht="15.5">
      <c r="A36" s="630"/>
      <c r="B36" s="622"/>
      <c r="C36" s="623"/>
      <c r="D36" s="611" t="e">
        <f>D35</f>
        <v>#REF!</v>
      </c>
      <c r="E36" s="611">
        <v>0.05</v>
      </c>
      <c r="F36" s="611" t="s">
        <v>463</v>
      </c>
      <c r="G36" s="611">
        <v>10</v>
      </c>
      <c r="H36" s="624">
        <f>6/(12*3.281)</f>
        <v>0.15239256324291375</v>
      </c>
      <c r="I36" s="626" t="e">
        <f>ROUND(A35/H36,0)+1</f>
        <v>#REF!</v>
      </c>
      <c r="J36" s="626">
        <f>2*(B35+C35)-8*E35+2*8*G36/1000</f>
        <v>0.77595042161942507</v>
      </c>
      <c r="K36" s="624" t="e">
        <f>I36*J36*D36</f>
        <v>#REF!</v>
      </c>
      <c r="L36" s="624">
        <f t="shared" si="3"/>
        <v>0</v>
      </c>
      <c r="M36" s="624" t="e">
        <f t="shared" si="3"/>
        <v>#REF!</v>
      </c>
      <c r="N36" s="624">
        <f t="shared" si="3"/>
        <v>0</v>
      </c>
      <c r="O36" s="624">
        <f t="shared" si="3"/>
        <v>0</v>
      </c>
      <c r="P36" s="624">
        <f t="shared" si="3"/>
        <v>0</v>
      </c>
    </row>
    <row r="37" spans="1:16" s="610" customFormat="1" ht="15.5">
      <c r="A37" s="628"/>
      <c r="B37" s="636"/>
      <c r="C37" s="628"/>
      <c r="D37" s="611"/>
      <c r="E37" s="611"/>
      <c r="F37" s="611"/>
      <c r="G37" s="611"/>
      <c r="H37" s="611"/>
      <c r="I37" s="626"/>
      <c r="J37" s="624"/>
      <c r="K37" s="624"/>
      <c r="L37" s="624">
        <f t="shared" si="3"/>
        <v>0</v>
      </c>
      <c r="M37" s="624">
        <f t="shared" si="3"/>
        <v>0</v>
      </c>
      <c r="N37" s="624">
        <f t="shared" si="3"/>
        <v>0</v>
      </c>
      <c r="O37" s="624">
        <f t="shared" si="3"/>
        <v>0</v>
      </c>
      <c r="P37" s="624">
        <f t="shared" si="3"/>
        <v>0</v>
      </c>
    </row>
    <row r="38" spans="1:16" s="610" customFormat="1" ht="15.5">
      <c r="A38" s="615" t="e">
        <f>Detail!#REF!</f>
        <v>#REF!</v>
      </c>
      <c r="B38" s="636"/>
      <c r="C38" s="628"/>
      <c r="D38" s="611"/>
      <c r="E38" s="611"/>
      <c r="F38" s="611"/>
      <c r="G38" s="611"/>
      <c r="H38" s="611"/>
      <c r="I38" s="626"/>
      <c r="J38" s="624"/>
      <c r="K38" s="624"/>
      <c r="L38" s="624"/>
      <c r="M38" s="624"/>
      <c r="N38" s="624"/>
      <c r="O38" s="624"/>
      <c r="P38" s="624"/>
    </row>
    <row r="39" spans="1:16" s="610" customFormat="1" ht="15.5">
      <c r="A39" s="613" t="s">
        <v>478</v>
      </c>
      <c r="B39" s="634"/>
      <c r="C39" s="613"/>
      <c r="D39" s="611"/>
      <c r="E39" s="611"/>
      <c r="F39" s="611"/>
      <c r="G39" s="611"/>
      <c r="H39" s="611"/>
      <c r="I39" s="611"/>
      <c r="J39" s="624"/>
      <c r="K39" s="624"/>
      <c r="L39" s="624">
        <f t="shared" ref="L39:P53" si="4">IF($G39=L$2,$K39,0)</f>
        <v>0</v>
      </c>
      <c r="M39" s="624">
        <f t="shared" si="4"/>
        <v>0</v>
      </c>
      <c r="N39" s="624">
        <f t="shared" si="4"/>
        <v>0</v>
      </c>
      <c r="O39" s="624">
        <f t="shared" si="4"/>
        <v>0</v>
      </c>
      <c r="P39" s="624">
        <f t="shared" si="4"/>
        <v>0</v>
      </c>
    </row>
    <row r="40" spans="1:16" s="631" customFormat="1" ht="23.25" customHeight="1">
      <c r="A40" s="621" t="e">
        <f>(Detail!#REF!+0.83*3)/3.281</f>
        <v>#REF!</v>
      </c>
      <c r="B40" s="635">
        <f>10/(12*3.281)</f>
        <v>0.25398760540485626</v>
      </c>
      <c r="C40" s="635">
        <f>10/(12*3.281)</f>
        <v>0.25398760540485626</v>
      </c>
      <c r="D40" s="611" t="e">
        <f>Detail!#REF!</f>
        <v>#REF!</v>
      </c>
      <c r="E40" s="611">
        <v>0.05</v>
      </c>
      <c r="F40" s="611" t="s">
        <v>459</v>
      </c>
      <c r="G40" s="611">
        <v>16</v>
      </c>
      <c r="H40" s="624"/>
      <c r="I40" s="625">
        <v>6</v>
      </c>
      <c r="J40" s="626" t="e">
        <f>A40-2*E40+8*G40/1000</f>
        <v>#REF!</v>
      </c>
      <c r="K40" s="624" t="e">
        <f>I40*J40*D40</f>
        <v>#REF!</v>
      </c>
      <c r="L40" s="624">
        <f t="shared" si="4"/>
        <v>0</v>
      </c>
      <c r="M40" s="624">
        <f t="shared" si="4"/>
        <v>0</v>
      </c>
      <c r="N40" s="624">
        <f t="shared" si="4"/>
        <v>0</v>
      </c>
      <c r="O40" s="624" t="e">
        <f t="shared" si="4"/>
        <v>#REF!</v>
      </c>
      <c r="P40" s="624">
        <f t="shared" si="4"/>
        <v>0</v>
      </c>
    </row>
    <row r="41" spans="1:16" s="610" customFormat="1" ht="15.5">
      <c r="A41" s="630"/>
      <c r="B41" s="622"/>
      <c r="C41" s="623"/>
      <c r="D41" s="611" t="e">
        <f>D40</f>
        <v>#REF!</v>
      </c>
      <c r="E41" s="611">
        <v>0.05</v>
      </c>
      <c r="F41" s="611" t="s">
        <v>463</v>
      </c>
      <c r="G41" s="611">
        <v>10</v>
      </c>
      <c r="H41" s="624">
        <f>6/(12*3.281)</f>
        <v>0.15239256324291375</v>
      </c>
      <c r="I41" s="626" t="e">
        <f>ROUND(A40/H41,0)+1</f>
        <v>#REF!</v>
      </c>
      <c r="J41" s="626">
        <f>2*(B40+C40)-8*E40+2*8*G41/1000</f>
        <v>0.77595042161942507</v>
      </c>
      <c r="K41" s="624" t="e">
        <f>I41*J41*D41</f>
        <v>#REF!</v>
      </c>
      <c r="L41" s="624">
        <f t="shared" si="4"/>
        <v>0</v>
      </c>
      <c r="M41" s="624" t="e">
        <f t="shared" si="4"/>
        <v>#REF!</v>
      </c>
      <c r="N41" s="624">
        <f t="shared" si="4"/>
        <v>0</v>
      </c>
      <c r="O41" s="624">
        <f t="shared" si="4"/>
        <v>0</v>
      </c>
      <c r="P41" s="624">
        <f t="shared" si="4"/>
        <v>0</v>
      </c>
    </row>
    <row r="42" spans="1:16" s="610" customFormat="1" ht="15.5">
      <c r="A42" s="628"/>
      <c r="B42" s="636"/>
      <c r="C42" s="628"/>
      <c r="D42" s="611"/>
      <c r="E42" s="611"/>
      <c r="F42" s="611"/>
      <c r="G42" s="611"/>
      <c r="H42" s="611"/>
      <c r="I42" s="626"/>
      <c r="J42" s="624"/>
      <c r="K42" s="624"/>
      <c r="L42" s="624">
        <f t="shared" si="4"/>
        <v>0</v>
      </c>
      <c r="M42" s="624">
        <f t="shared" si="4"/>
        <v>0</v>
      </c>
      <c r="N42" s="624">
        <f t="shared" si="4"/>
        <v>0</v>
      </c>
      <c r="O42" s="624">
        <f t="shared" si="4"/>
        <v>0</v>
      </c>
      <c r="P42" s="624">
        <f t="shared" si="4"/>
        <v>0</v>
      </c>
    </row>
    <row r="43" spans="1:16" s="610" customFormat="1" ht="15.5">
      <c r="A43" s="637" t="s">
        <v>406</v>
      </c>
      <c r="B43" s="628"/>
      <c r="C43" s="628"/>
      <c r="D43" s="611"/>
      <c r="E43" s="611"/>
      <c r="F43" s="611"/>
      <c r="G43" s="611"/>
      <c r="H43" s="611"/>
      <c r="I43" s="611"/>
      <c r="J43" s="624"/>
      <c r="K43" s="624"/>
      <c r="L43" s="624">
        <f t="shared" si="4"/>
        <v>0</v>
      </c>
      <c r="M43" s="624">
        <f t="shared" si="4"/>
        <v>0</v>
      </c>
      <c r="N43" s="624">
        <f t="shared" si="4"/>
        <v>0</v>
      </c>
      <c r="O43" s="624">
        <f t="shared" si="4"/>
        <v>0</v>
      </c>
      <c r="P43" s="624">
        <f t="shared" si="4"/>
        <v>0</v>
      </c>
    </row>
    <row r="44" spans="1:16" s="610" customFormat="1" ht="15.5">
      <c r="A44" s="637" t="e">
        <f>Detail!#REF!</f>
        <v>#REF!</v>
      </c>
      <c r="B44" s="628"/>
      <c r="C44" s="628"/>
      <c r="D44" s="611"/>
      <c r="E44" s="611"/>
      <c r="F44" s="611"/>
      <c r="G44" s="611"/>
      <c r="H44" s="611"/>
      <c r="I44" s="611"/>
      <c r="J44" s="624"/>
      <c r="K44" s="624"/>
      <c r="L44" s="624"/>
      <c r="M44" s="624"/>
      <c r="N44" s="624"/>
      <c r="O44" s="624"/>
      <c r="P44" s="624"/>
    </row>
    <row r="45" spans="1:16" s="610" customFormat="1" ht="15.5">
      <c r="A45" s="637" t="e">
        <f>Detail!#REF!</f>
        <v>#REF!</v>
      </c>
      <c r="B45" s="628"/>
      <c r="C45" s="628"/>
      <c r="D45" s="611"/>
      <c r="E45" s="611"/>
      <c r="F45" s="611"/>
      <c r="G45" s="611"/>
      <c r="H45" s="611"/>
      <c r="I45" s="611"/>
      <c r="J45" s="624"/>
      <c r="K45" s="624"/>
      <c r="L45" s="624"/>
      <c r="M45" s="624"/>
      <c r="N45" s="624"/>
      <c r="O45" s="624"/>
      <c r="P45" s="624"/>
    </row>
    <row r="46" spans="1:16" s="610" customFormat="1" ht="15.5">
      <c r="A46" s="613" t="s">
        <v>479</v>
      </c>
      <c r="B46" s="634"/>
      <c r="C46" s="613"/>
      <c r="D46" s="611"/>
      <c r="E46" s="611"/>
      <c r="F46" s="611"/>
      <c r="G46" s="611"/>
      <c r="H46" s="611"/>
      <c r="I46" s="611"/>
      <c r="J46" s="624"/>
      <c r="K46" s="624"/>
      <c r="L46" s="624">
        <f t="shared" si="4"/>
        <v>0</v>
      </c>
      <c r="M46" s="624">
        <f t="shared" si="4"/>
        <v>0</v>
      </c>
      <c r="N46" s="624">
        <f t="shared" si="4"/>
        <v>0</v>
      </c>
      <c r="O46" s="624">
        <f t="shared" si="4"/>
        <v>0</v>
      </c>
      <c r="P46" s="624">
        <f t="shared" si="4"/>
        <v>0</v>
      </c>
    </row>
    <row r="47" spans="1:16" s="631" customFormat="1" ht="23.25" customHeight="1">
      <c r="A47" s="621" t="e">
        <f>(Detail!#REF!+0.83)/3.281</f>
        <v>#REF!</v>
      </c>
      <c r="B47" s="635">
        <f>10/(12*3.281)</f>
        <v>0.25398760540485626</v>
      </c>
      <c r="C47" s="635">
        <f>10/(12*3.281)</f>
        <v>0.25398760540485626</v>
      </c>
      <c r="D47" s="611" t="e">
        <f>Detail!#REF!</f>
        <v>#REF!</v>
      </c>
      <c r="E47" s="611">
        <v>0.05</v>
      </c>
      <c r="F47" s="611" t="s">
        <v>459</v>
      </c>
      <c r="G47" s="611">
        <v>16</v>
      </c>
      <c r="H47" s="624"/>
      <c r="I47" s="625">
        <v>6</v>
      </c>
      <c r="J47" s="626" t="e">
        <f>A47-2*E47+8*G47/1000</f>
        <v>#REF!</v>
      </c>
      <c r="K47" s="624" t="e">
        <f>I47*J47*D47</f>
        <v>#REF!</v>
      </c>
      <c r="L47" s="624">
        <f t="shared" si="4"/>
        <v>0</v>
      </c>
      <c r="M47" s="624">
        <f t="shared" si="4"/>
        <v>0</v>
      </c>
      <c r="N47" s="624">
        <f t="shared" si="4"/>
        <v>0</v>
      </c>
      <c r="O47" s="624" t="e">
        <f t="shared" si="4"/>
        <v>#REF!</v>
      </c>
      <c r="P47" s="624">
        <f t="shared" si="4"/>
        <v>0</v>
      </c>
    </row>
    <row r="48" spans="1:16" s="610" customFormat="1" ht="15.5">
      <c r="A48" s="630"/>
      <c r="B48" s="622"/>
      <c r="C48" s="623"/>
      <c r="D48" s="611" t="e">
        <f>Detail!#REF!</f>
        <v>#REF!</v>
      </c>
      <c r="E48" s="611">
        <v>0.05</v>
      </c>
      <c r="F48" s="611" t="s">
        <v>463</v>
      </c>
      <c r="G48" s="611">
        <v>10</v>
      </c>
      <c r="H48" s="624">
        <f>6/(12*3.281)</f>
        <v>0.15239256324291375</v>
      </c>
      <c r="I48" s="626" t="e">
        <f>ROUND(A47/H48,0)+1</f>
        <v>#REF!</v>
      </c>
      <c r="J48" s="626">
        <f>2*(B47+C47)-8*E47+2*8*G48/1000</f>
        <v>0.77595042161942507</v>
      </c>
      <c r="K48" s="624" t="e">
        <f>I48*J48*D48</f>
        <v>#REF!</v>
      </c>
      <c r="L48" s="624">
        <f t="shared" si="4"/>
        <v>0</v>
      </c>
      <c r="M48" s="624" t="e">
        <f t="shared" si="4"/>
        <v>#REF!</v>
      </c>
      <c r="N48" s="624">
        <f t="shared" si="4"/>
        <v>0</v>
      </c>
      <c r="O48" s="624">
        <f t="shared" si="4"/>
        <v>0</v>
      </c>
      <c r="P48" s="624">
        <f t="shared" si="4"/>
        <v>0</v>
      </c>
    </row>
    <row r="49" spans="1:16" s="610" customFormat="1" ht="15.5">
      <c r="A49" s="613" t="e">
        <f>Detail!#REF!</f>
        <v>#REF!</v>
      </c>
      <c r="B49" s="636"/>
      <c r="C49" s="628"/>
      <c r="D49" s="611"/>
      <c r="E49" s="611"/>
      <c r="F49" s="611"/>
      <c r="G49" s="611"/>
      <c r="H49" s="611"/>
      <c r="I49" s="626"/>
      <c r="J49" s="624"/>
      <c r="K49" s="624"/>
      <c r="L49" s="624">
        <f t="shared" si="4"/>
        <v>0</v>
      </c>
      <c r="M49" s="624">
        <f t="shared" si="4"/>
        <v>0</v>
      </c>
      <c r="N49" s="624">
        <f t="shared" si="4"/>
        <v>0</v>
      </c>
      <c r="O49" s="624">
        <f t="shared" si="4"/>
        <v>0</v>
      </c>
      <c r="P49" s="624">
        <f t="shared" si="4"/>
        <v>0</v>
      </c>
    </row>
    <row r="50" spans="1:16" s="610" customFormat="1" ht="15.5">
      <c r="A50" s="613" t="s">
        <v>479</v>
      </c>
      <c r="B50" s="634"/>
      <c r="C50" s="613"/>
      <c r="D50" s="611"/>
      <c r="E50" s="611"/>
      <c r="F50" s="611"/>
      <c r="G50" s="611"/>
      <c r="H50" s="611"/>
      <c r="I50" s="611"/>
      <c r="J50" s="624"/>
      <c r="K50" s="624"/>
      <c r="L50" s="624">
        <f t="shared" si="4"/>
        <v>0</v>
      </c>
      <c r="M50" s="624">
        <f t="shared" si="4"/>
        <v>0</v>
      </c>
      <c r="N50" s="624">
        <f t="shared" si="4"/>
        <v>0</v>
      </c>
      <c r="O50" s="624">
        <f t="shared" si="4"/>
        <v>0</v>
      </c>
      <c r="P50" s="624">
        <f t="shared" si="4"/>
        <v>0</v>
      </c>
    </row>
    <row r="51" spans="1:16" s="631" customFormat="1" ht="23.25" customHeight="1">
      <c r="A51" s="621" t="e">
        <f>(Detail!#REF!+0.42)/3.281</f>
        <v>#REF!</v>
      </c>
      <c r="B51" s="635">
        <f>10/(12*3.281)</f>
        <v>0.25398760540485626</v>
      </c>
      <c r="C51" s="635">
        <f>10/(12*3.281)</f>
        <v>0.25398760540485626</v>
      </c>
      <c r="D51" s="611" t="e">
        <f>Detail!#REF!</f>
        <v>#REF!</v>
      </c>
      <c r="E51" s="611">
        <v>0.05</v>
      </c>
      <c r="F51" s="611" t="s">
        <v>459</v>
      </c>
      <c r="G51" s="611">
        <v>16</v>
      </c>
      <c r="H51" s="624"/>
      <c r="I51" s="625">
        <v>6</v>
      </c>
      <c r="J51" s="626" t="e">
        <f>A51-2*E51+8*G51/1000</f>
        <v>#REF!</v>
      </c>
      <c r="K51" s="624" t="e">
        <f>I51*J51*D51</f>
        <v>#REF!</v>
      </c>
      <c r="L51" s="624">
        <f t="shared" si="4"/>
        <v>0</v>
      </c>
      <c r="M51" s="624">
        <f t="shared" si="4"/>
        <v>0</v>
      </c>
      <c r="N51" s="624">
        <f t="shared" si="4"/>
        <v>0</v>
      </c>
      <c r="O51" s="624" t="e">
        <f t="shared" si="4"/>
        <v>#REF!</v>
      </c>
      <c r="P51" s="624">
        <f t="shared" si="4"/>
        <v>0</v>
      </c>
    </row>
    <row r="52" spans="1:16" s="610" customFormat="1" ht="15.5">
      <c r="A52" s="630"/>
      <c r="B52" s="622"/>
      <c r="C52" s="623"/>
      <c r="D52" s="611" t="e">
        <f>D51</f>
        <v>#REF!</v>
      </c>
      <c r="E52" s="611">
        <v>0.05</v>
      </c>
      <c r="F52" s="611" t="s">
        <v>463</v>
      </c>
      <c r="G52" s="611">
        <v>10</v>
      </c>
      <c r="H52" s="624">
        <f>6/(12*3.281)</f>
        <v>0.15239256324291375</v>
      </c>
      <c r="I52" s="626" t="e">
        <f>ROUND(A51/H52,0)+1</f>
        <v>#REF!</v>
      </c>
      <c r="J52" s="626">
        <f>2*(B51+C51)-8*E51+2*8*G52/1000</f>
        <v>0.77595042161942507</v>
      </c>
      <c r="K52" s="624" t="e">
        <f>I52*J52*D52</f>
        <v>#REF!</v>
      </c>
      <c r="L52" s="624">
        <f t="shared" si="4"/>
        <v>0</v>
      </c>
      <c r="M52" s="624" t="e">
        <f t="shared" si="4"/>
        <v>#REF!</v>
      </c>
      <c r="N52" s="624">
        <f t="shared" si="4"/>
        <v>0</v>
      </c>
      <c r="O52" s="624">
        <f t="shared" si="4"/>
        <v>0</v>
      </c>
      <c r="P52" s="624">
        <f t="shared" si="4"/>
        <v>0</v>
      </c>
    </row>
    <row r="53" spans="1:16" s="610" customFormat="1" ht="15.5">
      <c r="A53" s="628"/>
      <c r="B53" s="636"/>
      <c r="C53" s="628"/>
      <c r="D53" s="611"/>
      <c r="E53" s="611"/>
      <c r="F53" s="611"/>
      <c r="G53" s="611"/>
      <c r="H53" s="611"/>
      <c r="I53" s="626"/>
      <c r="J53" s="624"/>
      <c r="K53" s="624"/>
      <c r="L53" s="624">
        <f t="shared" si="4"/>
        <v>0</v>
      </c>
      <c r="M53" s="624">
        <f t="shared" si="4"/>
        <v>0</v>
      </c>
      <c r="N53" s="624">
        <f t="shared" si="4"/>
        <v>0</v>
      </c>
      <c r="O53" s="624">
        <f t="shared" si="4"/>
        <v>0</v>
      </c>
      <c r="P53" s="624">
        <f t="shared" si="4"/>
        <v>0</v>
      </c>
    </row>
    <row r="54" spans="1:16" s="610" customFormat="1" ht="15.5">
      <c r="A54" s="637" t="e">
        <f>Detail!#REF!</f>
        <v>#REF!</v>
      </c>
      <c r="B54" s="628"/>
      <c r="C54" s="628"/>
      <c r="D54" s="611"/>
      <c r="E54" s="611"/>
      <c r="F54" s="611"/>
      <c r="G54" s="611"/>
      <c r="H54" s="611"/>
      <c r="I54" s="611"/>
      <c r="J54" s="624"/>
      <c r="K54" s="624"/>
      <c r="L54" s="624"/>
      <c r="M54" s="624"/>
      <c r="N54" s="624"/>
      <c r="O54" s="624"/>
      <c r="P54" s="624"/>
    </row>
    <row r="55" spans="1:16" s="610" customFormat="1" ht="15.5">
      <c r="A55" s="637" t="e">
        <f>Detail!#REF!</f>
        <v>#REF!</v>
      </c>
      <c r="B55" s="628"/>
      <c r="C55" s="628"/>
      <c r="D55" s="611"/>
      <c r="E55" s="611"/>
      <c r="F55" s="611"/>
      <c r="G55" s="611"/>
      <c r="H55" s="611"/>
      <c r="I55" s="611"/>
      <c r="J55" s="624"/>
      <c r="K55" s="624"/>
      <c r="L55" s="624"/>
      <c r="M55" s="624"/>
      <c r="N55" s="624"/>
      <c r="O55" s="624"/>
      <c r="P55" s="624"/>
    </row>
    <row r="56" spans="1:16" s="610" customFormat="1" ht="15.5">
      <c r="A56" s="613" t="s">
        <v>479</v>
      </c>
      <c r="B56" s="634"/>
      <c r="C56" s="613"/>
      <c r="D56" s="611"/>
      <c r="E56" s="611"/>
      <c r="F56" s="611"/>
      <c r="G56" s="611"/>
      <c r="H56" s="611"/>
      <c r="I56" s="611"/>
      <c r="J56" s="624"/>
      <c r="K56" s="624"/>
      <c r="L56" s="624">
        <f t="shared" ref="L56:P63" si="5">IF($G56=L$2,$K56,0)</f>
        <v>0</v>
      </c>
      <c r="M56" s="624">
        <f t="shared" si="5"/>
        <v>0</v>
      </c>
      <c r="N56" s="624">
        <f t="shared" si="5"/>
        <v>0</v>
      </c>
      <c r="O56" s="624">
        <f t="shared" si="5"/>
        <v>0</v>
      </c>
      <c r="P56" s="624">
        <f t="shared" si="5"/>
        <v>0</v>
      </c>
    </row>
    <row r="57" spans="1:16" s="631" customFormat="1" ht="23.25" customHeight="1">
      <c r="A57" s="621" t="e">
        <f>(Detail!#REF!+0.83*2)/3.281</f>
        <v>#REF!</v>
      </c>
      <c r="B57" s="635">
        <f>10/(12*3.281)</f>
        <v>0.25398760540485626</v>
      </c>
      <c r="C57" s="635">
        <f>10/(12*3.281)</f>
        <v>0.25398760540485626</v>
      </c>
      <c r="D57" s="611" t="e">
        <f>Detail!#REF!</f>
        <v>#REF!</v>
      </c>
      <c r="E57" s="611">
        <v>0.05</v>
      </c>
      <c r="F57" s="611" t="s">
        <v>459</v>
      </c>
      <c r="G57" s="611">
        <v>16</v>
      </c>
      <c r="H57" s="624"/>
      <c r="I57" s="625">
        <v>6</v>
      </c>
      <c r="J57" s="626" t="e">
        <f>A57-2*E57+8*G57/1000</f>
        <v>#REF!</v>
      </c>
      <c r="K57" s="624" t="e">
        <f>I57*J57*D57</f>
        <v>#REF!</v>
      </c>
      <c r="L57" s="624">
        <f t="shared" si="5"/>
        <v>0</v>
      </c>
      <c r="M57" s="624">
        <f t="shared" si="5"/>
        <v>0</v>
      </c>
      <c r="N57" s="624">
        <f t="shared" si="5"/>
        <v>0</v>
      </c>
      <c r="O57" s="624" t="e">
        <f t="shared" si="5"/>
        <v>#REF!</v>
      </c>
      <c r="P57" s="624">
        <f t="shared" si="5"/>
        <v>0</v>
      </c>
    </row>
    <row r="58" spans="1:16" s="610" customFormat="1" ht="15.5">
      <c r="A58" s="630"/>
      <c r="B58" s="622"/>
      <c r="C58" s="623"/>
      <c r="D58" s="611" t="e">
        <f>D57</f>
        <v>#REF!</v>
      </c>
      <c r="E58" s="611">
        <v>0.05</v>
      </c>
      <c r="F58" s="611" t="s">
        <v>463</v>
      </c>
      <c r="G58" s="611">
        <v>10</v>
      </c>
      <c r="H58" s="624">
        <f>6/(12*3.281)</f>
        <v>0.15239256324291375</v>
      </c>
      <c r="I58" s="626" t="e">
        <f>ROUND(A57/H58,0)+1</f>
        <v>#REF!</v>
      </c>
      <c r="J58" s="626">
        <f>2*(B57+C57)-8*E57+2*8*G58/1000</f>
        <v>0.77595042161942507</v>
      </c>
      <c r="K58" s="624" t="e">
        <f>I58*J58*D58</f>
        <v>#REF!</v>
      </c>
      <c r="L58" s="624">
        <f t="shared" si="5"/>
        <v>0</v>
      </c>
      <c r="M58" s="624" t="e">
        <f t="shared" si="5"/>
        <v>#REF!</v>
      </c>
      <c r="N58" s="624">
        <f t="shared" si="5"/>
        <v>0</v>
      </c>
      <c r="O58" s="624">
        <f t="shared" si="5"/>
        <v>0</v>
      </c>
      <c r="P58" s="624">
        <f t="shared" si="5"/>
        <v>0</v>
      </c>
    </row>
    <row r="59" spans="1:16" s="610" customFormat="1" ht="15.5">
      <c r="A59" s="613" t="e">
        <f>Detail!#REF!</f>
        <v>#REF!</v>
      </c>
      <c r="B59" s="636"/>
      <c r="C59" s="628"/>
      <c r="D59" s="611"/>
      <c r="E59" s="611"/>
      <c r="F59" s="611"/>
      <c r="G59" s="611"/>
      <c r="H59" s="611"/>
      <c r="I59" s="626"/>
      <c r="J59" s="624"/>
      <c r="K59" s="624"/>
      <c r="L59" s="624">
        <f t="shared" si="5"/>
        <v>0</v>
      </c>
      <c r="M59" s="624">
        <f t="shared" si="5"/>
        <v>0</v>
      </c>
      <c r="N59" s="624">
        <f t="shared" si="5"/>
        <v>0</v>
      </c>
      <c r="O59" s="624">
        <f t="shared" si="5"/>
        <v>0</v>
      </c>
      <c r="P59" s="624">
        <f t="shared" si="5"/>
        <v>0</v>
      </c>
    </row>
    <row r="60" spans="1:16" s="610" customFormat="1" ht="15.5">
      <c r="A60" s="613" t="s">
        <v>479</v>
      </c>
      <c r="B60" s="634"/>
      <c r="C60" s="613"/>
      <c r="D60" s="611"/>
      <c r="E60" s="611"/>
      <c r="F60" s="611"/>
      <c r="G60" s="611"/>
      <c r="H60" s="611"/>
      <c r="I60" s="611"/>
      <c r="J60" s="624"/>
      <c r="K60" s="624"/>
      <c r="L60" s="624">
        <f t="shared" si="5"/>
        <v>0</v>
      </c>
      <c r="M60" s="624">
        <f t="shared" si="5"/>
        <v>0</v>
      </c>
      <c r="N60" s="624">
        <f t="shared" si="5"/>
        <v>0</v>
      </c>
      <c r="O60" s="624">
        <f t="shared" si="5"/>
        <v>0</v>
      </c>
      <c r="P60" s="624">
        <f t="shared" si="5"/>
        <v>0</v>
      </c>
    </row>
    <row r="61" spans="1:16" s="631" customFormat="1" ht="23.25" customHeight="1">
      <c r="A61" s="621" t="e">
        <f>(Detail!#REF!+0.83*3)/3.281</f>
        <v>#REF!</v>
      </c>
      <c r="B61" s="635">
        <f>10/(12*3.281)</f>
        <v>0.25398760540485626</v>
      </c>
      <c r="C61" s="635">
        <f>10/(12*3.281)</f>
        <v>0.25398760540485626</v>
      </c>
      <c r="D61" s="611" t="e">
        <f>Detail!#REF!</f>
        <v>#REF!</v>
      </c>
      <c r="E61" s="611">
        <v>0.05</v>
      </c>
      <c r="F61" s="611" t="s">
        <v>459</v>
      </c>
      <c r="G61" s="611">
        <v>16</v>
      </c>
      <c r="H61" s="624"/>
      <c r="I61" s="625">
        <v>6</v>
      </c>
      <c r="J61" s="626" t="e">
        <f>A61-2*E61+8*G61/1000</f>
        <v>#REF!</v>
      </c>
      <c r="K61" s="624" t="e">
        <f>I61*J61*D61</f>
        <v>#REF!</v>
      </c>
      <c r="L61" s="624">
        <f t="shared" si="5"/>
        <v>0</v>
      </c>
      <c r="M61" s="624">
        <f t="shared" si="5"/>
        <v>0</v>
      </c>
      <c r="N61" s="624">
        <f t="shared" si="5"/>
        <v>0</v>
      </c>
      <c r="O61" s="624" t="e">
        <f t="shared" si="5"/>
        <v>#REF!</v>
      </c>
      <c r="P61" s="624">
        <f t="shared" si="5"/>
        <v>0</v>
      </c>
    </row>
    <row r="62" spans="1:16" s="610" customFormat="1" ht="15.5">
      <c r="A62" s="630"/>
      <c r="B62" s="622"/>
      <c r="C62" s="623"/>
      <c r="D62" s="611" t="e">
        <f>D61</f>
        <v>#REF!</v>
      </c>
      <c r="E62" s="611">
        <v>0.05</v>
      </c>
      <c r="F62" s="611" t="s">
        <v>463</v>
      </c>
      <c r="G62" s="611">
        <v>10</v>
      </c>
      <c r="H62" s="624">
        <f>6/(12*3.281)</f>
        <v>0.15239256324291375</v>
      </c>
      <c r="I62" s="626" t="e">
        <f>ROUND(A61/H62,0)+1</f>
        <v>#REF!</v>
      </c>
      <c r="J62" s="626">
        <f>2*(B61+C61)-8*E61+2*8*G62/1000</f>
        <v>0.77595042161942507</v>
      </c>
      <c r="K62" s="624" t="e">
        <f>I62*J62*D62</f>
        <v>#REF!</v>
      </c>
      <c r="L62" s="624">
        <f t="shared" si="5"/>
        <v>0</v>
      </c>
      <c r="M62" s="624" t="e">
        <f t="shared" si="5"/>
        <v>#REF!</v>
      </c>
      <c r="N62" s="624">
        <f t="shared" si="5"/>
        <v>0</v>
      </c>
      <c r="O62" s="624">
        <f t="shared" si="5"/>
        <v>0</v>
      </c>
      <c r="P62" s="624">
        <f t="shared" si="5"/>
        <v>0</v>
      </c>
    </row>
    <row r="63" spans="1:16" s="610" customFormat="1" ht="15.5">
      <c r="A63" s="628"/>
      <c r="B63" s="636"/>
      <c r="C63" s="628"/>
      <c r="D63" s="611"/>
      <c r="E63" s="611"/>
      <c r="F63" s="611"/>
      <c r="G63" s="611"/>
      <c r="H63" s="611"/>
      <c r="I63" s="626"/>
      <c r="J63" s="624"/>
      <c r="K63" s="624"/>
      <c r="L63" s="624">
        <f t="shared" si="5"/>
        <v>0</v>
      </c>
      <c r="M63" s="624">
        <f t="shared" si="5"/>
        <v>0</v>
      </c>
      <c r="N63" s="624">
        <f t="shared" si="5"/>
        <v>0</v>
      </c>
      <c r="O63" s="624">
        <f t="shared" si="5"/>
        <v>0</v>
      </c>
      <c r="P63" s="624">
        <f t="shared" si="5"/>
        <v>0</v>
      </c>
    </row>
    <row r="64" spans="1:16" ht="15.5">
      <c r="A64" s="1196" t="s">
        <v>108</v>
      </c>
      <c r="B64" s="1196"/>
      <c r="C64" s="1196"/>
      <c r="D64" s="615"/>
      <c r="E64" s="615"/>
      <c r="K64" s="619"/>
      <c r="L64" s="624">
        <f t="shared" ref="L64:P69" si="6">IF($G64=L$2,$K64,0)</f>
        <v>0</v>
      </c>
      <c r="M64" s="624">
        <f t="shared" si="6"/>
        <v>0</v>
      </c>
      <c r="N64" s="624">
        <f t="shared" si="6"/>
        <v>0</v>
      </c>
      <c r="O64" s="624">
        <f t="shared" si="6"/>
        <v>0</v>
      </c>
      <c r="P64" s="624">
        <f t="shared" si="6"/>
        <v>0</v>
      </c>
    </row>
    <row r="65" spans="1:16" s="610" customFormat="1" ht="15.5">
      <c r="A65" s="1197" t="s">
        <v>480</v>
      </c>
      <c r="B65" s="1197"/>
      <c r="C65" s="623"/>
      <c r="D65" s="623"/>
      <c r="E65" s="611"/>
      <c r="F65" s="611"/>
      <c r="G65" s="611"/>
      <c r="H65" s="624"/>
      <c r="I65" s="625"/>
      <c r="J65" s="611"/>
      <c r="K65" s="624"/>
      <c r="L65" s="624">
        <f t="shared" si="6"/>
        <v>0</v>
      </c>
      <c r="M65" s="624">
        <f t="shared" si="6"/>
        <v>0</v>
      </c>
      <c r="N65" s="624">
        <f t="shared" si="6"/>
        <v>0</v>
      </c>
      <c r="O65" s="624">
        <f t="shared" si="6"/>
        <v>0</v>
      </c>
      <c r="P65" s="624">
        <f t="shared" si="6"/>
        <v>0</v>
      </c>
    </row>
    <row r="66" spans="1:16" s="610" customFormat="1" ht="15.5">
      <c r="A66" s="628" t="s">
        <v>481</v>
      </c>
      <c r="B66" s="622"/>
      <c r="C66" s="623"/>
      <c r="D66" s="623"/>
      <c r="E66" s="611"/>
      <c r="F66" s="611"/>
      <c r="G66" s="611"/>
      <c r="H66" s="624"/>
      <c r="I66" s="625"/>
      <c r="J66" s="626"/>
      <c r="K66" s="624"/>
      <c r="L66" s="624">
        <f t="shared" si="6"/>
        <v>0</v>
      </c>
      <c r="M66" s="624">
        <f t="shared" si="6"/>
        <v>0</v>
      </c>
      <c r="N66" s="624">
        <f t="shared" si="6"/>
        <v>0</v>
      </c>
      <c r="O66" s="624">
        <f t="shared" si="6"/>
        <v>0</v>
      </c>
      <c r="P66" s="624">
        <f t="shared" si="6"/>
        <v>0</v>
      </c>
    </row>
    <row r="67" spans="1:16" s="610" customFormat="1" ht="15.5">
      <c r="A67" s="638" t="e">
        <f>(Detail!#REF!+0.83)/3.281</f>
        <v>#REF!</v>
      </c>
      <c r="B67" s="622"/>
      <c r="C67" s="623"/>
      <c r="D67" s="623" t="e">
        <f>Detail!#REF!</f>
        <v>#REF!</v>
      </c>
      <c r="E67" s="611">
        <v>0.05</v>
      </c>
      <c r="F67" s="611" t="s">
        <v>459</v>
      </c>
      <c r="G67" s="611">
        <v>10</v>
      </c>
      <c r="H67" s="624">
        <f>(6)/(12*3.281)</f>
        <v>0.15239256324291375</v>
      </c>
      <c r="I67" s="625" t="e">
        <f>ROUND(A68/H67,0)+1</f>
        <v>#REF!</v>
      </c>
      <c r="J67" s="626" t="e">
        <f>A67-2*E67+2*8*G67/1000</f>
        <v>#REF!</v>
      </c>
      <c r="K67" s="624" t="e">
        <f>I67*J67*D67</f>
        <v>#REF!</v>
      </c>
      <c r="L67" s="624">
        <f t="shared" si="6"/>
        <v>0</v>
      </c>
      <c r="M67" s="624" t="e">
        <f t="shared" si="6"/>
        <v>#REF!</v>
      </c>
      <c r="N67" s="624">
        <f t="shared" si="6"/>
        <v>0</v>
      </c>
      <c r="O67" s="624">
        <f t="shared" si="6"/>
        <v>0</v>
      </c>
      <c r="P67" s="624">
        <f t="shared" si="6"/>
        <v>0</v>
      </c>
    </row>
    <row r="68" spans="1:16" s="610" customFormat="1" ht="15.5">
      <c r="A68" s="638" t="e">
        <f>(Detail!#REF!+0.83)/3.281</f>
        <v>#REF!</v>
      </c>
      <c r="B68" s="622"/>
      <c r="C68" s="623"/>
      <c r="D68" s="623" t="e">
        <f>D67</f>
        <v>#REF!</v>
      </c>
      <c r="E68" s="611">
        <v>0.05</v>
      </c>
      <c r="F68" s="611" t="s">
        <v>459</v>
      </c>
      <c r="G68" s="611">
        <v>10</v>
      </c>
      <c r="H68" s="624">
        <f>(6)/(12*3.281)</f>
        <v>0.15239256324291375</v>
      </c>
      <c r="I68" s="625" t="e">
        <f>ROUND(A67/H68,0)+1</f>
        <v>#REF!</v>
      </c>
      <c r="J68" s="626" t="e">
        <f>A68-2*E68+2*8*G68/1000</f>
        <v>#REF!</v>
      </c>
      <c r="K68" s="624" t="e">
        <f>I68*J68*D68</f>
        <v>#REF!</v>
      </c>
      <c r="L68" s="624">
        <f t="shared" si="6"/>
        <v>0</v>
      </c>
      <c r="M68" s="624" t="e">
        <f t="shared" si="6"/>
        <v>#REF!</v>
      </c>
      <c r="N68" s="624">
        <f t="shared" si="6"/>
        <v>0</v>
      </c>
      <c r="O68" s="624">
        <f t="shared" si="6"/>
        <v>0</v>
      </c>
      <c r="P68" s="624">
        <f t="shared" si="6"/>
        <v>0</v>
      </c>
    </row>
    <row r="69" spans="1:16" s="610" customFormat="1" ht="15.5">
      <c r="A69" s="627"/>
      <c r="B69" s="622"/>
      <c r="C69" s="623"/>
      <c r="D69" s="623"/>
      <c r="E69" s="611"/>
      <c r="F69" s="611"/>
      <c r="G69" s="611"/>
      <c r="H69" s="624"/>
      <c r="I69" s="625"/>
      <c r="J69" s="626"/>
      <c r="K69" s="624"/>
      <c r="L69" s="624">
        <f t="shared" si="6"/>
        <v>0</v>
      </c>
      <c r="M69" s="624">
        <f t="shared" si="6"/>
        <v>0</v>
      </c>
      <c r="N69" s="624">
        <f t="shared" si="6"/>
        <v>0</v>
      </c>
      <c r="O69" s="624">
        <f t="shared" si="6"/>
        <v>0</v>
      </c>
      <c r="P69" s="624">
        <f t="shared" si="6"/>
        <v>0</v>
      </c>
    </row>
    <row r="70" spans="1:16" s="610" customFormat="1" ht="15.5">
      <c r="A70" s="619"/>
      <c r="B70" s="639"/>
      <c r="C70" s="623"/>
      <c r="D70" s="623"/>
      <c r="E70" s="611"/>
      <c r="F70" s="611"/>
      <c r="G70" s="611"/>
      <c r="H70" s="612"/>
      <c r="I70" s="625"/>
      <c r="J70" s="626"/>
      <c r="K70" s="612"/>
      <c r="L70" s="624">
        <f>IF($G70=L$2,$K70,0)</f>
        <v>0</v>
      </c>
      <c r="M70" s="624">
        <f>IF($G70=M$2,$K70,0)</f>
        <v>0</v>
      </c>
      <c r="N70" s="624">
        <f>IF($G70=N$2,$K70,0)</f>
        <v>0</v>
      </c>
      <c r="O70" s="624">
        <f>IF($G70=O$2,$K70,0)</f>
        <v>0</v>
      </c>
      <c r="P70" s="624">
        <f>IF($G70=P$2,$K70,0)</f>
        <v>0</v>
      </c>
    </row>
    <row r="71" spans="1:16" ht="18.5">
      <c r="A71" s="1198" t="s">
        <v>266</v>
      </c>
      <c r="B71" s="1198"/>
      <c r="C71" s="1198"/>
      <c r="D71" s="1198"/>
      <c r="E71" s="1198"/>
      <c r="K71" s="640" t="s">
        <v>466</v>
      </c>
      <c r="L71" s="640">
        <f>SUM(L3:L70)</f>
        <v>0</v>
      </c>
      <c r="M71" s="640" t="e">
        <f>SUM(M3:M70)</f>
        <v>#REF!</v>
      </c>
      <c r="N71" s="640">
        <f>SUM(N3:N70)</f>
        <v>0</v>
      </c>
      <c r="O71" s="640" t="e">
        <f>SUM(O3:O70)</f>
        <v>#REF!</v>
      </c>
      <c r="P71" s="640">
        <f>SUM(P3:P70)</f>
        <v>0</v>
      </c>
    </row>
    <row r="72" spans="1:16" ht="15.5">
      <c r="K72" s="640" t="s">
        <v>232</v>
      </c>
      <c r="L72" s="640">
        <f>L2^2/162</f>
        <v>0.22222222222222221</v>
      </c>
      <c r="M72" s="640">
        <f>M2^2/162</f>
        <v>0.61728395061728392</v>
      </c>
      <c r="N72" s="640">
        <f>N2^2/162</f>
        <v>0.88888888888888884</v>
      </c>
      <c r="O72" s="640">
        <f>O2^2/162</f>
        <v>1.5802469135802468</v>
      </c>
      <c r="P72" s="640">
        <f>P2^2/162</f>
        <v>2</v>
      </c>
    </row>
    <row r="73" spans="1:16" ht="15.5">
      <c r="K73" s="640" t="s">
        <v>467</v>
      </c>
      <c r="L73" s="640">
        <f>L71*L72</f>
        <v>0</v>
      </c>
      <c r="M73" s="640" t="e">
        <f>M71*M72</f>
        <v>#REF!</v>
      </c>
      <c r="N73" s="640">
        <f>N71*N72</f>
        <v>0</v>
      </c>
      <c r="O73" s="640" t="e">
        <f>O71*O72</f>
        <v>#REF!</v>
      </c>
      <c r="P73" s="640">
        <f>P71*P72</f>
        <v>0</v>
      </c>
    </row>
    <row r="74" spans="1:16" ht="15.5">
      <c r="K74" s="641" t="s">
        <v>482</v>
      </c>
      <c r="L74" s="641">
        <f>L73*1.05</f>
        <v>0</v>
      </c>
      <c r="M74" s="640" t="e">
        <f>M73*1.05</f>
        <v>#REF!</v>
      </c>
      <c r="N74" s="640">
        <f>N73*1.05</f>
        <v>0</v>
      </c>
      <c r="O74" s="640" t="e">
        <f>O73*1.05</f>
        <v>#REF!</v>
      </c>
      <c r="P74" s="641">
        <f>P73*1.05</f>
        <v>0</v>
      </c>
    </row>
    <row r="75" spans="1:16" ht="15.5">
      <c r="K75" s="640" t="s">
        <v>468</v>
      </c>
      <c r="L75" s="640" t="e">
        <f>SUM(L73:P73)</f>
        <v>#REF!</v>
      </c>
      <c r="M75" s="640" t="s">
        <v>172</v>
      </c>
      <c r="N75" s="640"/>
      <c r="O75" s="640"/>
      <c r="P75" s="640"/>
    </row>
    <row r="76" spans="1:16" ht="15.5">
      <c r="K76" s="640" t="s">
        <v>469</v>
      </c>
      <c r="L76" s="640" t="e">
        <f>L75/1000</f>
        <v>#REF!</v>
      </c>
      <c r="M76" s="671" t="s">
        <v>9</v>
      </c>
      <c r="N76" s="671"/>
      <c r="O76" s="671"/>
      <c r="P76" s="671"/>
    </row>
    <row r="77" spans="1:16">
      <c r="K77" s="641" t="s">
        <v>470</v>
      </c>
      <c r="L77" s="641" t="e">
        <f>L76*1.05</f>
        <v>#REF!</v>
      </c>
      <c r="M77" s="618" t="s">
        <v>9</v>
      </c>
    </row>
  </sheetData>
  <mergeCells count="16">
    <mergeCell ref="A20:C20"/>
    <mergeCell ref="I1:I2"/>
    <mergeCell ref="J1:J2"/>
    <mergeCell ref="A1:E2"/>
    <mergeCell ref="A3:E3"/>
    <mergeCell ref="A5:C5"/>
    <mergeCell ref="A64:C64"/>
    <mergeCell ref="A65:B65"/>
    <mergeCell ref="A71:E71"/>
    <mergeCell ref="K1:K2"/>
    <mergeCell ref="L1:P1"/>
    <mergeCell ref="A31:C31"/>
    <mergeCell ref="F1:F2"/>
    <mergeCell ref="G1:G2"/>
    <mergeCell ref="H1:H2"/>
    <mergeCell ref="A19:C1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60F5-3F68-4764-9426-270F8DE5C223}">
  <dimension ref="A1:M249"/>
  <sheetViews>
    <sheetView view="pageBreakPreview" zoomScaleNormal="100" zoomScaleSheetLayoutView="100" workbookViewId="0">
      <selection activeCell="D58" sqref="D58"/>
    </sheetView>
  </sheetViews>
  <sheetFormatPr defaultColWidth="9.36328125" defaultRowHeight="15.5"/>
  <cols>
    <col min="1" max="1" width="5.54296875" style="409" customWidth="1"/>
    <col min="2" max="2" width="30" style="415" customWidth="1"/>
    <col min="3" max="3" width="12.36328125" style="416" hidden="1" customWidth="1"/>
    <col min="4" max="4" width="7.90625" style="409" customWidth="1"/>
    <col min="5" max="5" width="14.54296875" style="1067" customWidth="1"/>
    <col min="6" max="6" width="6.08984375" style="409" customWidth="1"/>
    <col min="7" max="7" width="14.54296875" style="409" customWidth="1"/>
    <col min="8" max="8" width="14.54296875" style="409" hidden="1" customWidth="1"/>
    <col min="9" max="9" width="15.36328125" style="409" hidden="1" customWidth="1"/>
    <col min="10" max="10" width="15.54296875" style="417" hidden="1" customWidth="1"/>
    <col min="11" max="11" width="7.90625" style="409" hidden="1" customWidth="1"/>
    <col min="12" max="12" width="17" style="417" hidden="1" customWidth="1"/>
    <col min="13" max="13" width="13.453125" style="418" customWidth="1"/>
    <col min="14" max="16384" width="9.36328125" style="409"/>
  </cols>
  <sheetData>
    <row r="1" spans="1:13" s="420" customFormat="1" ht="27.75" customHeight="1">
      <c r="A1" s="1105" t="str">
        <f>Detail!A1</f>
        <v>One Storeyed RCC Building, Myat Lay Street</v>
      </c>
      <c r="B1" s="1105"/>
      <c r="C1" s="1105"/>
      <c r="D1" s="1105"/>
      <c r="E1" s="1105"/>
      <c r="F1" s="1105"/>
      <c r="G1" s="1105"/>
      <c r="H1" s="1105"/>
      <c r="I1" s="1105"/>
      <c r="J1" s="1105"/>
      <c r="K1" s="1105"/>
      <c r="L1" s="1105"/>
      <c r="M1" s="1105"/>
    </row>
    <row r="2" spans="1:13" s="420" customFormat="1" ht="27.75" customHeight="1">
      <c r="A2" s="1105" t="str">
        <f>Detail!A2</f>
        <v>35'-0"x45'-0"x13'-0" Ht;</v>
      </c>
      <c r="B2" s="1105"/>
      <c r="C2" s="1105"/>
      <c r="D2" s="1105"/>
      <c r="E2" s="1105"/>
      <c r="F2" s="1105"/>
      <c r="G2" s="1105"/>
      <c r="H2" s="1105"/>
      <c r="I2" s="1105"/>
      <c r="J2" s="1105"/>
      <c r="K2" s="1105"/>
      <c r="L2" s="1105"/>
      <c r="M2" s="1105"/>
    </row>
    <row r="3" spans="1:13" ht="27.75" customHeight="1" thickBot="1">
      <c r="A3" s="1204" t="s">
        <v>307</v>
      </c>
      <c r="B3" s="1204"/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</row>
    <row r="4" spans="1:13" ht="45.65" customHeight="1" thickBot="1">
      <c r="A4" s="591" t="s">
        <v>317</v>
      </c>
      <c r="B4" s="583" t="s">
        <v>31</v>
      </c>
      <c r="C4" s="584" t="s">
        <v>32</v>
      </c>
      <c r="D4" s="583" t="s">
        <v>0</v>
      </c>
      <c r="E4" s="592" t="s">
        <v>215</v>
      </c>
      <c r="F4" s="592"/>
      <c r="G4" s="592"/>
      <c r="H4" s="592" t="s">
        <v>215</v>
      </c>
      <c r="I4" s="592" t="s">
        <v>215</v>
      </c>
      <c r="J4" s="592" t="s">
        <v>215</v>
      </c>
      <c r="K4" s="583" t="s">
        <v>34</v>
      </c>
      <c r="L4" s="593" t="s">
        <v>78</v>
      </c>
      <c r="M4" s="592" t="s">
        <v>308</v>
      </c>
    </row>
    <row r="5" spans="1:13" ht="24" customHeight="1">
      <c r="A5" s="691"/>
      <c r="B5" s="692"/>
      <c r="C5" s="693"/>
      <c r="D5" s="692"/>
      <c r="E5" s="694" t="s">
        <v>519</v>
      </c>
      <c r="F5" s="694"/>
      <c r="G5" s="694"/>
      <c r="H5" s="694" t="s">
        <v>521</v>
      </c>
      <c r="I5" s="694" t="s">
        <v>520</v>
      </c>
      <c r="J5" s="694"/>
      <c r="K5" s="692"/>
      <c r="L5" s="695"/>
      <c r="M5" s="694"/>
    </row>
    <row r="6" spans="1:13" s="411" customFormat="1" ht="22.25" customHeight="1">
      <c r="A6" s="321"/>
      <c r="B6" s="319" t="s">
        <v>309</v>
      </c>
      <c r="C6" s="320"/>
      <c r="D6" s="318"/>
      <c r="E6" s="356"/>
      <c r="F6" s="356"/>
      <c r="G6" s="356" t="s">
        <v>946</v>
      </c>
      <c r="H6" s="356"/>
      <c r="I6" s="356"/>
      <c r="J6" s="356"/>
      <c r="K6" s="318"/>
      <c r="L6" s="356"/>
      <c r="M6" s="1068"/>
    </row>
    <row r="7" spans="1:13" s="411" customFormat="1" ht="22.25" customHeight="1">
      <c r="A7" s="300">
        <v>1</v>
      </c>
      <c r="B7" s="304" t="s">
        <v>14</v>
      </c>
      <c r="C7" s="301">
        <f>SUMIF(BE!$B$5:$B$459,B7,BE!$C$5:$C$459)</f>
        <v>654.18000000000006</v>
      </c>
      <c r="D7" s="302" t="s">
        <v>302</v>
      </c>
      <c r="E7" s="301">
        <f>18600</f>
        <v>18600</v>
      </c>
      <c r="F7" s="301"/>
      <c r="G7" s="301">
        <v>6150</v>
      </c>
      <c r="H7" s="301"/>
      <c r="I7" s="301">
        <f t="shared" ref="I7:I27" si="0">E7*1.1</f>
        <v>20460</v>
      </c>
      <c r="J7" s="301"/>
      <c r="K7" s="302" t="s">
        <v>302</v>
      </c>
      <c r="L7" s="352">
        <f t="shared" ref="L7:L86" si="1">J7*C7</f>
        <v>0</v>
      </c>
      <c r="M7" s="865"/>
    </row>
    <row r="8" spans="1:13" s="411" customFormat="1" ht="22.25" customHeight="1">
      <c r="A8" s="300">
        <v>2</v>
      </c>
      <c r="B8" s="304" t="s">
        <v>16</v>
      </c>
      <c r="C8" s="301">
        <f>SUMIF(BE!$B$5:$B$459,B8,BE!$C$5:$C$459)</f>
        <v>72.039999999999992</v>
      </c>
      <c r="D8" s="302" t="s">
        <v>310</v>
      </c>
      <c r="E8" s="301">
        <v>30000</v>
      </c>
      <c r="F8" s="301"/>
      <c r="G8" s="301"/>
      <c r="H8" s="301"/>
      <c r="I8" s="301">
        <f t="shared" si="0"/>
        <v>33000</v>
      </c>
      <c r="J8" s="301"/>
      <c r="K8" s="302" t="s">
        <v>310</v>
      </c>
      <c r="L8" s="352">
        <f t="shared" si="1"/>
        <v>0</v>
      </c>
      <c r="M8" s="677"/>
    </row>
    <row r="9" spans="1:13" s="411" customFormat="1" ht="22.25" customHeight="1">
      <c r="A9" s="300">
        <v>3</v>
      </c>
      <c r="B9" s="304" t="s">
        <v>303</v>
      </c>
      <c r="C9" s="301">
        <f>SUMIF(BE!$B$5:$B$459,B9,BE!$C$5:$C$459)</f>
        <v>31.1</v>
      </c>
      <c r="D9" s="302" t="s">
        <v>310</v>
      </c>
      <c r="E9" s="301">
        <v>110000</v>
      </c>
      <c r="F9" s="301"/>
      <c r="G9" s="301"/>
      <c r="H9" s="301"/>
      <c r="I9" s="301">
        <f t="shared" si="0"/>
        <v>121000.00000000001</v>
      </c>
      <c r="J9" s="301"/>
      <c r="K9" s="302" t="s">
        <v>310</v>
      </c>
      <c r="L9" s="352">
        <f t="shared" si="1"/>
        <v>0</v>
      </c>
      <c r="M9" s="677"/>
    </row>
    <row r="10" spans="1:13" s="411" customFormat="1" ht="22.25" customHeight="1">
      <c r="A10" s="300">
        <v>4</v>
      </c>
      <c r="B10" s="304" t="s">
        <v>537</v>
      </c>
      <c r="C10" s="301">
        <f>SUMIF(BE!$B$5:$B$459,B10,BE!$C$5:$C$459)</f>
        <v>2.34</v>
      </c>
      <c r="D10" s="302" t="s">
        <v>310</v>
      </c>
      <c r="E10" s="301">
        <v>230000</v>
      </c>
      <c r="F10" s="301"/>
      <c r="G10" s="301"/>
      <c r="H10" s="301"/>
      <c r="I10" s="301">
        <f t="shared" si="0"/>
        <v>253000.00000000003</v>
      </c>
      <c r="J10" s="301"/>
      <c r="K10" s="302" t="s">
        <v>310</v>
      </c>
      <c r="L10" s="352">
        <f t="shared" si="1"/>
        <v>0</v>
      </c>
      <c r="M10" s="677"/>
    </row>
    <row r="11" spans="1:13" s="411" customFormat="1" ht="22.25" customHeight="1">
      <c r="A11" s="300">
        <v>5</v>
      </c>
      <c r="B11" s="304" t="s">
        <v>535</v>
      </c>
      <c r="C11" s="301">
        <f>SUMIF(BE!$B$5:$B$459,B11,BE!$C$5:$C$459)</f>
        <v>62.44</v>
      </c>
      <c r="D11" s="302" t="s">
        <v>23</v>
      </c>
      <c r="E11" s="301">
        <v>18800</v>
      </c>
      <c r="F11" s="301"/>
      <c r="G11" s="301"/>
      <c r="H11" s="301"/>
      <c r="I11" s="301">
        <f t="shared" si="0"/>
        <v>20680</v>
      </c>
      <c r="J11" s="301"/>
      <c r="K11" s="302" t="s">
        <v>310</v>
      </c>
      <c r="L11" s="352">
        <f>J11*C11</f>
        <v>0</v>
      </c>
      <c r="M11" s="677"/>
    </row>
    <row r="12" spans="1:13" s="411" customFormat="1" ht="22.25" customHeight="1">
      <c r="A12" s="300">
        <v>6</v>
      </c>
      <c r="B12" s="304" t="s">
        <v>26</v>
      </c>
      <c r="C12" s="301">
        <f>SUMIF(BE!$B$5:$B$459,B12,BE!$C$5:$C$459)</f>
        <v>9.5340000000000007</v>
      </c>
      <c r="D12" s="302" t="s">
        <v>9</v>
      </c>
      <c r="E12" s="301">
        <v>1250000</v>
      </c>
      <c r="F12" s="301"/>
      <c r="G12" s="301"/>
      <c r="H12" s="301"/>
      <c r="I12" s="301">
        <f t="shared" si="0"/>
        <v>1375000</v>
      </c>
      <c r="J12" s="301"/>
      <c r="K12" s="302" t="s">
        <v>9</v>
      </c>
      <c r="L12" s="352">
        <f t="shared" si="1"/>
        <v>0</v>
      </c>
      <c r="M12" s="677"/>
    </row>
    <row r="13" spans="1:13" s="411" customFormat="1" ht="22.25" customHeight="1">
      <c r="A13" s="300">
        <v>7</v>
      </c>
      <c r="B13" s="304" t="s">
        <v>27</v>
      </c>
      <c r="C13" s="301">
        <f>SUMIF(BE!$B$5:$B$459,B13,BE!$C$5:$C$459)</f>
        <v>85.36999999999999</v>
      </c>
      <c r="D13" s="302" t="s">
        <v>19</v>
      </c>
      <c r="E13" s="301">
        <v>69000</v>
      </c>
      <c r="F13" s="301"/>
      <c r="G13" s="301"/>
      <c r="H13" s="301"/>
      <c r="I13" s="301">
        <f t="shared" si="0"/>
        <v>75900</v>
      </c>
      <c r="J13" s="301"/>
      <c r="K13" s="302" t="s">
        <v>19</v>
      </c>
      <c r="L13" s="352">
        <f t="shared" si="1"/>
        <v>0</v>
      </c>
      <c r="M13" s="677"/>
    </row>
    <row r="14" spans="1:13" s="411" customFormat="1" ht="22.25" customHeight="1">
      <c r="A14" s="300">
        <v>8</v>
      </c>
      <c r="B14" s="304" t="s">
        <v>21</v>
      </c>
      <c r="C14" s="301">
        <f>SUMIF(BE!$B$5:$B$459,B14,BE!$C$5:$C$459)</f>
        <v>101.29</v>
      </c>
      <c r="D14" s="302" t="s">
        <v>52</v>
      </c>
      <c r="E14" s="301">
        <v>11600</v>
      </c>
      <c r="F14" s="301"/>
      <c r="G14" s="301"/>
      <c r="H14" s="301"/>
      <c r="I14" s="301">
        <f t="shared" si="0"/>
        <v>12760.000000000002</v>
      </c>
      <c r="J14" s="301"/>
      <c r="K14" s="302" t="s">
        <v>52</v>
      </c>
      <c r="L14" s="352">
        <f t="shared" si="1"/>
        <v>0</v>
      </c>
      <c r="M14" s="677"/>
    </row>
    <row r="15" spans="1:13" s="411" customFormat="1" ht="22.25" customHeight="1">
      <c r="A15" s="300">
        <v>9</v>
      </c>
      <c r="B15" s="303" t="s">
        <v>24</v>
      </c>
      <c r="C15" s="301">
        <f>SUMIF(BE!$B$5:$B$459,B15,BE!$C$5:$C$459)</f>
        <v>19237</v>
      </c>
      <c r="D15" s="302" t="s">
        <v>304</v>
      </c>
      <c r="E15" s="301">
        <v>380</v>
      </c>
      <c r="F15" s="301"/>
      <c r="G15" s="301"/>
      <c r="H15" s="301"/>
      <c r="I15" s="301">
        <f t="shared" si="0"/>
        <v>418.00000000000006</v>
      </c>
      <c r="J15" s="301"/>
      <c r="K15" s="302" t="s">
        <v>304</v>
      </c>
      <c r="L15" s="352">
        <f t="shared" si="1"/>
        <v>0</v>
      </c>
      <c r="M15" s="677"/>
    </row>
    <row r="16" spans="1:13" s="411" customFormat="1" ht="22.25" customHeight="1">
      <c r="A16" s="300">
        <v>10</v>
      </c>
      <c r="B16" s="303" t="s">
        <v>409</v>
      </c>
      <c r="C16" s="301">
        <f>SUMIF(BE!$B$5:$B$459,B16,BE!$C$5:$C$459)</f>
        <v>0</v>
      </c>
      <c r="D16" s="302" t="s">
        <v>13</v>
      </c>
      <c r="E16" s="301">
        <v>65</v>
      </c>
      <c r="F16" s="301"/>
      <c r="G16" s="301"/>
      <c r="H16" s="301"/>
      <c r="I16" s="301">
        <f t="shared" si="0"/>
        <v>71.5</v>
      </c>
      <c r="J16" s="301"/>
      <c r="K16" s="302" t="s">
        <v>13</v>
      </c>
      <c r="L16" s="352">
        <f t="shared" si="1"/>
        <v>0</v>
      </c>
      <c r="M16" s="677"/>
    </row>
    <row r="17" spans="1:13" s="411" customFormat="1" ht="22.25" customHeight="1">
      <c r="A17" s="300">
        <v>11</v>
      </c>
      <c r="B17" s="303" t="s">
        <v>565</v>
      </c>
      <c r="C17" s="301"/>
      <c r="D17" s="302" t="s">
        <v>13</v>
      </c>
      <c r="E17" s="301">
        <f>ROUNDUP(G17/3,-2)</f>
        <v>1200</v>
      </c>
      <c r="F17" s="301" t="s">
        <v>934</v>
      </c>
      <c r="G17" s="301">
        <v>3500</v>
      </c>
      <c r="H17" s="301">
        <f>G17/3</f>
        <v>1166.6666666666667</v>
      </c>
      <c r="I17" s="301">
        <f t="shared" si="0"/>
        <v>1320</v>
      </c>
      <c r="J17" s="301"/>
      <c r="K17" s="302"/>
      <c r="L17" s="352"/>
      <c r="M17" s="677"/>
    </row>
    <row r="18" spans="1:13" s="411" customFormat="1" ht="22.25" customHeight="1">
      <c r="A18" s="300">
        <v>12</v>
      </c>
      <c r="B18" s="676" t="s">
        <v>606</v>
      </c>
      <c r="C18" s="301"/>
      <c r="D18" s="302" t="s">
        <v>605</v>
      </c>
      <c r="E18" s="301">
        <v>100000</v>
      </c>
      <c r="F18" s="301"/>
      <c r="G18" s="301"/>
      <c r="H18" s="301"/>
      <c r="I18" s="301">
        <f>E18*1.1</f>
        <v>110000.00000000001</v>
      </c>
      <c r="J18" s="301"/>
      <c r="K18" s="302" t="s">
        <v>605</v>
      </c>
      <c r="L18" s="352"/>
      <c r="M18" s="677"/>
    </row>
    <row r="19" spans="1:13" s="411" customFormat="1" ht="22.25" customHeight="1">
      <c r="A19" s="300">
        <v>13</v>
      </c>
      <c r="B19" s="303" t="s">
        <v>571</v>
      </c>
      <c r="C19" s="301"/>
      <c r="D19" s="302" t="s">
        <v>572</v>
      </c>
      <c r="E19" s="301">
        <v>8500</v>
      </c>
      <c r="F19" s="301"/>
      <c r="G19" s="301"/>
      <c r="H19" s="301">
        <v>4500</v>
      </c>
      <c r="I19" s="301">
        <f>H19*1.15</f>
        <v>5175</v>
      </c>
      <c r="J19" s="301"/>
      <c r="K19" s="302" t="s">
        <v>572</v>
      </c>
      <c r="L19" s="352"/>
      <c r="M19" s="677"/>
    </row>
    <row r="20" spans="1:13" s="411" customFormat="1" ht="22.25" customHeight="1">
      <c r="A20" s="300">
        <v>14</v>
      </c>
      <c r="B20" s="303" t="s">
        <v>573</v>
      </c>
      <c r="C20" s="301"/>
      <c r="D20" s="302" t="s">
        <v>572</v>
      </c>
      <c r="E20" s="301">
        <v>17000</v>
      </c>
      <c r="F20" s="301"/>
      <c r="G20" s="301"/>
      <c r="H20" s="301">
        <v>15000</v>
      </c>
      <c r="I20" s="301">
        <f>H20*1.15</f>
        <v>17250</v>
      </c>
      <c r="J20" s="301"/>
      <c r="K20" s="302" t="s">
        <v>572</v>
      </c>
      <c r="L20" s="352"/>
      <c r="M20" s="677"/>
    </row>
    <row r="21" spans="1:13" s="411" customFormat="1" ht="22.25" customHeight="1">
      <c r="A21" s="300">
        <v>15</v>
      </c>
      <c r="B21" s="303" t="s">
        <v>935</v>
      </c>
      <c r="C21" s="301"/>
      <c r="D21" s="302" t="s">
        <v>877</v>
      </c>
      <c r="E21" s="301">
        <v>118600</v>
      </c>
      <c r="F21" s="301"/>
      <c r="G21" s="301"/>
      <c r="H21" s="301">
        <v>15000</v>
      </c>
      <c r="I21" s="301">
        <f>H21*1.15</f>
        <v>17250</v>
      </c>
      <c r="J21" s="301"/>
      <c r="K21" s="302" t="s">
        <v>572</v>
      </c>
      <c r="L21" s="352"/>
      <c r="M21" s="677"/>
    </row>
    <row r="22" spans="1:13" s="410" customFormat="1" ht="22.25" customHeight="1">
      <c r="A22" s="300">
        <v>16</v>
      </c>
      <c r="B22" s="891" t="s">
        <v>574</v>
      </c>
      <c r="C22" s="440"/>
      <c r="D22" s="441"/>
      <c r="E22" s="440"/>
      <c r="F22" s="440"/>
      <c r="G22" s="440"/>
      <c r="H22" s="440"/>
      <c r="I22" s="440"/>
      <c r="J22" s="440"/>
      <c r="K22" s="441"/>
      <c r="L22" s="892"/>
      <c r="M22" s="893"/>
    </row>
    <row r="23" spans="1:13" s="410" customFormat="1" ht="22.25" customHeight="1">
      <c r="A23" s="300">
        <v>17</v>
      </c>
      <c r="B23" s="894" t="s">
        <v>575</v>
      </c>
      <c r="C23" s="440"/>
      <c r="D23" s="441"/>
      <c r="E23" s="440"/>
      <c r="F23" s="440"/>
      <c r="G23" s="440"/>
      <c r="H23" s="440"/>
      <c r="I23" s="440"/>
      <c r="J23" s="440"/>
      <c r="K23" s="441"/>
      <c r="L23" s="892"/>
      <c r="M23" s="893"/>
    </row>
    <row r="24" spans="1:13" s="410" customFormat="1" ht="22.25" customHeight="1">
      <c r="A24" s="300">
        <v>18</v>
      </c>
      <c r="B24" s="894" t="s">
        <v>576</v>
      </c>
      <c r="C24" s="440"/>
      <c r="D24" s="441"/>
      <c r="E24" s="440"/>
      <c r="F24" s="440"/>
      <c r="G24" s="440"/>
      <c r="H24" s="440"/>
      <c r="I24" s="440"/>
      <c r="J24" s="440"/>
      <c r="K24" s="441"/>
      <c r="L24" s="892"/>
      <c r="M24" s="893"/>
    </row>
    <row r="25" spans="1:13" s="411" customFormat="1" ht="22.25" customHeight="1">
      <c r="A25" s="300">
        <v>19</v>
      </c>
      <c r="B25" s="421" t="str">
        <f>BQ!B20</f>
        <v>Ø16mm (1.58 Kg/m)(⅝")</v>
      </c>
      <c r="C25" s="301">
        <f>SUMIF(BE!$B$5:$B$459,B25,BE!$C$5:$C$459)</f>
        <v>6.4567644185565225</v>
      </c>
      <c r="D25" s="302" t="s">
        <v>9</v>
      </c>
      <c r="E25" s="301">
        <v>2130000</v>
      </c>
      <c r="F25" s="301"/>
      <c r="G25" s="301"/>
      <c r="H25" s="301"/>
      <c r="I25" s="301">
        <f t="shared" si="0"/>
        <v>2343000</v>
      </c>
      <c r="J25" s="301"/>
      <c r="K25" s="302" t="str">
        <f>D25</f>
        <v>Ton</v>
      </c>
      <c r="L25" s="352">
        <f t="shared" si="1"/>
        <v>0</v>
      </c>
      <c r="M25" s="677"/>
    </row>
    <row r="26" spans="1:13" s="411" customFormat="1" ht="22.25" customHeight="1">
      <c r="A26" s="300">
        <v>20</v>
      </c>
      <c r="B26" s="421" t="str">
        <f>BQ!B21</f>
        <v>Ø12mm (0.89Kg/m)(½")</v>
      </c>
      <c r="C26" s="301">
        <f>SUMIF(BE!$B$5:$B$459,B26,BE!$C$5:$C$459)</f>
        <v>0.17745233119983744</v>
      </c>
      <c r="D26" s="302" t="s">
        <v>9</v>
      </c>
      <c r="E26" s="301">
        <v>1930000</v>
      </c>
      <c r="F26" s="301"/>
      <c r="G26" s="301"/>
      <c r="H26" s="301"/>
      <c r="I26" s="301">
        <f>E26*1.1</f>
        <v>2123000</v>
      </c>
      <c r="J26" s="301"/>
      <c r="K26" s="302" t="str">
        <f t="shared" ref="K26:K54" si="2">D26</f>
        <v>Ton</v>
      </c>
      <c r="L26" s="352">
        <f>J26*C26</f>
        <v>0</v>
      </c>
      <c r="M26" s="677"/>
    </row>
    <row r="27" spans="1:13" s="411" customFormat="1" ht="22.25" customHeight="1">
      <c r="A27" s="300">
        <v>21</v>
      </c>
      <c r="B27" s="421" t="str">
        <f>BQ!B22</f>
        <v>Ø10mm (0.62 Kg/m)(⅜")</v>
      </c>
      <c r="C27" s="301">
        <f>SUMIF(BE!$B$5:$B$459,B27,BE!$C$5:$C$459)</f>
        <v>5.0567239413152567</v>
      </c>
      <c r="D27" s="302" t="s">
        <v>9</v>
      </c>
      <c r="E27" s="301">
        <v>1640000</v>
      </c>
      <c r="F27" s="301"/>
      <c r="G27" s="301"/>
      <c r="H27" s="301"/>
      <c r="I27" s="301">
        <f t="shared" si="0"/>
        <v>1804000.0000000002</v>
      </c>
      <c r="J27" s="301"/>
      <c r="K27" s="302" t="str">
        <f t="shared" si="2"/>
        <v>Ton</v>
      </c>
      <c r="L27" s="352">
        <f t="shared" si="1"/>
        <v>0</v>
      </c>
      <c r="M27" s="677"/>
    </row>
    <row r="28" spans="1:13" s="411" customFormat="1" ht="22.25" customHeight="1">
      <c r="A28" s="300">
        <v>22</v>
      </c>
      <c r="B28" s="421" t="s">
        <v>527</v>
      </c>
      <c r="C28" s="301">
        <f>SUMIF(BE!$B$5:$B$459,B28,BE!$C$5:$C$459)</f>
        <v>0.3079879117861537</v>
      </c>
      <c r="D28" s="302" t="s">
        <v>9</v>
      </c>
      <c r="E28" s="301">
        <f>G28*20</f>
        <v>3450000</v>
      </c>
      <c r="F28" s="301" t="s">
        <v>605</v>
      </c>
      <c r="G28" s="301">
        <v>172500</v>
      </c>
      <c r="H28" s="301"/>
      <c r="I28" s="301">
        <f t="shared" ref="I28:I33" si="3">E28*1.1</f>
        <v>3795000.0000000005</v>
      </c>
      <c r="J28" s="301"/>
      <c r="K28" s="302" t="str">
        <f t="shared" si="2"/>
        <v>Ton</v>
      </c>
      <c r="L28" s="352">
        <f t="shared" si="1"/>
        <v>0</v>
      </c>
      <c r="M28" s="677"/>
    </row>
    <row r="29" spans="1:13" s="411" customFormat="1" ht="22.25" customHeight="1">
      <c r="A29" s="300">
        <v>23</v>
      </c>
      <c r="B29" s="421" t="s">
        <v>20</v>
      </c>
      <c r="C29" s="301">
        <f>SUMIF(BE!$B$5:$B$459,B29,BE!$C$5:$C$459)</f>
        <v>66.660714460320932</v>
      </c>
      <c r="D29" s="302" t="s">
        <v>368</v>
      </c>
      <c r="E29" s="301">
        <f>ROUNDUP(G29/12,-2)</f>
        <v>9200</v>
      </c>
      <c r="F29" s="301" t="s">
        <v>605</v>
      </c>
      <c r="G29" s="301">
        <v>110000</v>
      </c>
      <c r="H29" s="301"/>
      <c r="I29" s="301">
        <f t="shared" si="3"/>
        <v>10120</v>
      </c>
      <c r="J29" s="301"/>
      <c r="K29" s="302" t="str">
        <f t="shared" si="2"/>
        <v>viss</v>
      </c>
      <c r="L29" s="352">
        <f t="shared" si="1"/>
        <v>0</v>
      </c>
      <c r="M29" s="677"/>
    </row>
    <row r="30" spans="1:13" s="411" customFormat="1" ht="22.25" customHeight="1">
      <c r="A30" s="300">
        <v>24</v>
      </c>
      <c r="B30" s="303" t="s">
        <v>374</v>
      </c>
      <c r="C30" s="301">
        <f>SUMIF(BE!$B$5:$B$459,B30,BE!$C$5:$C$459)</f>
        <v>0</v>
      </c>
      <c r="D30" s="302" t="s">
        <v>302</v>
      </c>
      <c r="E30" s="301">
        <v>24000</v>
      </c>
      <c r="F30" s="301"/>
      <c r="G30" s="301"/>
      <c r="H30" s="301"/>
      <c r="I30" s="301">
        <f t="shared" si="3"/>
        <v>26400.000000000004</v>
      </c>
      <c r="J30" s="301"/>
      <c r="K30" s="302" t="str">
        <f t="shared" si="2"/>
        <v>Bags</v>
      </c>
      <c r="L30" s="352">
        <f t="shared" si="1"/>
        <v>0</v>
      </c>
      <c r="M30" s="865"/>
    </row>
    <row r="31" spans="1:13" s="411" customFormat="1" ht="22.25" customHeight="1">
      <c r="A31" s="300">
        <v>25</v>
      </c>
      <c r="B31" s="303" t="s">
        <v>869</v>
      </c>
      <c r="C31" s="301">
        <f>SUMIF(BE!$B$5:$B$459,B31,BE!$C$5:$C$459)</f>
        <v>0</v>
      </c>
      <c r="D31" s="302" t="s">
        <v>23</v>
      </c>
      <c r="E31" s="301">
        <v>130200</v>
      </c>
      <c r="F31" s="301"/>
      <c r="G31" s="301"/>
      <c r="H31" s="301"/>
      <c r="I31" s="301">
        <f t="shared" si="3"/>
        <v>143220</v>
      </c>
      <c r="J31" s="301"/>
      <c r="K31" s="302" t="str">
        <f t="shared" si="2"/>
        <v>Gal</v>
      </c>
      <c r="L31" s="352"/>
      <c r="M31" s="865"/>
    </row>
    <row r="32" spans="1:13" s="411" customFormat="1" ht="22.25" customHeight="1">
      <c r="A32" s="300">
        <v>26</v>
      </c>
      <c r="B32" s="303" t="s">
        <v>73</v>
      </c>
      <c r="C32" s="301">
        <f>SUMIF(BE!$B$5:$B$459,B32,BE!$C$5:$C$459)</f>
        <v>0</v>
      </c>
      <c r="D32" s="302" t="s">
        <v>154</v>
      </c>
      <c r="E32" s="301">
        <f>G32*12</f>
        <v>21600</v>
      </c>
      <c r="F32" s="301" t="s">
        <v>304</v>
      </c>
      <c r="G32" s="301">
        <v>1800</v>
      </c>
      <c r="H32" s="301"/>
      <c r="I32" s="301">
        <f t="shared" si="3"/>
        <v>23760.000000000004</v>
      </c>
      <c r="J32" s="301"/>
      <c r="K32" s="302" t="str">
        <f t="shared" si="2"/>
        <v>Doz</v>
      </c>
      <c r="L32" s="352">
        <f t="shared" si="1"/>
        <v>0</v>
      </c>
      <c r="M32" s="865"/>
    </row>
    <row r="33" spans="1:13" s="410" customFormat="1" ht="22.25" customHeight="1">
      <c r="A33" s="300">
        <v>27</v>
      </c>
      <c r="B33" s="891" t="s">
        <v>155</v>
      </c>
      <c r="C33" s="440">
        <f>SUMIF(BE!$B$5:$B$459,B33,BE!$C$5:$C$459)</f>
        <v>0</v>
      </c>
      <c r="D33" s="441" t="s">
        <v>304</v>
      </c>
      <c r="E33" s="440">
        <v>2000</v>
      </c>
      <c r="F33" s="440"/>
      <c r="G33" s="440"/>
      <c r="H33" s="440"/>
      <c r="I33" s="440">
        <f t="shared" si="3"/>
        <v>2200</v>
      </c>
      <c r="J33" s="440"/>
      <c r="K33" s="302" t="str">
        <f t="shared" si="2"/>
        <v>Nos.</v>
      </c>
      <c r="L33" s="892">
        <f t="shared" si="1"/>
        <v>0</v>
      </c>
      <c r="M33" s="893"/>
    </row>
    <row r="34" spans="1:13" s="411" customFormat="1" ht="22.25" customHeight="1">
      <c r="A34" s="300">
        <v>28</v>
      </c>
      <c r="B34" s="303" t="s">
        <v>152</v>
      </c>
      <c r="C34" s="301">
        <f>SUMIF(BE!$B$5:$B$459,B34,BE!$C$5:$C$459)</f>
        <v>0</v>
      </c>
      <c r="D34" s="302" t="s">
        <v>23</v>
      </c>
      <c r="E34" s="301">
        <v>109000</v>
      </c>
      <c r="F34" s="301"/>
      <c r="G34" s="301"/>
      <c r="H34" s="301"/>
      <c r="I34" s="301">
        <f>H34*1.1</f>
        <v>0</v>
      </c>
      <c r="J34" s="301"/>
      <c r="K34" s="302" t="str">
        <f t="shared" si="2"/>
        <v>Gal</v>
      </c>
      <c r="L34" s="352">
        <f t="shared" si="1"/>
        <v>0</v>
      </c>
      <c r="M34" s="865"/>
    </row>
    <row r="35" spans="1:13" s="411" customFormat="1" ht="22.25" customHeight="1">
      <c r="A35" s="300">
        <v>29</v>
      </c>
      <c r="B35" s="303" t="s">
        <v>72</v>
      </c>
      <c r="C35" s="301">
        <f>SUMIF(BE!$B$5:$B$459,B35,BE!$C$5:$C$459)</f>
        <v>0</v>
      </c>
      <c r="D35" s="302" t="s">
        <v>304</v>
      </c>
      <c r="E35" s="301">
        <v>7500</v>
      </c>
      <c r="F35" s="301"/>
      <c r="G35" s="301"/>
      <c r="H35" s="301"/>
      <c r="I35" s="301">
        <f>H35*1.1</f>
        <v>0</v>
      </c>
      <c r="J35" s="301"/>
      <c r="K35" s="302" t="str">
        <f t="shared" si="2"/>
        <v>Nos.</v>
      </c>
      <c r="L35" s="352">
        <f t="shared" si="1"/>
        <v>0</v>
      </c>
      <c r="M35" s="865"/>
    </row>
    <row r="36" spans="1:13" s="410" customFormat="1" ht="22.25" customHeight="1">
      <c r="A36" s="300">
        <v>30</v>
      </c>
      <c r="B36" s="891" t="s">
        <v>532</v>
      </c>
      <c r="C36" s="440">
        <f>SUMIF(BE!$B$5:$B$459,B36,BE!$C$5:$C$459)</f>
        <v>0</v>
      </c>
      <c r="D36" s="441" t="s">
        <v>13</v>
      </c>
      <c r="E36" s="440">
        <v>108000</v>
      </c>
      <c r="F36" s="440"/>
      <c r="G36" s="440"/>
      <c r="H36" s="440"/>
      <c r="I36" s="440">
        <f t="shared" ref="I36:I42" si="4">G36*1.1</f>
        <v>0</v>
      </c>
      <c r="J36" s="440"/>
      <c r="K36" s="302" t="str">
        <f t="shared" si="2"/>
        <v>Rft</v>
      </c>
      <c r="L36" s="892">
        <f t="shared" si="1"/>
        <v>0</v>
      </c>
      <c r="M36" s="893"/>
    </row>
    <row r="37" spans="1:13" s="410" customFormat="1" ht="22.25" customHeight="1">
      <c r="A37" s="300">
        <v>31</v>
      </c>
      <c r="B37" s="891" t="s">
        <v>531</v>
      </c>
      <c r="C37" s="440">
        <f>SUMIF(BE!$B$5:$B$459,B37,BE!$C$5:$C$459)</f>
        <v>0</v>
      </c>
      <c r="D37" s="441" t="s">
        <v>13</v>
      </c>
      <c r="E37" s="440">
        <v>108000</v>
      </c>
      <c r="F37" s="440"/>
      <c r="G37" s="440"/>
      <c r="H37" s="440"/>
      <c r="I37" s="440">
        <f t="shared" si="4"/>
        <v>0</v>
      </c>
      <c r="J37" s="440"/>
      <c r="K37" s="302" t="str">
        <f t="shared" si="2"/>
        <v>Rft</v>
      </c>
      <c r="L37" s="892">
        <f t="shared" si="1"/>
        <v>0</v>
      </c>
      <c r="M37" s="893"/>
    </row>
    <row r="38" spans="1:13" s="411" customFormat="1" ht="22.25" customHeight="1">
      <c r="A38" s="300">
        <v>32</v>
      </c>
      <c r="B38" s="303" t="s">
        <v>533</v>
      </c>
      <c r="C38" s="301">
        <f>SUMIF(BE!$B$5:$B$459,B38,BE!$C$5:$C$459)</f>
        <v>0</v>
      </c>
      <c r="D38" s="302" t="s">
        <v>13</v>
      </c>
      <c r="E38" s="301">
        <v>61500</v>
      </c>
      <c r="F38" s="301"/>
      <c r="G38" s="301"/>
      <c r="H38" s="301"/>
      <c r="I38" s="301">
        <f>G38*1.1</f>
        <v>0</v>
      </c>
      <c r="J38" s="301"/>
      <c r="K38" s="302" t="str">
        <f t="shared" si="2"/>
        <v>Rft</v>
      </c>
      <c r="L38" s="352">
        <f t="shared" si="1"/>
        <v>0</v>
      </c>
      <c r="M38" s="865"/>
    </row>
    <row r="39" spans="1:13" s="410" customFormat="1" ht="22.25" customHeight="1">
      <c r="A39" s="890">
        <v>33</v>
      </c>
      <c r="B39" s="891" t="s">
        <v>699</v>
      </c>
      <c r="C39" s="440">
        <f>SUMIF(BE!$B$5:$B$459,B39,BE!$C$5:$C$459)</f>
        <v>0</v>
      </c>
      <c r="D39" s="441" t="s">
        <v>13</v>
      </c>
      <c r="E39" s="440">
        <v>35800</v>
      </c>
      <c r="F39" s="440"/>
      <c r="G39" s="440"/>
      <c r="H39" s="440"/>
      <c r="I39" s="440">
        <f>G39*1.1</f>
        <v>0</v>
      </c>
      <c r="J39" s="440"/>
      <c r="K39" s="302" t="str">
        <f t="shared" si="2"/>
        <v>Rft</v>
      </c>
      <c r="L39" s="892">
        <f>J39*C39</f>
        <v>0</v>
      </c>
      <c r="M39" s="893"/>
    </row>
    <row r="40" spans="1:13" s="411" customFormat="1" ht="22.25" customHeight="1">
      <c r="A40" s="300">
        <v>34</v>
      </c>
      <c r="B40" s="303" t="s">
        <v>534</v>
      </c>
      <c r="C40" s="301">
        <f>SUMIF(BE!$B$5:$B$459,B40,BE!$C$5:$C$459)</f>
        <v>0</v>
      </c>
      <c r="D40" s="302" t="s">
        <v>13</v>
      </c>
      <c r="E40" s="301">
        <v>45000</v>
      </c>
      <c r="F40" s="301"/>
      <c r="G40" s="301"/>
      <c r="H40" s="301"/>
      <c r="I40" s="301">
        <f t="shared" si="4"/>
        <v>0</v>
      </c>
      <c r="J40" s="301"/>
      <c r="K40" s="302" t="str">
        <f t="shared" si="2"/>
        <v>Rft</v>
      </c>
      <c r="L40" s="352">
        <f t="shared" si="1"/>
        <v>0</v>
      </c>
      <c r="M40" s="865"/>
    </row>
    <row r="41" spans="1:13" s="411" customFormat="1" ht="22.25" customHeight="1">
      <c r="A41" s="300">
        <v>35</v>
      </c>
      <c r="B41" s="303" t="s">
        <v>488</v>
      </c>
      <c r="C41" s="301">
        <f>SUMIF(BE!$B$5:$B$459,B41,BE!$C$5:$C$459)</f>
        <v>0</v>
      </c>
      <c r="D41" s="302" t="s">
        <v>304</v>
      </c>
      <c r="E41" s="301">
        <v>57000</v>
      </c>
      <c r="F41" s="301"/>
      <c r="G41" s="301"/>
      <c r="H41" s="301"/>
      <c r="I41" s="301">
        <f>E41*1.1</f>
        <v>62700.000000000007</v>
      </c>
      <c r="J41" s="301"/>
      <c r="K41" s="302" t="str">
        <f t="shared" si="2"/>
        <v>Nos.</v>
      </c>
      <c r="L41" s="352">
        <f t="shared" si="1"/>
        <v>0</v>
      </c>
      <c r="M41" s="865"/>
    </row>
    <row r="42" spans="1:13" s="410" customFormat="1" ht="22.25" customHeight="1">
      <c r="A42" s="300">
        <v>36</v>
      </c>
      <c r="B42" s="891" t="s">
        <v>364</v>
      </c>
      <c r="C42" s="440">
        <f>SUMIF(BE!$B$5:$B$459,B42,BE!$C$5:$C$459)</f>
        <v>0</v>
      </c>
      <c r="D42" s="441" t="s">
        <v>13</v>
      </c>
      <c r="E42" s="440">
        <v>10900</v>
      </c>
      <c r="F42" s="440"/>
      <c r="G42" s="440"/>
      <c r="H42" s="440"/>
      <c r="I42" s="440">
        <f t="shared" si="4"/>
        <v>0</v>
      </c>
      <c r="J42" s="440"/>
      <c r="K42" s="302" t="str">
        <f t="shared" si="2"/>
        <v>Rft</v>
      </c>
      <c r="L42" s="892">
        <f t="shared" si="1"/>
        <v>0</v>
      </c>
      <c r="M42" s="893"/>
    </row>
    <row r="43" spans="1:13" s="411" customFormat="1" ht="22.25" customHeight="1">
      <c r="A43" s="300">
        <v>37</v>
      </c>
      <c r="B43" s="303" t="s">
        <v>720</v>
      </c>
      <c r="C43" s="301"/>
      <c r="D43" s="302" t="s">
        <v>709</v>
      </c>
      <c r="E43" s="301">
        <v>27000</v>
      </c>
      <c r="F43" s="301"/>
      <c r="G43" s="301"/>
      <c r="H43" s="301"/>
      <c r="I43" s="301">
        <f>E43*1.1</f>
        <v>29700.000000000004</v>
      </c>
      <c r="J43" s="301"/>
      <c r="K43" s="302" t="str">
        <f t="shared" si="2"/>
        <v>Pkt</v>
      </c>
      <c r="L43" s="352"/>
      <c r="M43" s="865"/>
    </row>
    <row r="44" spans="1:13" s="411" customFormat="1" ht="22.25" customHeight="1">
      <c r="A44" s="300">
        <v>38</v>
      </c>
      <c r="B44" s="303" t="s">
        <v>721</v>
      </c>
      <c r="C44" s="301"/>
      <c r="D44" s="302" t="s">
        <v>304</v>
      </c>
      <c r="E44" s="301">
        <v>2000</v>
      </c>
      <c r="F44" s="301"/>
      <c r="G44" s="301"/>
      <c r="H44" s="301"/>
      <c r="I44" s="301">
        <f>E44*1.1</f>
        <v>2200</v>
      </c>
      <c r="J44" s="301"/>
      <c r="K44" s="302" t="str">
        <f t="shared" si="2"/>
        <v>Nos.</v>
      </c>
      <c r="L44" s="352"/>
      <c r="M44" s="865"/>
    </row>
    <row r="45" spans="1:13" s="411" customFormat="1" ht="22.25" customHeight="1">
      <c r="A45" s="300">
        <v>39</v>
      </c>
      <c r="B45" s="303" t="s">
        <v>942</v>
      </c>
      <c r="C45" s="301"/>
      <c r="D45" s="302" t="s">
        <v>304</v>
      </c>
      <c r="E45" s="301">
        <v>7400</v>
      </c>
      <c r="F45" s="301"/>
      <c r="G45" s="301"/>
      <c r="H45" s="301"/>
      <c r="I45" s="301">
        <f>E45*1.1</f>
        <v>8140.0000000000009</v>
      </c>
      <c r="J45" s="301"/>
      <c r="K45" s="302" t="str">
        <f t="shared" si="2"/>
        <v>Nos.</v>
      </c>
      <c r="L45" s="352"/>
      <c r="M45" s="865"/>
    </row>
    <row r="46" spans="1:13" s="411" customFormat="1" ht="22.25" customHeight="1">
      <c r="A46" s="300">
        <v>40</v>
      </c>
      <c r="B46" s="303" t="s">
        <v>508</v>
      </c>
      <c r="C46" s="301">
        <f>SUMIF(BE!$B$5:$B$459,B46,BE!$C$5:$C$459)</f>
        <v>0</v>
      </c>
      <c r="D46" s="302" t="s">
        <v>23</v>
      </c>
      <c r="E46" s="301">
        <v>95000</v>
      </c>
      <c r="F46" s="301"/>
      <c r="G46" s="301"/>
      <c r="H46" s="301"/>
      <c r="I46" s="301">
        <f>H46*1.1</f>
        <v>0</v>
      </c>
      <c r="J46" s="301"/>
      <c r="K46" s="302" t="str">
        <f t="shared" si="2"/>
        <v>Gal</v>
      </c>
      <c r="L46" s="352">
        <f t="shared" si="1"/>
        <v>0</v>
      </c>
      <c r="M46" s="865"/>
    </row>
    <row r="47" spans="1:13" s="411" customFormat="1" ht="22.25" customHeight="1">
      <c r="A47" s="300">
        <v>41</v>
      </c>
      <c r="B47" s="303" t="s">
        <v>509</v>
      </c>
      <c r="C47" s="301">
        <f>SUMIF(BE!$B$5:$B$459,B47,BE!$C$5:$C$459)</f>
        <v>0</v>
      </c>
      <c r="D47" s="302" t="s">
        <v>23</v>
      </c>
      <c r="E47" s="301">
        <v>34000</v>
      </c>
      <c r="F47" s="301"/>
      <c r="G47" s="301"/>
      <c r="H47" s="301"/>
      <c r="I47" s="301">
        <f>H47*1.1</f>
        <v>0</v>
      </c>
      <c r="J47" s="301"/>
      <c r="K47" s="302" t="str">
        <f t="shared" si="2"/>
        <v>Gal</v>
      </c>
      <c r="L47" s="352">
        <f t="shared" si="1"/>
        <v>0</v>
      </c>
      <c r="M47" s="865"/>
    </row>
    <row r="48" spans="1:13" s="410" customFormat="1" ht="22.25" customHeight="1">
      <c r="A48" s="300">
        <v>42</v>
      </c>
      <c r="B48" s="891" t="s">
        <v>378</v>
      </c>
      <c r="C48" s="440">
        <f>SUMIF(BE!$B$5:$B$459,B48,BE!$C$5:$C$459)</f>
        <v>0</v>
      </c>
      <c r="D48" s="441" t="s">
        <v>23</v>
      </c>
      <c r="E48" s="440"/>
      <c r="F48" s="440"/>
      <c r="G48" s="440"/>
      <c r="H48" s="440"/>
      <c r="I48" s="440">
        <f>H48*1.1</f>
        <v>0</v>
      </c>
      <c r="J48" s="440"/>
      <c r="K48" s="302" t="str">
        <f t="shared" si="2"/>
        <v>Gal</v>
      </c>
      <c r="L48" s="892">
        <f t="shared" si="1"/>
        <v>0</v>
      </c>
      <c r="M48" s="893"/>
    </row>
    <row r="49" spans="1:13" s="411" customFormat="1" ht="22.25" customHeight="1">
      <c r="A49" s="300">
        <v>43</v>
      </c>
      <c r="B49" s="303" t="s">
        <v>379</v>
      </c>
      <c r="C49" s="301">
        <f>SUMIF(BE!$B$5:$B$459,B49,BE!$C$5:$C$459)</f>
        <v>0</v>
      </c>
      <c r="D49" s="302" t="s">
        <v>13</v>
      </c>
      <c r="E49" s="301">
        <v>4945</v>
      </c>
      <c r="F49" s="301"/>
      <c r="G49" s="301"/>
      <c r="H49" s="301"/>
      <c r="I49" s="301">
        <f>H49*1.1</f>
        <v>0</v>
      </c>
      <c r="J49" s="301"/>
      <c r="K49" s="302" t="str">
        <f t="shared" si="2"/>
        <v>Rft</v>
      </c>
      <c r="L49" s="352">
        <f t="shared" si="1"/>
        <v>0</v>
      </c>
      <c r="M49" s="865"/>
    </row>
    <row r="50" spans="1:13" s="411" customFormat="1" ht="22.25" customHeight="1">
      <c r="A50" s="300">
        <v>44</v>
      </c>
      <c r="B50" s="303" t="s">
        <v>380</v>
      </c>
      <c r="C50" s="301">
        <f>SUMIF(BE!$B$5:$B$459,B50,BE!$C$5:$C$459)</f>
        <v>0</v>
      </c>
      <c r="D50" s="302" t="s">
        <v>52</v>
      </c>
      <c r="E50" s="301">
        <v>18500</v>
      </c>
      <c r="F50" s="301"/>
      <c r="G50" s="301"/>
      <c r="H50" s="301"/>
      <c r="I50" s="301">
        <f>E50*1.1</f>
        <v>20350</v>
      </c>
      <c r="J50" s="301"/>
      <c r="K50" s="302" t="str">
        <f t="shared" si="2"/>
        <v>Viss</v>
      </c>
      <c r="L50" s="352">
        <f t="shared" si="1"/>
        <v>0</v>
      </c>
      <c r="M50" s="865"/>
    </row>
    <row r="51" spans="1:13" s="411" customFormat="1" ht="22.25" customHeight="1">
      <c r="A51" s="300">
        <v>45</v>
      </c>
      <c r="B51" s="303" t="s">
        <v>49</v>
      </c>
      <c r="C51" s="301">
        <f>SUMIF(BE!$B$5:$B$459,B51,BE!$C$5:$C$459)</f>
        <v>0</v>
      </c>
      <c r="D51" s="302" t="s">
        <v>304</v>
      </c>
      <c r="E51" s="301">
        <v>8500</v>
      </c>
      <c r="F51" s="301"/>
      <c r="G51" s="301"/>
      <c r="H51" s="301"/>
      <c r="I51" s="301">
        <f>E51*1.1</f>
        <v>9350</v>
      </c>
      <c r="J51" s="301"/>
      <c r="K51" s="302" t="str">
        <f t="shared" si="2"/>
        <v>Nos.</v>
      </c>
      <c r="L51" s="352"/>
      <c r="M51" s="865"/>
    </row>
    <row r="52" spans="1:13" s="411" customFormat="1" ht="22.25" customHeight="1">
      <c r="A52" s="300">
        <v>46</v>
      </c>
      <c r="B52" s="303" t="s">
        <v>419</v>
      </c>
      <c r="C52" s="301">
        <f>SUMIF(BE!$B$5:$B$459,B52,BE!$C$5:$C$459)</f>
        <v>0</v>
      </c>
      <c r="D52" s="302" t="s">
        <v>13</v>
      </c>
      <c r="E52" s="301">
        <f>ROUNDUP(G52/11,-2)</f>
        <v>2400</v>
      </c>
      <c r="F52" s="301" t="s">
        <v>304</v>
      </c>
      <c r="G52" s="301">
        <v>25500</v>
      </c>
      <c r="H52" s="301"/>
      <c r="I52" s="301">
        <f>H52*1.1</f>
        <v>0</v>
      </c>
      <c r="J52" s="301"/>
      <c r="K52" s="302" t="str">
        <f t="shared" si="2"/>
        <v>Rft</v>
      </c>
      <c r="L52" s="352">
        <f t="shared" si="1"/>
        <v>0</v>
      </c>
      <c r="M52" s="865"/>
    </row>
    <row r="53" spans="1:13" s="411" customFormat="1" ht="22.25" customHeight="1">
      <c r="A53" s="300">
        <v>47</v>
      </c>
      <c r="B53" s="303" t="s">
        <v>412</v>
      </c>
      <c r="C53" s="301">
        <f>SUMIF(BE!$B$5:$B$459,B53,BE!$C$5:$C$459)</f>
        <v>0</v>
      </c>
      <c r="D53" s="302" t="s">
        <v>13</v>
      </c>
      <c r="E53" s="301">
        <f>ROUNDUP(2350*1.3,-2)</f>
        <v>3100</v>
      </c>
      <c r="F53" s="301"/>
      <c r="G53" s="301"/>
      <c r="H53" s="301">
        <v>2800</v>
      </c>
      <c r="I53" s="301">
        <f>H53*1.1</f>
        <v>3080.0000000000005</v>
      </c>
      <c r="J53" s="301"/>
      <c r="K53" s="302" t="str">
        <f t="shared" si="2"/>
        <v>Rft</v>
      </c>
      <c r="L53" s="352">
        <f t="shared" si="1"/>
        <v>0</v>
      </c>
      <c r="M53" s="865"/>
    </row>
    <row r="54" spans="1:13" s="411" customFormat="1" ht="22.25" customHeight="1">
      <c r="A54" s="300">
        <v>48</v>
      </c>
      <c r="B54" s="303" t="s">
        <v>489</v>
      </c>
      <c r="C54" s="301">
        <f>SUMIF(BE!$B$5:$B$459,B54,BE!$C$5:$C$459)</f>
        <v>0</v>
      </c>
      <c r="D54" s="302" t="s">
        <v>19</v>
      </c>
      <c r="E54" s="301">
        <v>40000</v>
      </c>
      <c r="F54" s="301"/>
      <c r="G54" s="301"/>
      <c r="H54" s="301"/>
      <c r="I54" s="301">
        <f>H54*1.1</f>
        <v>0</v>
      </c>
      <c r="J54" s="301"/>
      <c r="K54" s="302" t="str">
        <f t="shared" si="2"/>
        <v>Sheet</v>
      </c>
      <c r="L54" s="352">
        <f t="shared" si="1"/>
        <v>0</v>
      </c>
      <c r="M54" s="865"/>
    </row>
    <row r="55" spans="1:13" s="411" customFormat="1" ht="22.25" customHeight="1">
      <c r="A55" s="300">
        <v>49</v>
      </c>
      <c r="B55" s="303" t="s">
        <v>840</v>
      </c>
      <c r="C55" s="301">
        <f>SUMIF(BE!$B$5:$B$459,B55,BE!$C$5:$C$459)</f>
        <v>0</v>
      </c>
      <c r="D55" s="302" t="s">
        <v>19</v>
      </c>
      <c r="E55" s="301">
        <v>72500</v>
      </c>
      <c r="F55" s="301"/>
      <c r="G55" s="301"/>
      <c r="H55" s="301"/>
      <c r="I55" s="301">
        <f>H55*1.1</f>
        <v>0</v>
      </c>
      <c r="J55" s="301"/>
      <c r="K55" s="302" t="str">
        <f>D55</f>
        <v>Sheet</v>
      </c>
      <c r="L55" s="352">
        <f>J55*C55</f>
        <v>0</v>
      </c>
      <c r="M55" s="865"/>
    </row>
    <row r="56" spans="1:13" s="411" customFormat="1" ht="22.25" customHeight="1">
      <c r="A56" s="300">
        <v>50</v>
      </c>
      <c r="B56" s="676" t="s">
        <v>842</v>
      </c>
      <c r="C56" s="301">
        <f>SUMIF(BE!$B$5:$B$459,B56,BE!$C$5:$C$459)</f>
        <v>0</v>
      </c>
      <c r="D56" s="302" t="s">
        <v>304</v>
      </c>
      <c r="E56" s="301">
        <v>1550</v>
      </c>
      <c r="F56" s="301"/>
      <c r="G56" s="301"/>
      <c r="H56" s="301"/>
      <c r="I56" s="301">
        <f t="shared" ref="I56:I61" si="5">H56*1.1</f>
        <v>0</v>
      </c>
      <c r="J56" s="301"/>
      <c r="K56" s="302" t="str">
        <f t="shared" ref="K56:K61" si="6">D56</f>
        <v>Nos.</v>
      </c>
      <c r="L56" s="352"/>
      <c r="M56" s="865"/>
    </row>
    <row r="57" spans="1:13" s="411" customFormat="1" ht="22.25" customHeight="1">
      <c r="A57" s="300">
        <v>51</v>
      </c>
      <c r="B57" s="676" t="s">
        <v>843</v>
      </c>
      <c r="C57" s="301">
        <f>SUMIF(BE!$B$5:$B$459,B57,BE!$C$5:$C$459)</f>
        <v>0</v>
      </c>
      <c r="D57" s="302" t="s">
        <v>304</v>
      </c>
      <c r="E57" s="301">
        <v>3500</v>
      </c>
      <c r="F57" s="301"/>
      <c r="G57" s="301"/>
      <c r="H57" s="301"/>
      <c r="I57" s="301">
        <f t="shared" si="5"/>
        <v>0</v>
      </c>
      <c r="J57" s="301"/>
      <c r="K57" s="302" t="str">
        <f t="shared" si="6"/>
        <v>Nos.</v>
      </c>
      <c r="L57" s="352"/>
      <c r="M57" s="865"/>
    </row>
    <row r="58" spans="1:13" s="411" customFormat="1" ht="22.25" customHeight="1">
      <c r="A58" s="300">
        <v>52</v>
      </c>
      <c r="B58" s="676" t="s">
        <v>844</v>
      </c>
      <c r="C58" s="301">
        <f>SUMIF(BE!$B$5:$B$459,B58,BE!$C$5:$C$459)</f>
        <v>0</v>
      </c>
      <c r="D58" s="302" t="s">
        <v>709</v>
      </c>
      <c r="E58" s="301">
        <v>8000</v>
      </c>
      <c r="F58" s="301"/>
      <c r="G58" s="301"/>
      <c r="H58" s="301"/>
      <c r="I58" s="301">
        <f t="shared" si="5"/>
        <v>0</v>
      </c>
      <c r="J58" s="301"/>
      <c r="K58" s="302" t="str">
        <f t="shared" si="6"/>
        <v>Pkt</v>
      </c>
      <c r="L58" s="352"/>
      <c r="M58" s="865"/>
    </row>
    <row r="59" spans="1:13" s="411" customFormat="1" ht="22.25" customHeight="1">
      <c r="A59" s="300">
        <v>53</v>
      </c>
      <c r="B59" s="676" t="s">
        <v>845</v>
      </c>
      <c r="C59" s="301">
        <f>SUMIF(BE!$B$5:$B$459,B59,BE!$C$5:$C$459)</f>
        <v>0</v>
      </c>
      <c r="D59" s="302" t="s">
        <v>657</v>
      </c>
      <c r="E59" s="301">
        <v>16000</v>
      </c>
      <c r="F59" s="301"/>
      <c r="G59" s="301"/>
      <c r="H59" s="301"/>
      <c r="I59" s="301">
        <f t="shared" si="5"/>
        <v>0</v>
      </c>
      <c r="J59" s="301"/>
      <c r="K59" s="302" t="str">
        <f t="shared" si="6"/>
        <v>Box</v>
      </c>
      <c r="L59" s="352"/>
      <c r="M59" s="865"/>
    </row>
    <row r="60" spans="1:13" s="411" customFormat="1" ht="22.25" customHeight="1">
      <c r="A60" s="300">
        <v>54</v>
      </c>
      <c r="B60" s="676" t="s">
        <v>867</v>
      </c>
      <c r="C60" s="301">
        <f>SUMIF(BE!$B$5:$B$459,B60,BE!$C$5:$C$459)</f>
        <v>0</v>
      </c>
      <c r="D60" s="302" t="s">
        <v>304</v>
      </c>
      <c r="E60" s="301">
        <v>37500</v>
      </c>
      <c r="F60" s="301"/>
      <c r="G60" s="301"/>
      <c r="H60" s="301"/>
      <c r="I60" s="301">
        <f t="shared" si="5"/>
        <v>0</v>
      </c>
      <c r="J60" s="301"/>
      <c r="K60" s="302" t="str">
        <f t="shared" si="6"/>
        <v>Nos.</v>
      </c>
      <c r="L60" s="352"/>
      <c r="M60" s="865"/>
    </row>
    <row r="61" spans="1:13" s="411" customFormat="1" ht="22.25" customHeight="1">
      <c r="A61" s="300">
        <v>55</v>
      </c>
      <c r="B61" s="676" t="s">
        <v>846</v>
      </c>
      <c r="C61" s="301">
        <f>SUMIF(BE!$B$5:$B$459,B61,BE!$C$5:$C$459)</f>
        <v>0</v>
      </c>
      <c r="D61" s="302" t="s">
        <v>304</v>
      </c>
      <c r="E61" s="301">
        <v>34000</v>
      </c>
      <c r="F61" s="301"/>
      <c r="G61" s="301"/>
      <c r="H61" s="301"/>
      <c r="I61" s="301">
        <f t="shared" si="5"/>
        <v>0</v>
      </c>
      <c r="J61" s="301"/>
      <c r="K61" s="302" t="str">
        <f t="shared" si="6"/>
        <v>Nos.</v>
      </c>
      <c r="L61" s="352"/>
      <c r="M61" s="865"/>
    </row>
    <row r="62" spans="1:13" s="411" customFormat="1" ht="22.25" customHeight="1">
      <c r="A62" s="300">
        <v>56</v>
      </c>
      <c r="B62" s="676" t="s">
        <v>864</v>
      </c>
      <c r="C62" s="301">
        <f>SUMIF(BE!$B$5:$B$459,B62,BE!$C$5:$C$459)</f>
        <v>0</v>
      </c>
      <c r="D62" s="302" t="s">
        <v>304</v>
      </c>
      <c r="E62" s="301">
        <v>30000</v>
      </c>
      <c r="F62" s="301"/>
      <c r="G62" s="301"/>
      <c r="H62" s="301"/>
      <c r="I62" s="301">
        <f t="shared" ref="I62:I71" si="7">H62*1.1</f>
        <v>0</v>
      </c>
      <c r="J62" s="301"/>
      <c r="K62" s="302" t="str">
        <f t="shared" ref="K62:K68" si="8">D62</f>
        <v>Nos.</v>
      </c>
      <c r="L62" s="352"/>
      <c r="M62" s="865"/>
    </row>
    <row r="63" spans="1:13" s="411" customFormat="1" ht="22.25" customHeight="1">
      <c r="A63" s="300">
        <v>57</v>
      </c>
      <c r="B63" s="676" t="s">
        <v>865</v>
      </c>
      <c r="C63" s="301">
        <f>SUMIF(BE!$B$5:$B$459,B63,BE!$C$5:$C$459)</f>
        <v>0</v>
      </c>
      <c r="D63" s="302" t="s">
        <v>13</v>
      </c>
      <c r="E63" s="301">
        <v>15000</v>
      </c>
      <c r="F63" s="301"/>
      <c r="G63" s="301"/>
      <c r="H63" s="301"/>
      <c r="I63" s="301">
        <f t="shared" si="7"/>
        <v>0</v>
      </c>
      <c r="J63" s="301"/>
      <c r="K63" s="302" t="str">
        <f t="shared" si="8"/>
        <v>Rft</v>
      </c>
      <c r="L63" s="352"/>
      <c r="M63" s="865"/>
    </row>
    <row r="64" spans="1:13" s="411" customFormat="1" ht="22.25" customHeight="1">
      <c r="A64" s="300">
        <v>58</v>
      </c>
      <c r="B64" s="676" t="s">
        <v>930</v>
      </c>
      <c r="C64" s="301">
        <f>SUMIF(BE!$B$5:$B$459,B64,BE!$C$5:$C$459)</f>
        <v>0</v>
      </c>
      <c r="D64" s="302" t="s">
        <v>304</v>
      </c>
      <c r="E64" s="301">
        <v>500</v>
      </c>
      <c r="F64" s="301"/>
      <c r="G64" s="301"/>
      <c r="H64" s="301"/>
      <c r="I64" s="301">
        <f t="shared" si="7"/>
        <v>0</v>
      </c>
      <c r="J64" s="301"/>
      <c r="K64" s="302" t="str">
        <f t="shared" si="8"/>
        <v>Nos.</v>
      </c>
      <c r="L64" s="352"/>
      <c r="M64" s="865"/>
    </row>
    <row r="65" spans="1:13" s="411" customFormat="1" ht="22.25" customHeight="1">
      <c r="A65" s="300">
        <v>59</v>
      </c>
      <c r="B65" s="676" t="s">
        <v>931</v>
      </c>
      <c r="C65" s="301">
        <f>SUMIF(BE!$B$5:$B$459,B65,BE!$C$5:$C$459)</f>
        <v>0</v>
      </c>
      <c r="D65" s="302" t="s">
        <v>304</v>
      </c>
      <c r="E65" s="301">
        <v>150</v>
      </c>
      <c r="F65" s="301"/>
      <c r="G65" s="301"/>
      <c r="H65" s="301"/>
      <c r="I65" s="301">
        <f t="shared" si="7"/>
        <v>0</v>
      </c>
      <c r="J65" s="301"/>
      <c r="K65" s="302" t="str">
        <f t="shared" si="8"/>
        <v>Nos.</v>
      </c>
      <c r="L65" s="352"/>
      <c r="M65" s="865"/>
    </row>
    <row r="66" spans="1:13" s="411" customFormat="1" ht="22.25" customHeight="1">
      <c r="A66" s="300">
        <v>60</v>
      </c>
      <c r="B66" s="676" t="s">
        <v>868</v>
      </c>
      <c r="C66" s="301">
        <f>SUMIF(BE!$B$5:$B$459,B66,BE!$C$5:$C$459)</f>
        <v>0</v>
      </c>
      <c r="D66" s="302" t="s">
        <v>15</v>
      </c>
      <c r="E66" s="301">
        <v>67600</v>
      </c>
      <c r="F66" s="301"/>
      <c r="G66" s="301"/>
      <c r="H66" s="301"/>
      <c r="I66" s="301">
        <f t="shared" si="7"/>
        <v>0</v>
      </c>
      <c r="J66" s="301"/>
      <c r="K66" s="302" t="str">
        <f t="shared" si="8"/>
        <v>Bag</v>
      </c>
      <c r="L66" s="352"/>
      <c r="M66" s="865"/>
    </row>
    <row r="67" spans="1:13" s="411" customFormat="1" ht="22.25" customHeight="1">
      <c r="A67" s="300">
        <v>61</v>
      </c>
      <c r="B67" s="676" t="s">
        <v>870</v>
      </c>
      <c r="C67" s="301">
        <f>SUMIF(BE!$B$5:$B$459,B67,BE!$C$5:$C$459)</f>
        <v>0</v>
      </c>
      <c r="D67" s="302" t="s">
        <v>605</v>
      </c>
      <c r="E67" s="301">
        <v>4000</v>
      </c>
      <c r="F67" s="301"/>
      <c r="G67" s="301"/>
      <c r="H67" s="301"/>
      <c r="I67" s="301">
        <f t="shared" si="7"/>
        <v>0</v>
      </c>
      <c r="J67" s="301"/>
      <c r="K67" s="302" t="str">
        <f t="shared" si="8"/>
        <v>Coil</v>
      </c>
      <c r="L67" s="301">
        <f>SUMIF(BE!$B$5:$B$459,K67,BE!$C$5:$C$459)</f>
        <v>0</v>
      </c>
      <c r="M67" s="865"/>
    </row>
    <row r="68" spans="1:13" s="411" customFormat="1" ht="22.25" customHeight="1">
      <c r="A68" s="300">
        <v>62</v>
      </c>
      <c r="B68" s="303" t="s">
        <v>872</v>
      </c>
      <c r="C68" s="301">
        <f>SUMIF(BE!$B$5:$B$459,B68,BE!$C$5:$C$459)</f>
        <v>0</v>
      </c>
      <c r="D68" s="302" t="s">
        <v>23</v>
      </c>
      <c r="E68" s="301">
        <v>80600</v>
      </c>
      <c r="F68" s="301"/>
      <c r="G68" s="301"/>
      <c r="H68" s="301"/>
      <c r="I68" s="301">
        <f t="shared" si="7"/>
        <v>0</v>
      </c>
      <c r="J68" s="301"/>
      <c r="K68" s="302" t="str">
        <f t="shared" si="8"/>
        <v>Gal</v>
      </c>
      <c r="L68" s="352"/>
      <c r="M68" s="865"/>
    </row>
    <row r="69" spans="1:13" s="410" customFormat="1" ht="22.25" customHeight="1">
      <c r="A69" s="300">
        <v>63</v>
      </c>
      <c r="B69" s="891" t="s">
        <v>502</v>
      </c>
      <c r="C69" s="440">
        <f>SUMIF(BE!$B$5:$B$459,B69,BE!$C$5:$C$459)</f>
        <v>0</v>
      </c>
      <c r="D69" s="441" t="s">
        <v>45</v>
      </c>
      <c r="E69" s="440"/>
      <c r="F69" s="440"/>
      <c r="G69" s="440"/>
      <c r="H69" s="440"/>
      <c r="I69" s="440">
        <f t="shared" si="7"/>
        <v>0</v>
      </c>
      <c r="J69" s="440"/>
      <c r="K69" s="441" t="s">
        <v>45</v>
      </c>
      <c r="L69" s="892">
        <f t="shared" si="1"/>
        <v>0</v>
      </c>
      <c r="M69" s="893"/>
    </row>
    <row r="70" spans="1:13" s="410" customFormat="1" ht="22.25" customHeight="1">
      <c r="A70" s="300">
        <v>64</v>
      </c>
      <c r="B70" s="891" t="s">
        <v>504</v>
      </c>
      <c r="C70" s="440">
        <f>SUMIF(BE!$B$5:$B$459,B70,BE!$C$5:$C$459)</f>
        <v>0</v>
      </c>
      <c r="D70" s="441" t="s">
        <v>45</v>
      </c>
      <c r="E70" s="440"/>
      <c r="F70" s="440"/>
      <c r="G70" s="440"/>
      <c r="H70" s="440"/>
      <c r="I70" s="440">
        <f t="shared" si="7"/>
        <v>0</v>
      </c>
      <c r="J70" s="440"/>
      <c r="K70" s="441" t="s">
        <v>45</v>
      </c>
      <c r="L70" s="892">
        <f t="shared" si="1"/>
        <v>0</v>
      </c>
      <c r="M70" s="893"/>
    </row>
    <row r="71" spans="1:13" s="410" customFormat="1" ht="22.25" customHeight="1">
      <c r="A71" s="300">
        <v>65</v>
      </c>
      <c r="B71" s="891" t="s">
        <v>506</v>
      </c>
      <c r="C71" s="440">
        <f>SUMIF(BE!$B$5:$B$459,B71,BE!$C$5:$C$459)</f>
        <v>0</v>
      </c>
      <c r="D71" s="441" t="s">
        <v>45</v>
      </c>
      <c r="E71" s="440"/>
      <c r="F71" s="440"/>
      <c r="G71" s="440"/>
      <c r="H71" s="440"/>
      <c r="I71" s="440">
        <f t="shared" si="7"/>
        <v>0</v>
      </c>
      <c r="J71" s="440"/>
      <c r="K71" s="441" t="s">
        <v>45</v>
      </c>
      <c r="L71" s="892">
        <f t="shared" si="1"/>
        <v>0</v>
      </c>
      <c r="M71" s="893"/>
    </row>
    <row r="72" spans="1:13" s="411" customFormat="1" ht="22.25" customHeight="1">
      <c r="A72" s="300">
        <v>66</v>
      </c>
      <c r="B72" s="303" t="s">
        <v>490</v>
      </c>
      <c r="C72" s="301">
        <f>SUMIF(BE!$B$5:$B$459,B72,BE!$C$5:$C$459)</f>
        <v>0</v>
      </c>
      <c r="D72" s="302" t="s">
        <v>13</v>
      </c>
      <c r="E72" s="301">
        <v>10500</v>
      </c>
      <c r="F72" s="301"/>
      <c r="G72" s="301"/>
      <c r="H72" s="301"/>
      <c r="I72" s="301">
        <f t="shared" ref="I72:I80" si="9">E72*1.1</f>
        <v>11550.000000000002</v>
      </c>
      <c r="J72" s="301"/>
      <c r="K72" s="302" t="str">
        <f>D72</f>
        <v>Rft</v>
      </c>
      <c r="L72" s="352">
        <f t="shared" si="1"/>
        <v>0</v>
      </c>
      <c r="M72" s="865"/>
    </row>
    <row r="73" spans="1:13" s="411" customFormat="1" ht="22.25" customHeight="1">
      <c r="A73" s="300">
        <v>67</v>
      </c>
      <c r="B73" s="303" t="s">
        <v>661</v>
      </c>
      <c r="C73" s="301">
        <f>SUMIF(BE!$B$5:$B$459,B73,BE!$C$5:$C$459)</f>
        <v>0</v>
      </c>
      <c r="D73" s="302" t="s">
        <v>13</v>
      </c>
      <c r="E73" s="301">
        <v>16500</v>
      </c>
      <c r="F73" s="301"/>
      <c r="G73" s="301"/>
      <c r="H73" s="301"/>
      <c r="I73" s="301">
        <f t="shared" si="9"/>
        <v>18150</v>
      </c>
      <c r="J73" s="301"/>
      <c r="K73" s="302" t="str">
        <f>D73</f>
        <v>Rft</v>
      </c>
      <c r="L73" s="352">
        <f>J73*C73</f>
        <v>0</v>
      </c>
      <c r="M73" s="865"/>
    </row>
    <row r="74" spans="1:13" s="411" customFormat="1" ht="22.25" customHeight="1">
      <c r="A74" s="300">
        <v>81</v>
      </c>
      <c r="B74" s="303" t="s">
        <v>646</v>
      </c>
      <c r="C74" s="301"/>
      <c r="D74" s="302" t="s">
        <v>304</v>
      </c>
      <c r="E74" s="301">
        <v>350</v>
      </c>
      <c r="F74" s="301"/>
      <c r="G74" s="301"/>
      <c r="H74" s="301"/>
      <c r="I74" s="301">
        <f t="shared" si="9"/>
        <v>385.00000000000006</v>
      </c>
      <c r="J74" s="301"/>
      <c r="K74" s="302" t="str">
        <f>D74</f>
        <v>Nos.</v>
      </c>
      <c r="L74" s="353"/>
      <c r="M74" s="865"/>
    </row>
    <row r="75" spans="1:13" s="411" customFormat="1" ht="22.25" customHeight="1">
      <c r="A75" s="300">
        <v>82</v>
      </c>
      <c r="B75" s="303" t="s">
        <v>647</v>
      </c>
      <c r="C75" s="301"/>
      <c r="D75" s="302" t="s">
        <v>304</v>
      </c>
      <c r="E75" s="301">
        <v>7800</v>
      </c>
      <c r="F75" s="301"/>
      <c r="G75" s="301"/>
      <c r="H75" s="301"/>
      <c r="I75" s="301">
        <f t="shared" si="9"/>
        <v>8580</v>
      </c>
      <c r="J75" s="301"/>
      <c r="K75" s="302" t="str">
        <f>D75</f>
        <v>Nos.</v>
      </c>
      <c r="L75" s="353"/>
      <c r="M75" s="865"/>
    </row>
    <row r="76" spans="1:13" s="411" customFormat="1" ht="22.25" customHeight="1">
      <c r="A76" s="300">
        <v>68</v>
      </c>
      <c r="B76" s="676" t="s">
        <v>874</v>
      </c>
      <c r="C76" s="301"/>
      <c r="D76" s="302" t="s">
        <v>45</v>
      </c>
      <c r="E76" s="301">
        <v>43000</v>
      </c>
      <c r="F76" s="301"/>
      <c r="G76" s="301"/>
      <c r="H76" s="301"/>
      <c r="I76" s="301">
        <f t="shared" si="9"/>
        <v>47300.000000000007</v>
      </c>
      <c r="J76" s="301"/>
      <c r="K76" s="302" t="str">
        <f t="shared" ref="K76:K82" si="10">D76</f>
        <v>Sft</v>
      </c>
      <c r="L76" s="352"/>
      <c r="M76" s="865"/>
    </row>
    <row r="77" spans="1:13" s="411" customFormat="1" ht="22.25" customHeight="1">
      <c r="A77" s="300">
        <v>69</v>
      </c>
      <c r="B77" s="676" t="s">
        <v>875</v>
      </c>
      <c r="C77" s="301"/>
      <c r="D77" s="302" t="s">
        <v>304</v>
      </c>
      <c r="E77" s="301">
        <v>3900</v>
      </c>
      <c r="F77" s="301"/>
      <c r="G77" s="301"/>
      <c r="H77" s="301"/>
      <c r="I77" s="301">
        <f t="shared" si="9"/>
        <v>4290</v>
      </c>
      <c r="J77" s="301"/>
      <c r="K77" s="302" t="str">
        <f t="shared" si="10"/>
        <v>Nos.</v>
      </c>
      <c r="L77" s="352"/>
      <c r="M77" s="865"/>
    </row>
    <row r="78" spans="1:13" s="411" customFormat="1" ht="22.25" customHeight="1">
      <c r="A78" s="300">
        <v>70</v>
      </c>
      <c r="B78" s="676" t="s">
        <v>191</v>
      </c>
      <c r="C78" s="301"/>
      <c r="D78" s="302" t="s">
        <v>304</v>
      </c>
      <c r="E78" s="301">
        <v>100</v>
      </c>
      <c r="F78" s="301"/>
      <c r="G78" s="301"/>
      <c r="H78" s="301"/>
      <c r="I78" s="301">
        <f t="shared" si="9"/>
        <v>110.00000000000001</v>
      </c>
      <c r="J78" s="301"/>
      <c r="K78" s="302" t="str">
        <f t="shared" si="10"/>
        <v>Nos.</v>
      </c>
      <c r="L78" s="352"/>
      <c r="M78" s="865"/>
    </row>
    <row r="79" spans="1:13" s="411" customFormat="1" ht="22.25" customHeight="1">
      <c r="A79" s="300">
        <v>71</v>
      </c>
      <c r="B79" s="676" t="s">
        <v>876</v>
      </c>
      <c r="C79" s="301"/>
      <c r="D79" s="302" t="s">
        <v>304</v>
      </c>
      <c r="E79" s="301">
        <v>85000</v>
      </c>
      <c r="F79" s="301"/>
      <c r="G79" s="301"/>
      <c r="H79" s="301"/>
      <c r="I79" s="301">
        <f t="shared" si="9"/>
        <v>93500.000000000015</v>
      </c>
      <c r="J79" s="301"/>
      <c r="K79" s="302" t="str">
        <f t="shared" si="10"/>
        <v>Nos.</v>
      </c>
      <c r="L79" s="352"/>
      <c r="M79" s="865"/>
    </row>
    <row r="80" spans="1:13" s="411" customFormat="1" ht="22.25" customHeight="1">
      <c r="A80" s="300">
        <v>72</v>
      </c>
      <c r="B80" s="676" t="s">
        <v>932</v>
      </c>
      <c r="C80" s="301"/>
      <c r="D80" s="302" t="s">
        <v>877</v>
      </c>
      <c r="E80" s="301">
        <v>1400000</v>
      </c>
      <c r="F80" s="301"/>
      <c r="G80" s="301"/>
      <c r="H80" s="301"/>
      <c r="I80" s="301">
        <f t="shared" si="9"/>
        <v>1540000.0000000002</v>
      </c>
      <c r="J80" s="301"/>
      <c r="K80" s="302" t="str">
        <f t="shared" si="10"/>
        <v>Set</v>
      </c>
      <c r="L80" s="352"/>
      <c r="M80" s="865"/>
    </row>
    <row r="81" spans="1:13" s="411" customFormat="1" ht="22.25" customHeight="1">
      <c r="A81" s="300">
        <v>73</v>
      </c>
      <c r="B81" s="303" t="s">
        <v>496</v>
      </c>
      <c r="C81" s="301">
        <f>SUMIF(BE!$B$5:$B$459,B81,BE!$C$5:$C$459)</f>
        <v>0</v>
      </c>
      <c r="D81" s="302" t="s">
        <v>572</v>
      </c>
      <c r="E81" s="301">
        <f>G81/4</f>
        <v>6500</v>
      </c>
      <c r="F81" s="301" t="s">
        <v>23</v>
      </c>
      <c r="G81" s="301">
        <v>26000</v>
      </c>
      <c r="H81" s="301"/>
      <c r="I81" s="301">
        <f>H81*1.1</f>
        <v>0</v>
      </c>
      <c r="J81" s="301"/>
      <c r="K81" s="302" t="str">
        <f t="shared" si="10"/>
        <v>Lit</v>
      </c>
      <c r="L81" s="352">
        <f t="shared" si="1"/>
        <v>0</v>
      </c>
      <c r="M81" s="865"/>
    </row>
    <row r="82" spans="1:13" s="411" customFormat="1" ht="22.25" customHeight="1">
      <c r="A82" s="300">
        <v>74</v>
      </c>
      <c r="B82" s="676" t="s">
        <v>881</v>
      </c>
      <c r="C82" s="301"/>
      <c r="D82" s="302" t="s">
        <v>572</v>
      </c>
      <c r="E82" s="301">
        <v>19500</v>
      </c>
      <c r="F82" s="301"/>
      <c r="G82" s="301"/>
      <c r="H82" s="301"/>
      <c r="I82" s="301"/>
      <c r="J82" s="301"/>
      <c r="K82" s="302" t="str">
        <f t="shared" si="10"/>
        <v>Lit</v>
      </c>
      <c r="L82" s="353"/>
      <c r="M82" s="865"/>
    </row>
    <row r="83" spans="1:13" s="411" customFormat="1" ht="22.25" customHeight="1">
      <c r="A83" s="300">
        <v>75</v>
      </c>
      <c r="B83" s="676" t="s">
        <v>882</v>
      </c>
      <c r="C83" s="301"/>
      <c r="D83" s="302" t="s">
        <v>572</v>
      </c>
      <c r="E83" s="301">
        <f>G83/5</f>
        <v>60900</v>
      </c>
      <c r="F83" s="301" t="s">
        <v>950</v>
      </c>
      <c r="G83" s="301">
        <v>304500</v>
      </c>
      <c r="H83" s="301"/>
      <c r="I83" s="301"/>
      <c r="J83" s="301"/>
      <c r="K83" s="302" t="str">
        <f t="shared" ref="K83:K115" si="11">D83</f>
        <v>Lit</v>
      </c>
      <c r="L83" s="353"/>
      <c r="M83" s="865"/>
    </row>
    <row r="84" spans="1:13" s="411" customFormat="1" ht="22.25" customHeight="1">
      <c r="A84" s="300">
        <v>76</v>
      </c>
      <c r="B84" s="303" t="s">
        <v>510</v>
      </c>
      <c r="C84" s="301">
        <f>SUMIF(BE!$B$5:$B$459,B84,BE!$C$5:$C$459)</f>
        <v>0</v>
      </c>
      <c r="D84" s="302" t="s">
        <v>304</v>
      </c>
      <c r="E84" s="301">
        <v>3000</v>
      </c>
      <c r="F84" s="301"/>
      <c r="G84" s="301"/>
      <c r="H84" s="301"/>
      <c r="I84" s="301">
        <f>H84*1.1</f>
        <v>0</v>
      </c>
      <c r="J84" s="301"/>
      <c r="K84" s="302" t="str">
        <f t="shared" si="11"/>
        <v>Nos.</v>
      </c>
      <c r="L84" s="352">
        <f t="shared" si="1"/>
        <v>0</v>
      </c>
      <c r="M84" s="865"/>
    </row>
    <row r="85" spans="1:13" s="410" customFormat="1" ht="22.25" customHeight="1">
      <c r="A85" s="300">
        <v>77</v>
      </c>
      <c r="B85" s="891" t="s">
        <v>492</v>
      </c>
      <c r="C85" s="440">
        <f>SUMIF(BE!$B$5:$B$459,B85,BE!$C$5:$C$459)</f>
        <v>0</v>
      </c>
      <c r="D85" s="441" t="s">
        <v>304</v>
      </c>
      <c r="E85" s="440"/>
      <c r="F85" s="440"/>
      <c r="G85" s="440"/>
      <c r="H85" s="440">
        <v>75000</v>
      </c>
      <c r="I85" s="440">
        <f>H85*1.1</f>
        <v>82500</v>
      </c>
      <c r="J85" s="440"/>
      <c r="K85" s="441" t="str">
        <f t="shared" si="11"/>
        <v>Nos.</v>
      </c>
      <c r="L85" s="892">
        <f t="shared" si="1"/>
        <v>0</v>
      </c>
      <c r="M85" s="893"/>
    </row>
    <row r="86" spans="1:13" s="410" customFormat="1" ht="22.25" customHeight="1">
      <c r="A86" s="300">
        <v>78</v>
      </c>
      <c r="B86" s="891" t="s">
        <v>83</v>
      </c>
      <c r="C86" s="440">
        <f>SUMIF(BE!$B$5:$B$459,B86,BE!$C$5:$C$459)</f>
        <v>0</v>
      </c>
      <c r="D86" s="441" t="s">
        <v>28</v>
      </c>
      <c r="E86" s="440"/>
      <c r="F86" s="440"/>
      <c r="G86" s="440"/>
      <c r="H86" s="440">
        <v>7150</v>
      </c>
      <c r="I86" s="440">
        <f>H86*1.1</f>
        <v>7865.0000000000009</v>
      </c>
      <c r="J86" s="440"/>
      <c r="K86" s="441" t="str">
        <f t="shared" si="11"/>
        <v>Lbs</v>
      </c>
      <c r="L86" s="892">
        <f t="shared" si="1"/>
        <v>0</v>
      </c>
      <c r="M86" s="893"/>
    </row>
    <row r="87" spans="1:13" s="411" customFormat="1" ht="22.25" customHeight="1">
      <c r="A87" s="300">
        <v>79</v>
      </c>
      <c r="B87" s="303" t="s">
        <v>296</v>
      </c>
      <c r="C87" s="301"/>
      <c r="D87" s="302" t="s">
        <v>304</v>
      </c>
      <c r="E87" s="301">
        <v>1750</v>
      </c>
      <c r="F87" s="301"/>
      <c r="G87" s="301"/>
      <c r="H87" s="301"/>
      <c r="I87" s="301">
        <f>E87*1.1</f>
        <v>1925.0000000000002</v>
      </c>
      <c r="J87" s="301"/>
      <c r="K87" s="302" t="str">
        <f t="shared" si="11"/>
        <v>Nos.</v>
      </c>
      <c r="L87" s="353"/>
      <c r="M87" s="865"/>
    </row>
    <row r="88" spans="1:13" s="411" customFormat="1" ht="22.25" customHeight="1">
      <c r="A88" s="300">
        <v>80</v>
      </c>
      <c r="B88" s="303" t="s">
        <v>51</v>
      </c>
      <c r="C88" s="301"/>
      <c r="D88" s="302" t="s">
        <v>605</v>
      </c>
      <c r="E88" s="301">
        <v>16000</v>
      </c>
      <c r="F88" s="301"/>
      <c r="G88" s="301"/>
      <c r="H88" s="301"/>
      <c r="I88" s="301">
        <f>E88*1.1</f>
        <v>17600</v>
      </c>
      <c r="J88" s="301"/>
      <c r="K88" s="302" t="str">
        <f t="shared" si="11"/>
        <v>Coil</v>
      </c>
      <c r="L88" s="353"/>
      <c r="M88" s="865"/>
    </row>
    <row r="89" spans="1:13" s="411" customFormat="1" ht="22.25" customHeight="1">
      <c r="A89" s="300">
        <v>83</v>
      </c>
      <c r="B89" s="303" t="s">
        <v>652</v>
      </c>
      <c r="C89" s="301"/>
      <c r="D89" s="302" t="s">
        <v>304</v>
      </c>
      <c r="E89" s="301">
        <v>90</v>
      </c>
      <c r="F89" s="301"/>
      <c r="G89" s="301"/>
      <c r="H89" s="301"/>
      <c r="I89" s="301">
        <f>H89*90</f>
        <v>0</v>
      </c>
      <c r="J89" s="301"/>
      <c r="K89" s="302" t="str">
        <f t="shared" si="11"/>
        <v>Nos.</v>
      </c>
      <c r="L89" s="353"/>
      <c r="M89" s="865"/>
    </row>
    <row r="90" spans="1:13" s="411" customFormat="1" ht="22.25" customHeight="1">
      <c r="A90" s="300">
        <v>84</v>
      </c>
      <c r="B90" s="303" t="s">
        <v>656</v>
      </c>
      <c r="C90" s="301"/>
      <c r="D90" s="302" t="s">
        <v>657</v>
      </c>
      <c r="E90" s="301">
        <v>8500</v>
      </c>
      <c r="F90" s="301"/>
      <c r="G90" s="301"/>
      <c r="H90" s="301"/>
      <c r="I90" s="301">
        <f>E90*1.1</f>
        <v>9350</v>
      </c>
      <c r="J90" s="301"/>
      <c r="K90" s="302" t="str">
        <f t="shared" si="11"/>
        <v>Box</v>
      </c>
      <c r="L90" s="353"/>
      <c r="M90" s="865"/>
    </row>
    <row r="91" spans="1:13" s="411" customFormat="1" ht="22.25" customHeight="1">
      <c r="A91" s="300">
        <v>85</v>
      </c>
      <c r="B91" s="676" t="s">
        <v>883</v>
      </c>
      <c r="C91" s="301"/>
      <c r="D91" s="302" t="s">
        <v>45</v>
      </c>
      <c r="E91" s="301">
        <v>46000</v>
      </c>
      <c r="F91" s="301"/>
      <c r="G91" s="301"/>
      <c r="H91" s="301"/>
      <c r="I91" s="301"/>
      <c r="J91" s="301"/>
      <c r="K91" s="302" t="str">
        <f t="shared" si="11"/>
        <v>Sft</v>
      </c>
      <c r="L91" s="353"/>
      <c r="M91" s="865"/>
    </row>
    <row r="92" spans="1:13" s="411" customFormat="1" ht="22.25" customHeight="1">
      <c r="A92" s="300">
        <v>86</v>
      </c>
      <c r="B92" s="676" t="s">
        <v>806</v>
      </c>
      <c r="C92" s="301"/>
      <c r="D92" s="302" t="s">
        <v>30</v>
      </c>
      <c r="E92" s="301">
        <v>2700</v>
      </c>
      <c r="F92" s="301"/>
      <c r="G92" s="301"/>
      <c r="H92" s="301"/>
      <c r="I92" s="301"/>
      <c r="J92" s="301"/>
      <c r="K92" s="302" t="str">
        <f t="shared" si="11"/>
        <v>Sht</v>
      </c>
      <c r="L92" s="353"/>
      <c r="M92" s="865"/>
    </row>
    <row r="93" spans="1:13" s="411" customFormat="1" ht="22.25" customHeight="1">
      <c r="A93" s="300">
        <v>87</v>
      </c>
      <c r="B93" s="676" t="s">
        <v>807</v>
      </c>
      <c r="C93" s="301"/>
      <c r="D93" s="302" t="s">
        <v>30</v>
      </c>
      <c r="E93" s="301">
        <v>14600</v>
      </c>
      <c r="F93" s="301"/>
      <c r="G93" s="301"/>
      <c r="H93" s="301"/>
      <c r="I93" s="301"/>
      <c r="J93" s="301"/>
      <c r="K93" s="302" t="str">
        <f t="shared" si="11"/>
        <v>Sht</v>
      </c>
      <c r="L93" s="353"/>
      <c r="M93" s="865"/>
    </row>
    <row r="94" spans="1:13" s="411" customFormat="1" ht="22.25" customHeight="1">
      <c r="A94" s="300">
        <v>88</v>
      </c>
      <c r="B94" s="676" t="s">
        <v>809</v>
      </c>
      <c r="C94" s="301"/>
      <c r="D94" s="302" t="s">
        <v>30</v>
      </c>
      <c r="E94" s="301">
        <v>4600</v>
      </c>
      <c r="F94" s="301"/>
      <c r="G94" s="301"/>
      <c r="H94" s="301"/>
      <c r="I94" s="301"/>
      <c r="J94" s="301"/>
      <c r="K94" s="302" t="str">
        <f t="shared" si="11"/>
        <v>Sht</v>
      </c>
      <c r="L94" s="353"/>
      <c r="M94" s="865"/>
    </row>
    <row r="95" spans="1:13" s="411" customFormat="1" ht="22.25" customHeight="1">
      <c r="A95" s="300">
        <v>89</v>
      </c>
      <c r="B95" s="676" t="s">
        <v>812</v>
      </c>
      <c r="C95" s="301"/>
      <c r="D95" s="302" t="s">
        <v>30</v>
      </c>
      <c r="E95" s="301">
        <v>4900</v>
      </c>
      <c r="F95" s="301"/>
      <c r="G95" s="301"/>
      <c r="H95" s="301"/>
      <c r="I95" s="301"/>
      <c r="J95" s="301"/>
      <c r="K95" s="302" t="str">
        <f t="shared" si="11"/>
        <v>Sht</v>
      </c>
      <c r="L95" s="353"/>
      <c r="M95" s="865"/>
    </row>
    <row r="96" spans="1:13" s="411" customFormat="1" ht="22.25" customHeight="1">
      <c r="A96" s="300">
        <v>90</v>
      </c>
      <c r="B96" s="676" t="s">
        <v>810</v>
      </c>
      <c r="C96" s="301"/>
      <c r="D96" s="302" t="s">
        <v>30</v>
      </c>
      <c r="E96" s="301">
        <v>280000</v>
      </c>
      <c r="F96" s="301"/>
      <c r="G96" s="301"/>
      <c r="H96" s="301"/>
      <c r="I96" s="301"/>
      <c r="J96" s="301"/>
      <c r="K96" s="302" t="str">
        <f t="shared" si="11"/>
        <v>Sht</v>
      </c>
      <c r="L96" s="353"/>
      <c r="M96" s="865"/>
    </row>
    <row r="97" spans="1:13" s="411" customFormat="1" ht="22.25" customHeight="1">
      <c r="A97" s="300">
        <v>91</v>
      </c>
      <c r="B97" s="676" t="s">
        <v>888</v>
      </c>
      <c r="C97" s="301"/>
      <c r="D97" s="302" t="s">
        <v>877</v>
      </c>
      <c r="E97" s="301">
        <v>24500</v>
      </c>
      <c r="F97" s="301"/>
      <c r="G97" s="301"/>
      <c r="H97" s="301"/>
      <c r="I97" s="301"/>
      <c r="J97" s="301"/>
      <c r="K97" s="302" t="str">
        <f t="shared" si="11"/>
        <v>Set</v>
      </c>
      <c r="L97" s="353"/>
      <c r="M97" s="865"/>
    </row>
    <row r="98" spans="1:13" s="411" customFormat="1" ht="22.25" customHeight="1">
      <c r="A98" s="300">
        <v>92</v>
      </c>
      <c r="B98" s="676" t="s">
        <v>889</v>
      </c>
      <c r="C98" s="301"/>
      <c r="D98" s="302" t="s">
        <v>877</v>
      </c>
      <c r="E98" s="301">
        <v>18000</v>
      </c>
      <c r="F98" s="301"/>
      <c r="G98" s="301"/>
      <c r="H98" s="301"/>
      <c r="I98" s="301"/>
      <c r="J98" s="301"/>
      <c r="K98" s="302" t="str">
        <f t="shared" si="11"/>
        <v>Set</v>
      </c>
      <c r="L98" s="353"/>
      <c r="M98" s="865"/>
    </row>
    <row r="99" spans="1:13" s="411" customFormat="1" ht="22.25" customHeight="1">
      <c r="A99" s="300">
        <v>93</v>
      </c>
      <c r="B99" s="676" t="s">
        <v>887</v>
      </c>
      <c r="C99" s="301"/>
      <c r="D99" s="302" t="s">
        <v>15</v>
      </c>
      <c r="E99" s="301">
        <v>5000</v>
      </c>
      <c r="F99" s="301"/>
      <c r="G99" s="301"/>
      <c r="H99" s="301"/>
      <c r="I99" s="301"/>
      <c r="J99" s="301"/>
      <c r="K99" s="302" t="str">
        <f t="shared" si="11"/>
        <v>Bag</v>
      </c>
      <c r="L99" s="353"/>
      <c r="M99" s="865"/>
    </row>
    <row r="100" spans="1:13" s="411" customFormat="1" ht="22.25" customHeight="1">
      <c r="A100" s="300">
        <v>94</v>
      </c>
      <c r="B100" s="676" t="s">
        <v>623</v>
      </c>
      <c r="C100" s="301"/>
      <c r="D100" s="302" t="s">
        <v>13</v>
      </c>
      <c r="E100" s="301">
        <f>ROUNDUP(G100/6,-2)</f>
        <v>600</v>
      </c>
      <c r="F100" s="301" t="s">
        <v>304</v>
      </c>
      <c r="G100" s="301">
        <v>3500</v>
      </c>
      <c r="H100" s="301"/>
      <c r="I100" s="301"/>
      <c r="J100" s="301"/>
      <c r="K100" s="302" t="str">
        <f t="shared" si="11"/>
        <v>Rft</v>
      </c>
      <c r="L100" s="353"/>
      <c r="M100" s="865"/>
    </row>
    <row r="101" spans="1:13" s="411" customFormat="1" ht="22.25" customHeight="1">
      <c r="A101" s="300">
        <v>95</v>
      </c>
      <c r="B101" s="676" t="s">
        <v>890</v>
      </c>
      <c r="C101" s="301"/>
      <c r="D101" s="445" t="s">
        <v>304</v>
      </c>
      <c r="E101" s="301">
        <v>250</v>
      </c>
      <c r="F101" s="301"/>
      <c r="G101" s="301"/>
      <c r="H101" s="301"/>
      <c r="I101" s="301"/>
      <c r="J101" s="301"/>
      <c r="K101" s="302" t="str">
        <f t="shared" si="11"/>
        <v>Nos.</v>
      </c>
      <c r="L101" s="353"/>
      <c r="M101" s="865"/>
    </row>
    <row r="102" spans="1:13" s="411" customFormat="1" ht="22.25" customHeight="1">
      <c r="A102" s="300">
        <v>96</v>
      </c>
      <c r="B102" s="676" t="s">
        <v>891</v>
      </c>
      <c r="C102" s="301"/>
      <c r="D102" s="445" t="s">
        <v>893</v>
      </c>
      <c r="E102" s="301">
        <v>38500</v>
      </c>
      <c r="F102" s="301"/>
      <c r="G102" s="301"/>
      <c r="H102" s="301"/>
      <c r="I102" s="301"/>
      <c r="J102" s="301"/>
      <c r="K102" s="302" t="str">
        <f t="shared" si="11"/>
        <v>Bot</v>
      </c>
      <c r="L102" s="353"/>
      <c r="M102" s="865"/>
    </row>
    <row r="103" spans="1:13" s="411" customFormat="1" ht="22.25" customHeight="1">
      <c r="A103" s="300">
        <v>97</v>
      </c>
      <c r="B103" s="676" t="s">
        <v>894</v>
      </c>
      <c r="C103" s="301"/>
      <c r="D103" s="445" t="s">
        <v>304</v>
      </c>
      <c r="E103" s="301">
        <v>3500</v>
      </c>
      <c r="F103" s="301"/>
      <c r="G103" s="301"/>
      <c r="H103" s="301"/>
      <c r="I103" s="301"/>
      <c r="J103" s="301"/>
      <c r="K103" s="302" t="str">
        <f t="shared" si="11"/>
        <v>Nos.</v>
      </c>
      <c r="L103" s="353"/>
      <c r="M103" s="865"/>
    </row>
    <row r="104" spans="1:13" s="411" customFormat="1" ht="22.25" customHeight="1">
      <c r="A104" s="300">
        <v>98</v>
      </c>
      <c r="B104" s="676" t="s">
        <v>895</v>
      </c>
      <c r="C104" s="301"/>
      <c r="D104" s="445" t="s">
        <v>13</v>
      </c>
      <c r="E104" s="301">
        <v>3600</v>
      </c>
      <c r="F104" s="301"/>
      <c r="G104" s="301"/>
      <c r="H104" s="301"/>
      <c r="I104" s="301"/>
      <c r="J104" s="301"/>
      <c r="K104" s="302" t="str">
        <f t="shared" si="11"/>
        <v>Rft</v>
      </c>
      <c r="L104" s="353"/>
      <c r="M104" s="865"/>
    </row>
    <row r="105" spans="1:13" s="411" customFormat="1" ht="22.25" customHeight="1">
      <c r="A105" s="300">
        <v>99</v>
      </c>
      <c r="B105" s="676" t="s">
        <v>897</v>
      </c>
      <c r="C105" s="301"/>
      <c r="D105" s="445" t="s">
        <v>572</v>
      </c>
      <c r="E105" s="301">
        <v>71600</v>
      </c>
      <c r="F105" s="301"/>
      <c r="G105" s="301"/>
      <c r="H105" s="301"/>
      <c r="I105" s="301"/>
      <c r="J105" s="301"/>
      <c r="K105" s="302" t="str">
        <f t="shared" si="11"/>
        <v>Lit</v>
      </c>
      <c r="L105" s="353"/>
      <c r="M105" s="865"/>
    </row>
    <row r="106" spans="1:13" s="411" customFormat="1" ht="22.25" customHeight="1">
      <c r="A106" s="300">
        <v>100</v>
      </c>
      <c r="B106" s="676" t="s">
        <v>898</v>
      </c>
      <c r="C106" s="301"/>
      <c r="D106" s="445" t="s">
        <v>929</v>
      </c>
      <c r="E106" s="301">
        <v>304500</v>
      </c>
      <c r="F106" s="301"/>
      <c r="G106" s="301"/>
      <c r="H106" s="301"/>
      <c r="I106" s="301"/>
      <c r="J106" s="301"/>
      <c r="K106" s="302" t="str">
        <f t="shared" si="11"/>
        <v>LIt</v>
      </c>
      <c r="L106" s="353"/>
      <c r="M106" s="865"/>
    </row>
    <row r="107" spans="1:13" s="411" customFormat="1" ht="22.25" customHeight="1">
      <c r="A107" s="300">
        <v>101</v>
      </c>
      <c r="B107" s="676" t="s">
        <v>899</v>
      </c>
      <c r="C107" s="301"/>
      <c r="D107" s="445" t="s">
        <v>657</v>
      </c>
      <c r="E107" s="301">
        <v>148000</v>
      </c>
      <c r="F107" s="301"/>
      <c r="G107" s="301"/>
      <c r="H107" s="301"/>
      <c r="I107" s="301"/>
      <c r="J107" s="301"/>
      <c r="K107" s="302" t="str">
        <f t="shared" si="11"/>
        <v>Box</v>
      </c>
      <c r="L107" s="353"/>
      <c r="M107" s="865"/>
    </row>
    <row r="108" spans="1:13" s="411" customFormat="1" ht="22.25" customHeight="1">
      <c r="A108" s="300">
        <v>102</v>
      </c>
      <c r="B108" s="676" t="s">
        <v>900</v>
      </c>
      <c r="C108" s="301"/>
      <c r="D108" s="445" t="s">
        <v>657</v>
      </c>
      <c r="E108" s="301">
        <v>45200</v>
      </c>
      <c r="F108" s="301"/>
      <c r="G108" s="301"/>
      <c r="H108" s="301"/>
      <c r="I108" s="301"/>
      <c r="J108" s="301"/>
      <c r="K108" s="302" t="str">
        <f t="shared" si="11"/>
        <v>Box</v>
      </c>
      <c r="L108" s="353"/>
      <c r="M108" s="865"/>
    </row>
    <row r="109" spans="1:13" s="411" customFormat="1" ht="22.25" customHeight="1">
      <c r="A109" s="300">
        <v>103</v>
      </c>
      <c r="B109" s="676" t="s">
        <v>901</v>
      </c>
      <c r="C109" s="301"/>
      <c r="D109" s="445" t="s">
        <v>657</v>
      </c>
      <c r="E109" s="301">
        <v>260000</v>
      </c>
      <c r="F109" s="301"/>
      <c r="G109" s="301"/>
      <c r="H109" s="301"/>
      <c r="I109" s="301"/>
      <c r="J109" s="301"/>
      <c r="K109" s="302" t="str">
        <f t="shared" si="11"/>
        <v>Box</v>
      </c>
      <c r="L109" s="353"/>
      <c r="M109" s="865"/>
    </row>
    <row r="110" spans="1:13" s="411" customFormat="1" ht="22.25" customHeight="1">
      <c r="A110" s="300">
        <v>104</v>
      </c>
      <c r="B110" s="676" t="s">
        <v>902</v>
      </c>
      <c r="C110" s="301"/>
      <c r="D110" s="445" t="s">
        <v>928</v>
      </c>
      <c r="E110" s="301">
        <v>380000</v>
      </c>
      <c r="F110" s="301"/>
      <c r="G110" s="301"/>
      <c r="H110" s="301"/>
      <c r="I110" s="301"/>
      <c r="J110" s="301"/>
      <c r="K110" s="302" t="str">
        <f t="shared" si="11"/>
        <v>Buck</v>
      </c>
      <c r="L110" s="353"/>
      <c r="M110" s="865"/>
    </row>
    <row r="111" spans="1:13" s="411" customFormat="1" ht="22.25" customHeight="1">
      <c r="A111" s="300">
        <v>105</v>
      </c>
      <c r="B111" s="676" t="s">
        <v>903</v>
      </c>
      <c r="C111" s="301"/>
      <c r="D111" s="445" t="s">
        <v>657</v>
      </c>
      <c r="E111" s="301">
        <v>2000</v>
      </c>
      <c r="F111" s="301"/>
      <c r="G111" s="301"/>
      <c r="H111" s="301"/>
      <c r="I111" s="301"/>
      <c r="J111" s="301"/>
      <c r="K111" s="302" t="str">
        <f t="shared" si="11"/>
        <v>Box</v>
      </c>
      <c r="L111" s="353"/>
      <c r="M111" s="865"/>
    </row>
    <row r="112" spans="1:13" s="411" customFormat="1" ht="22.25" customHeight="1">
      <c r="A112" s="300">
        <v>106</v>
      </c>
      <c r="B112" s="676" t="s">
        <v>904</v>
      </c>
      <c r="C112" s="301"/>
      <c r="D112" s="445" t="s">
        <v>30</v>
      </c>
      <c r="E112" s="301">
        <v>1500</v>
      </c>
      <c r="F112" s="301"/>
      <c r="G112" s="301"/>
      <c r="H112" s="301"/>
      <c r="I112" s="301"/>
      <c r="J112" s="301"/>
      <c r="K112" s="302" t="str">
        <f t="shared" si="11"/>
        <v>Sht</v>
      </c>
      <c r="L112" s="353"/>
      <c r="M112" s="865"/>
    </row>
    <row r="113" spans="1:13" s="411" customFormat="1" ht="22.25" customHeight="1">
      <c r="A113" s="300">
        <v>107</v>
      </c>
      <c r="B113" s="676" t="s">
        <v>905</v>
      </c>
      <c r="C113" s="301"/>
      <c r="D113" s="445" t="s">
        <v>304</v>
      </c>
      <c r="E113" s="301">
        <v>2500</v>
      </c>
      <c r="F113" s="301"/>
      <c r="G113" s="301"/>
      <c r="H113" s="301"/>
      <c r="I113" s="301"/>
      <c r="J113" s="301"/>
      <c r="K113" s="302" t="str">
        <f t="shared" si="11"/>
        <v>Nos.</v>
      </c>
      <c r="L113" s="353"/>
      <c r="M113" s="865"/>
    </row>
    <row r="114" spans="1:13" s="411" customFormat="1" ht="22.25" customHeight="1">
      <c r="A114" s="300">
        <v>108</v>
      </c>
      <c r="B114" s="676" t="s">
        <v>933</v>
      </c>
      <c r="C114" s="301"/>
      <c r="D114" s="445" t="s">
        <v>13</v>
      </c>
      <c r="E114" s="301">
        <v>40000</v>
      </c>
      <c r="F114" s="301"/>
      <c r="G114" s="301"/>
      <c r="H114" s="301"/>
      <c r="I114" s="301"/>
      <c r="J114" s="301"/>
      <c r="K114" s="302" t="str">
        <f t="shared" si="11"/>
        <v>Rft</v>
      </c>
      <c r="L114" s="353"/>
      <c r="M114" s="865"/>
    </row>
    <row r="115" spans="1:13" s="411" customFormat="1" ht="22.25" customHeight="1">
      <c r="A115" s="300">
        <v>109</v>
      </c>
      <c r="B115" s="303" t="s">
        <v>947</v>
      </c>
      <c r="C115" s="301"/>
      <c r="D115" s="302" t="s">
        <v>11</v>
      </c>
      <c r="E115" s="301">
        <v>630000</v>
      </c>
      <c r="F115" s="301"/>
      <c r="G115" s="301"/>
      <c r="H115" s="301"/>
      <c r="I115" s="301"/>
      <c r="J115" s="301"/>
      <c r="K115" s="302" t="str">
        <f t="shared" si="11"/>
        <v>Sud</v>
      </c>
      <c r="L115" s="353"/>
      <c r="M115" s="865"/>
    </row>
    <row r="116" spans="1:13" s="411" customFormat="1" ht="22.25" customHeight="1">
      <c r="A116" s="300"/>
      <c r="B116" s="303"/>
      <c r="C116" s="301"/>
      <c r="D116" s="302"/>
      <c r="E116" s="440"/>
      <c r="F116" s="301"/>
      <c r="G116" s="301"/>
      <c r="H116" s="301"/>
      <c r="I116" s="301"/>
      <c r="J116" s="301"/>
      <c r="K116" s="302"/>
      <c r="L116" s="353"/>
      <c r="M116" s="677"/>
    </row>
    <row r="117" spans="1:13" s="411" customFormat="1" ht="22.25" customHeight="1">
      <c r="A117" s="300"/>
      <c r="B117" s="303"/>
      <c r="C117" s="301"/>
      <c r="D117" s="302"/>
      <c r="E117" s="440"/>
      <c r="F117" s="301"/>
      <c r="G117" s="301"/>
      <c r="H117" s="301"/>
      <c r="I117" s="301"/>
      <c r="J117" s="301"/>
      <c r="K117" s="302"/>
      <c r="L117" s="353"/>
      <c r="M117" s="677"/>
    </row>
    <row r="118" spans="1:13" s="411" customFormat="1" ht="22.25" customHeight="1">
      <c r="A118" s="300"/>
      <c r="B118" s="303"/>
      <c r="C118" s="301"/>
      <c r="D118" s="302"/>
      <c r="E118" s="440"/>
      <c r="F118" s="301"/>
      <c r="G118" s="301"/>
      <c r="H118" s="301"/>
      <c r="I118" s="301"/>
      <c r="J118" s="301"/>
      <c r="K118" s="302"/>
      <c r="L118" s="353"/>
      <c r="M118" s="677"/>
    </row>
    <row r="119" spans="1:13" s="411" customFormat="1" ht="22.25" customHeight="1" thickBot="1">
      <c r="A119" s="300"/>
      <c r="B119" s="304"/>
      <c r="C119" s="301"/>
      <c r="D119" s="302"/>
      <c r="E119" s="440"/>
      <c r="F119" s="301"/>
      <c r="G119" s="301"/>
      <c r="H119" s="301"/>
      <c r="I119" s="301"/>
      <c r="J119" s="301"/>
      <c r="K119" s="302"/>
      <c r="L119" s="353"/>
      <c r="M119" s="677"/>
    </row>
    <row r="120" spans="1:13" s="412" customFormat="1" ht="28.25" customHeight="1" thickBot="1">
      <c r="A120" s="305"/>
      <c r="B120" s="306" t="s">
        <v>311</v>
      </c>
      <c r="C120" s="307"/>
      <c r="D120" s="308"/>
      <c r="E120" s="1061"/>
      <c r="F120" s="696"/>
      <c r="G120" s="696"/>
      <c r="H120" s="696"/>
      <c r="I120" s="696"/>
      <c r="J120" s="307"/>
      <c r="K120" s="308"/>
      <c r="L120" s="367">
        <f>SUM(L6:L119)</f>
        <v>0</v>
      </c>
      <c r="M120" s="369"/>
    </row>
    <row r="121" spans="1:13" s="412" customFormat="1" ht="22.25" customHeight="1" thickTop="1">
      <c r="A121" s="309"/>
      <c r="B121" s="310"/>
      <c r="C121" s="311"/>
      <c r="D121" s="312"/>
      <c r="E121" s="1062"/>
      <c r="F121" s="354"/>
      <c r="G121" s="354"/>
      <c r="H121" s="354"/>
      <c r="I121" s="354"/>
      <c r="J121" s="354"/>
      <c r="K121" s="312"/>
      <c r="L121" s="355"/>
      <c r="M121" s="678"/>
    </row>
    <row r="122" spans="1:13" s="411" customFormat="1" ht="22.25" customHeight="1">
      <c r="A122" s="300"/>
      <c r="B122" s="310" t="s">
        <v>29</v>
      </c>
      <c r="C122" s="301"/>
      <c r="D122" s="302"/>
      <c r="E122" s="892"/>
      <c r="F122" s="352"/>
      <c r="G122" s="352"/>
      <c r="H122" s="352"/>
      <c r="I122" s="352"/>
      <c r="J122" s="352"/>
      <c r="K122" s="302"/>
      <c r="L122" s="352"/>
      <c r="M122" s="677"/>
    </row>
    <row r="123" spans="1:13" s="401" customFormat="1" ht="22.25" customHeight="1">
      <c r="A123" s="313">
        <v>1</v>
      </c>
      <c r="B123" s="304" t="s">
        <v>143</v>
      </c>
      <c r="C123" s="301">
        <f>SUMIF(BE!$B$5:$B$459,B123,BE!$C$5:$C$459)</f>
        <v>0.16</v>
      </c>
      <c r="D123" s="302" t="s">
        <v>304</v>
      </c>
      <c r="E123" s="352">
        <v>27500</v>
      </c>
      <c r="F123" s="352"/>
      <c r="G123" s="352"/>
      <c r="H123" s="352"/>
      <c r="I123" s="352">
        <f t="shared" ref="I123:I129" si="12">E123*1.1</f>
        <v>30250.000000000004</v>
      </c>
      <c r="J123" s="352">
        <f>I123</f>
        <v>30250.000000000004</v>
      </c>
      <c r="K123" s="302" t="str">
        <f>D123</f>
        <v>Nos.</v>
      </c>
      <c r="L123" s="352">
        <f t="shared" ref="L123:L134" si="13">J123*C123</f>
        <v>4840.0000000000009</v>
      </c>
      <c r="M123" s="677" t="s">
        <v>415</v>
      </c>
    </row>
    <row r="124" spans="1:13" s="401" customFormat="1" ht="22.25" customHeight="1">
      <c r="A124" s="313">
        <v>2</v>
      </c>
      <c r="B124" s="304" t="s">
        <v>68</v>
      </c>
      <c r="C124" s="301">
        <f>SUMIF(BE!$B$5:$B$459,B124,BE!$C$5:$C$459)</f>
        <v>428.40999999999997</v>
      </c>
      <c r="D124" s="302" t="s">
        <v>304</v>
      </c>
      <c r="E124" s="352">
        <f>E123</f>
        <v>27500</v>
      </c>
      <c r="F124" s="352"/>
      <c r="G124" s="352"/>
      <c r="H124" s="352"/>
      <c r="I124" s="352">
        <f t="shared" si="12"/>
        <v>30250.000000000004</v>
      </c>
      <c r="J124" s="352">
        <f>J123</f>
        <v>30250.000000000004</v>
      </c>
      <c r="K124" s="302" t="str">
        <f t="shared" ref="K124:K140" si="14">D124</f>
        <v>Nos.</v>
      </c>
      <c r="L124" s="352">
        <f t="shared" si="13"/>
        <v>12959402.5</v>
      </c>
      <c r="M124" s="677" t="s">
        <v>415</v>
      </c>
    </row>
    <row r="125" spans="1:13" s="411" customFormat="1" ht="22.25" customHeight="1">
      <c r="A125" s="313">
        <v>3</v>
      </c>
      <c r="B125" s="303" t="s">
        <v>69</v>
      </c>
      <c r="C125" s="301">
        <f>SUMIF(BE!$B$5:$B$459,B125,BE!$C$5:$C$459)</f>
        <v>121.19</v>
      </c>
      <c r="D125" s="302" t="s">
        <v>304</v>
      </c>
      <c r="E125" s="352">
        <f>E124</f>
        <v>27500</v>
      </c>
      <c r="F125" s="352"/>
      <c r="G125" s="352"/>
      <c r="H125" s="352"/>
      <c r="I125" s="352">
        <f t="shared" si="12"/>
        <v>30250.000000000004</v>
      </c>
      <c r="J125" s="352">
        <f>J124</f>
        <v>30250.000000000004</v>
      </c>
      <c r="K125" s="302" t="str">
        <f t="shared" si="14"/>
        <v>Nos.</v>
      </c>
      <c r="L125" s="352">
        <f t="shared" si="13"/>
        <v>3665997.5000000005</v>
      </c>
      <c r="M125" s="677" t="s">
        <v>415</v>
      </c>
    </row>
    <row r="126" spans="1:13" s="401" customFormat="1" ht="22.25" customHeight="1">
      <c r="A126" s="313">
        <v>4</v>
      </c>
      <c r="B126" s="303" t="s">
        <v>75</v>
      </c>
      <c r="C126" s="301">
        <f>SUMIF(BE!$B$5:$B$459,B126,BE!$C$5:$C$459)</f>
        <v>0</v>
      </c>
      <c r="D126" s="302" t="s">
        <v>304</v>
      </c>
      <c r="E126" s="352">
        <f>E125</f>
        <v>27500</v>
      </c>
      <c r="F126" s="352"/>
      <c r="G126" s="352"/>
      <c r="H126" s="352"/>
      <c r="I126" s="352">
        <f t="shared" si="12"/>
        <v>30250.000000000004</v>
      </c>
      <c r="J126" s="352">
        <f>J125</f>
        <v>30250.000000000004</v>
      </c>
      <c r="K126" s="302" t="str">
        <f t="shared" si="14"/>
        <v>Nos.</v>
      </c>
      <c r="L126" s="352">
        <f t="shared" si="13"/>
        <v>0</v>
      </c>
      <c r="M126" s="677" t="s">
        <v>415</v>
      </c>
    </row>
    <row r="127" spans="1:13" s="401" customFormat="1" ht="22.25" customHeight="1">
      <c r="A127" s="313">
        <v>5</v>
      </c>
      <c r="B127" s="303" t="s">
        <v>242</v>
      </c>
      <c r="C127" s="301">
        <f>SUMIF(BE!$B$5:$B$459,B127,BE!$C$5:$C$459)</f>
        <v>171.41000000000003</v>
      </c>
      <c r="D127" s="302" t="s">
        <v>304</v>
      </c>
      <c r="E127" s="352">
        <f>E126</f>
        <v>27500</v>
      </c>
      <c r="F127" s="352"/>
      <c r="G127" s="352"/>
      <c r="H127" s="352"/>
      <c r="I127" s="352">
        <f t="shared" si="12"/>
        <v>30250.000000000004</v>
      </c>
      <c r="J127" s="352">
        <f>J126</f>
        <v>30250.000000000004</v>
      </c>
      <c r="K127" s="302" t="str">
        <f t="shared" si="14"/>
        <v>Nos.</v>
      </c>
      <c r="L127" s="352">
        <f t="shared" si="13"/>
        <v>5185152.5000000009</v>
      </c>
      <c r="M127" s="677" t="s">
        <v>415</v>
      </c>
    </row>
    <row r="128" spans="1:13" s="401" customFormat="1" ht="22.25" customHeight="1">
      <c r="A128" s="313">
        <v>6</v>
      </c>
      <c r="B128" s="303" t="s">
        <v>536</v>
      </c>
      <c r="C128" s="301">
        <f>SUMIF(BE!$B$5:$B$459,B128,BE!$C$5:$C$459)</f>
        <v>15.630000000000003</v>
      </c>
      <c r="D128" s="302" t="s">
        <v>304</v>
      </c>
      <c r="E128" s="352">
        <f>E127</f>
        <v>27500</v>
      </c>
      <c r="F128" s="352"/>
      <c r="G128" s="352"/>
      <c r="H128" s="352"/>
      <c r="I128" s="352">
        <f t="shared" si="12"/>
        <v>30250.000000000004</v>
      </c>
      <c r="J128" s="352">
        <f>J127</f>
        <v>30250.000000000004</v>
      </c>
      <c r="K128" s="302" t="str">
        <f t="shared" si="14"/>
        <v>Nos.</v>
      </c>
      <c r="L128" s="352">
        <f>J128*C128</f>
        <v>472807.50000000012</v>
      </c>
      <c r="M128" s="677"/>
    </row>
    <row r="129" spans="1:13" s="401" customFormat="1" ht="22.25" customHeight="1">
      <c r="A129" s="313">
        <v>7</v>
      </c>
      <c r="B129" s="303" t="s">
        <v>67</v>
      </c>
      <c r="C129" s="301">
        <f>SUMIF(BE!$B$5:$B$459,B129,BE!$C$5:$C$459)</f>
        <v>881.84000000000015</v>
      </c>
      <c r="D129" s="302" t="s">
        <v>304</v>
      </c>
      <c r="E129" s="352">
        <v>19800</v>
      </c>
      <c r="F129" s="352"/>
      <c r="G129" s="352"/>
      <c r="H129" s="352"/>
      <c r="I129" s="352">
        <f t="shared" si="12"/>
        <v>21780</v>
      </c>
      <c r="J129" s="352">
        <f>I129</f>
        <v>21780</v>
      </c>
      <c r="K129" s="302" t="str">
        <f t="shared" si="14"/>
        <v>Nos.</v>
      </c>
      <c r="L129" s="352">
        <f t="shared" si="13"/>
        <v>19206475.200000003</v>
      </c>
      <c r="M129" s="677" t="s">
        <v>415</v>
      </c>
    </row>
    <row r="130" spans="1:13" s="401" customFormat="1" ht="63" customHeight="1">
      <c r="A130" s="313">
        <v>8</v>
      </c>
      <c r="B130" s="407" t="s">
        <v>377</v>
      </c>
      <c r="C130" s="301">
        <f>SUMIF(BE!$B$5:$B$459,B130,BE!$C$5:$C$459)</f>
        <v>0</v>
      </c>
      <c r="D130" s="302" t="s">
        <v>45</v>
      </c>
      <c r="E130" s="352">
        <v>3000</v>
      </c>
      <c r="F130" s="352"/>
      <c r="G130" s="352"/>
      <c r="H130" s="352"/>
      <c r="I130" s="352">
        <f t="shared" ref="I130:I140" si="15">E130*1.1</f>
        <v>3300.0000000000005</v>
      </c>
      <c r="J130" s="352">
        <v>3000</v>
      </c>
      <c r="K130" s="302" t="str">
        <f t="shared" si="14"/>
        <v>Sft</v>
      </c>
      <c r="L130" s="352">
        <f t="shared" si="13"/>
        <v>0</v>
      </c>
      <c r="M130" s="677" t="s">
        <v>416</v>
      </c>
    </row>
    <row r="131" spans="1:13" s="401" customFormat="1" ht="24" customHeight="1">
      <c r="A131" s="313">
        <v>9</v>
      </c>
      <c r="B131" s="303" t="s">
        <v>497</v>
      </c>
      <c r="C131" s="301">
        <f>SUMIF(BE!$B$5:$B$459,B131,BE!$C$5:$C$459)</f>
        <v>0</v>
      </c>
      <c r="D131" s="302" t="s">
        <v>45</v>
      </c>
      <c r="E131" s="301">
        <v>550</v>
      </c>
      <c r="F131" s="301"/>
      <c r="G131" s="301"/>
      <c r="H131" s="301"/>
      <c r="I131" s="352">
        <f t="shared" si="15"/>
        <v>605</v>
      </c>
      <c r="J131" s="301">
        <v>550</v>
      </c>
      <c r="K131" s="302" t="str">
        <f t="shared" si="14"/>
        <v>Sft</v>
      </c>
      <c r="L131" s="352">
        <f t="shared" si="13"/>
        <v>0</v>
      </c>
      <c r="M131" s="677"/>
    </row>
    <row r="132" spans="1:13" s="401" customFormat="1" ht="24" customHeight="1">
      <c r="A132" s="313">
        <v>10</v>
      </c>
      <c r="B132" s="303" t="s">
        <v>503</v>
      </c>
      <c r="C132" s="301">
        <f>SUMIF(BE!$B$5:$B$459,B132,BE!$C$5:$C$459)</f>
        <v>0</v>
      </c>
      <c r="D132" s="302" t="s">
        <v>45</v>
      </c>
      <c r="E132" s="301">
        <v>2500</v>
      </c>
      <c r="F132" s="301"/>
      <c r="G132" s="301"/>
      <c r="H132" s="301"/>
      <c r="I132" s="352">
        <f t="shared" si="15"/>
        <v>2750</v>
      </c>
      <c r="J132" s="301">
        <v>2500</v>
      </c>
      <c r="K132" s="302" t="str">
        <f t="shared" si="14"/>
        <v>Sft</v>
      </c>
      <c r="L132" s="352">
        <f t="shared" si="13"/>
        <v>0</v>
      </c>
      <c r="M132" s="677"/>
    </row>
    <row r="133" spans="1:13" s="401" customFormat="1" ht="24" customHeight="1">
      <c r="A133" s="313">
        <v>11</v>
      </c>
      <c r="B133" s="303" t="s">
        <v>505</v>
      </c>
      <c r="C133" s="301">
        <f>SUMIF(BE!$B$5:$B$459,B133,BE!$C$5:$C$459)</f>
        <v>0</v>
      </c>
      <c r="D133" s="302" t="s">
        <v>45</v>
      </c>
      <c r="E133" s="301">
        <v>2500</v>
      </c>
      <c r="F133" s="301"/>
      <c r="G133" s="301"/>
      <c r="H133" s="301"/>
      <c r="I133" s="352">
        <f t="shared" si="15"/>
        <v>2750</v>
      </c>
      <c r="J133" s="301">
        <v>2500</v>
      </c>
      <c r="K133" s="302" t="str">
        <f t="shared" si="14"/>
        <v>Sft</v>
      </c>
      <c r="L133" s="352">
        <f t="shared" si="13"/>
        <v>0</v>
      </c>
      <c r="M133" s="677"/>
    </row>
    <row r="134" spans="1:13" s="401" customFormat="1" ht="24" customHeight="1">
      <c r="A134" s="313">
        <v>12</v>
      </c>
      <c r="B134" s="303" t="s">
        <v>507</v>
      </c>
      <c r="C134" s="301">
        <f>SUMIF(BE!$B$5:$B$459,B134,BE!$C$5:$C$459)</f>
        <v>0</v>
      </c>
      <c r="D134" s="302" t="s">
        <v>45</v>
      </c>
      <c r="E134" s="301">
        <v>1650</v>
      </c>
      <c r="F134" s="301"/>
      <c r="G134" s="301"/>
      <c r="H134" s="301"/>
      <c r="I134" s="352">
        <f t="shared" si="15"/>
        <v>1815.0000000000002</v>
      </c>
      <c r="J134" s="301">
        <v>1650</v>
      </c>
      <c r="K134" s="302" t="str">
        <f t="shared" si="14"/>
        <v>Sft</v>
      </c>
      <c r="L134" s="352">
        <f t="shared" si="13"/>
        <v>0</v>
      </c>
      <c r="M134" s="677"/>
    </row>
    <row r="135" spans="1:13" s="401" customFormat="1" ht="28.25" customHeight="1">
      <c r="A135" s="313">
        <v>13</v>
      </c>
      <c r="B135" s="1060" t="s">
        <v>841</v>
      </c>
      <c r="C135" s="301"/>
      <c r="D135" s="302" t="s">
        <v>45</v>
      </c>
      <c r="E135" s="301">
        <v>1000</v>
      </c>
      <c r="F135" s="301"/>
      <c r="G135" s="301"/>
      <c r="H135" s="301"/>
      <c r="I135" s="352">
        <f t="shared" si="15"/>
        <v>1100</v>
      </c>
      <c r="J135" s="301">
        <v>1000</v>
      </c>
      <c r="K135" s="302" t="str">
        <f t="shared" si="14"/>
        <v>Sft</v>
      </c>
      <c r="L135" s="353"/>
      <c r="M135" s="677"/>
    </row>
    <row r="136" spans="1:13" s="401" customFormat="1" ht="39.65" customHeight="1">
      <c r="A136" s="313">
        <v>14</v>
      </c>
      <c r="B136" s="1060" t="s">
        <v>866</v>
      </c>
      <c r="C136" s="301"/>
      <c r="D136" s="302" t="s">
        <v>45</v>
      </c>
      <c r="E136" s="301">
        <v>1350</v>
      </c>
      <c r="F136" s="301"/>
      <c r="G136" s="301"/>
      <c r="H136" s="301"/>
      <c r="I136" s="352">
        <f t="shared" si="15"/>
        <v>1485.0000000000002</v>
      </c>
      <c r="J136" s="301">
        <v>1350</v>
      </c>
      <c r="K136" s="302" t="str">
        <f t="shared" si="14"/>
        <v>Sft</v>
      </c>
      <c r="L136" s="353"/>
      <c r="M136" s="677"/>
    </row>
    <row r="137" spans="1:13" s="401" customFormat="1" ht="25.25" customHeight="1">
      <c r="A137" s="313">
        <v>15</v>
      </c>
      <c r="B137" s="1060" t="s">
        <v>878</v>
      </c>
      <c r="C137" s="301"/>
      <c r="D137" s="302" t="s">
        <v>45</v>
      </c>
      <c r="E137" s="301">
        <v>2550</v>
      </c>
      <c r="F137" s="301"/>
      <c r="G137" s="301"/>
      <c r="H137" s="301"/>
      <c r="I137" s="352">
        <f t="shared" si="15"/>
        <v>2805</v>
      </c>
      <c r="J137" s="301">
        <v>2550</v>
      </c>
      <c r="K137" s="302" t="str">
        <f t="shared" si="14"/>
        <v>Sft</v>
      </c>
      <c r="L137" s="353"/>
      <c r="M137" s="677"/>
    </row>
    <row r="138" spans="1:13" s="401" customFormat="1" ht="39.65" customHeight="1">
      <c r="A138" s="313">
        <v>16</v>
      </c>
      <c r="B138" s="1060" t="s">
        <v>879</v>
      </c>
      <c r="C138" s="301"/>
      <c r="D138" s="302" t="s">
        <v>304</v>
      </c>
      <c r="E138" s="301">
        <v>22000</v>
      </c>
      <c r="F138" s="301"/>
      <c r="G138" s="301"/>
      <c r="H138" s="301"/>
      <c r="I138" s="352">
        <f t="shared" si="15"/>
        <v>24200.000000000004</v>
      </c>
      <c r="J138" s="301">
        <v>22000</v>
      </c>
      <c r="K138" s="302" t="str">
        <f t="shared" si="14"/>
        <v>Nos.</v>
      </c>
      <c r="L138" s="353"/>
      <c r="M138" s="677"/>
    </row>
    <row r="139" spans="1:13" s="401" customFormat="1" ht="39.65" customHeight="1">
      <c r="A139" s="313">
        <v>17</v>
      </c>
      <c r="B139" s="1060" t="s">
        <v>880</v>
      </c>
      <c r="C139" s="301"/>
      <c r="D139" s="302" t="s">
        <v>877</v>
      </c>
      <c r="E139" s="301">
        <v>49500</v>
      </c>
      <c r="F139" s="301"/>
      <c r="G139" s="301"/>
      <c r="H139" s="301"/>
      <c r="I139" s="352">
        <f t="shared" si="15"/>
        <v>54450.000000000007</v>
      </c>
      <c r="J139" s="301">
        <v>49500</v>
      </c>
      <c r="K139" s="302" t="str">
        <f t="shared" si="14"/>
        <v>Set</v>
      </c>
      <c r="L139" s="353"/>
      <c r="M139" s="677"/>
    </row>
    <row r="140" spans="1:13" s="401" customFormat="1" ht="39.65" customHeight="1">
      <c r="A140" s="313">
        <v>18</v>
      </c>
      <c r="B140" s="1060" t="s">
        <v>896</v>
      </c>
      <c r="C140" s="301"/>
      <c r="D140" s="302" t="s">
        <v>11</v>
      </c>
      <c r="E140" s="301">
        <v>378500</v>
      </c>
      <c r="F140" s="301"/>
      <c r="G140" s="301"/>
      <c r="H140" s="301"/>
      <c r="I140" s="352">
        <f t="shared" si="15"/>
        <v>416350.00000000006</v>
      </c>
      <c r="J140" s="301">
        <v>378500</v>
      </c>
      <c r="K140" s="302" t="str">
        <f t="shared" si="14"/>
        <v>Sud</v>
      </c>
      <c r="L140" s="353"/>
      <c r="M140" s="677"/>
    </row>
    <row r="141" spans="1:13" s="401" customFormat="1" ht="39.65" customHeight="1">
      <c r="A141" s="313">
        <v>19</v>
      </c>
      <c r="B141" s="1060" t="s">
        <v>949</v>
      </c>
      <c r="C141" s="301"/>
      <c r="D141" s="302" t="s">
        <v>11</v>
      </c>
      <c r="E141" s="301">
        <v>150000</v>
      </c>
      <c r="F141" s="301"/>
      <c r="G141" s="301"/>
      <c r="H141" s="301"/>
      <c r="I141" s="352">
        <f>E141*1.1</f>
        <v>165000</v>
      </c>
      <c r="J141" s="301">
        <v>150000</v>
      </c>
      <c r="K141" s="302" t="str">
        <f>D141</f>
        <v>Sud</v>
      </c>
      <c r="L141" s="353"/>
      <c r="M141" s="677"/>
    </row>
    <row r="142" spans="1:13" s="401" customFormat="1" ht="24" customHeight="1">
      <c r="A142" s="313"/>
      <c r="B142" s="303"/>
      <c r="C142" s="301"/>
      <c r="D142" s="302"/>
      <c r="E142" s="440"/>
      <c r="F142" s="301"/>
      <c r="G142" s="301"/>
      <c r="H142" s="301"/>
      <c r="I142" s="352"/>
      <c r="J142" s="301"/>
      <c r="K142" s="302"/>
      <c r="L142" s="353"/>
      <c r="M142" s="677"/>
    </row>
    <row r="143" spans="1:13" s="401" customFormat="1" ht="24" customHeight="1">
      <c r="A143" s="313"/>
      <c r="B143" s="303"/>
      <c r="C143" s="301"/>
      <c r="D143" s="302"/>
      <c r="E143" s="440"/>
      <c r="F143" s="301"/>
      <c r="G143" s="301"/>
      <c r="H143" s="301"/>
      <c r="I143" s="352"/>
      <c r="J143" s="301"/>
      <c r="K143" s="302"/>
      <c r="L143" s="353"/>
      <c r="M143" s="677"/>
    </row>
    <row r="144" spans="1:13" s="401" customFormat="1" ht="24" customHeight="1">
      <c r="A144" s="313"/>
      <c r="B144" s="303"/>
      <c r="C144" s="301"/>
      <c r="D144" s="302"/>
      <c r="E144" s="440"/>
      <c r="F144" s="301"/>
      <c r="G144" s="301"/>
      <c r="H144" s="301"/>
      <c r="I144" s="352"/>
      <c r="J144" s="301"/>
      <c r="K144" s="302"/>
      <c r="L144" s="353"/>
      <c r="M144" s="677"/>
    </row>
    <row r="145" spans="1:13" s="401" customFormat="1" ht="24" customHeight="1">
      <c r="A145" s="313"/>
      <c r="B145" s="303"/>
      <c r="C145" s="301"/>
      <c r="D145" s="302"/>
      <c r="E145" s="440"/>
      <c r="F145" s="301"/>
      <c r="G145" s="301"/>
      <c r="H145" s="301"/>
      <c r="I145" s="352"/>
      <c r="J145" s="301"/>
      <c r="K145" s="302"/>
      <c r="L145" s="353"/>
      <c r="M145" s="677"/>
    </row>
    <row r="146" spans="1:13" s="401" customFormat="1" ht="24" customHeight="1">
      <c r="A146" s="313"/>
      <c r="B146" s="303"/>
      <c r="C146" s="301"/>
      <c r="D146" s="302"/>
      <c r="E146" s="440"/>
      <c r="F146" s="301"/>
      <c r="G146" s="301"/>
      <c r="H146" s="301"/>
      <c r="I146" s="352"/>
      <c r="J146" s="301"/>
      <c r="K146" s="302"/>
      <c r="L146" s="353"/>
      <c r="M146" s="677"/>
    </row>
    <row r="147" spans="1:13" s="401" customFormat="1" ht="24" customHeight="1">
      <c r="A147" s="313"/>
      <c r="B147" s="303"/>
      <c r="C147" s="301"/>
      <c r="D147" s="302"/>
      <c r="E147" s="440"/>
      <c r="F147" s="301"/>
      <c r="G147" s="301"/>
      <c r="H147" s="301"/>
      <c r="I147" s="352"/>
      <c r="J147" s="301"/>
      <c r="K147" s="302"/>
      <c r="L147" s="353"/>
      <c r="M147" s="677"/>
    </row>
    <row r="148" spans="1:13" s="401" customFormat="1" ht="24" customHeight="1">
      <c r="A148" s="313"/>
      <c r="B148" s="303"/>
      <c r="C148" s="301"/>
      <c r="D148" s="302"/>
      <c r="E148" s="440"/>
      <c r="F148" s="301"/>
      <c r="G148" s="301"/>
      <c r="H148" s="301"/>
      <c r="I148" s="352"/>
      <c r="J148" s="301"/>
      <c r="K148" s="302"/>
      <c r="L148" s="353"/>
      <c r="M148" s="677"/>
    </row>
    <row r="149" spans="1:13" s="401" customFormat="1" ht="24" customHeight="1">
      <c r="A149" s="313"/>
      <c r="B149" s="303"/>
      <c r="C149" s="301"/>
      <c r="D149" s="302"/>
      <c r="E149" s="440"/>
      <c r="F149" s="301"/>
      <c r="G149" s="301"/>
      <c r="H149" s="301"/>
      <c r="I149" s="352"/>
      <c r="J149" s="301"/>
      <c r="K149" s="302"/>
      <c r="L149" s="353"/>
      <c r="M149" s="677"/>
    </row>
    <row r="150" spans="1:13" s="401" customFormat="1" ht="24" customHeight="1">
      <c r="A150" s="313"/>
      <c r="B150" s="303"/>
      <c r="C150" s="301"/>
      <c r="D150" s="302"/>
      <c r="E150" s="440"/>
      <c r="F150" s="301"/>
      <c r="G150" s="301"/>
      <c r="H150" s="301"/>
      <c r="I150" s="352"/>
      <c r="J150" s="301"/>
      <c r="K150" s="302"/>
      <c r="L150" s="353"/>
      <c r="M150" s="677"/>
    </row>
    <row r="151" spans="1:13" s="401" customFormat="1" ht="24" customHeight="1">
      <c r="A151" s="313"/>
      <c r="B151" s="303"/>
      <c r="C151" s="301"/>
      <c r="D151" s="302"/>
      <c r="E151" s="440"/>
      <c r="F151" s="301"/>
      <c r="G151" s="301"/>
      <c r="H151" s="301"/>
      <c r="I151" s="352"/>
      <c r="J151" s="301"/>
      <c r="K151" s="302"/>
      <c r="L151" s="353"/>
      <c r="M151" s="677"/>
    </row>
    <row r="152" spans="1:13" s="401" customFormat="1" ht="24" customHeight="1">
      <c r="A152" s="313"/>
      <c r="B152" s="303"/>
      <c r="C152" s="301"/>
      <c r="D152" s="302"/>
      <c r="E152" s="440"/>
      <c r="F152" s="301"/>
      <c r="G152" s="301"/>
      <c r="H152" s="301"/>
      <c r="I152" s="352"/>
      <c r="J152" s="301"/>
      <c r="K152" s="302"/>
      <c r="L152" s="353"/>
      <c r="M152" s="677"/>
    </row>
    <row r="153" spans="1:13" s="401" customFormat="1" ht="24" customHeight="1">
      <c r="A153" s="313"/>
      <c r="B153" s="303"/>
      <c r="C153" s="301"/>
      <c r="D153" s="302"/>
      <c r="E153" s="440"/>
      <c r="F153" s="301"/>
      <c r="G153" s="301"/>
      <c r="H153" s="301"/>
      <c r="I153" s="352"/>
      <c r="J153" s="301"/>
      <c r="K153" s="302"/>
      <c r="L153" s="353"/>
      <c r="M153" s="677"/>
    </row>
    <row r="154" spans="1:13" s="401" customFormat="1" ht="24" customHeight="1">
      <c r="A154" s="313"/>
      <c r="B154" s="303"/>
      <c r="C154" s="301"/>
      <c r="D154" s="302"/>
      <c r="E154" s="440"/>
      <c r="F154" s="301"/>
      <c r="G154" s="301"/>
      <c r="H154" s="301"/>
      <c r="I154" s="352"/>
      <c r="J154" s="301"/>
      <c r="K154" s="302"/>
      <c r="L154" s="353"/>
      <c r="M154" s="677"/>
    </row>
    <row r="155" spans="1:13" s="401" customFormat="1" ht="24" customHeight="1">
      <c r="A155" s="313"/>
      <c r="B155" s="303"/>
      <c r="C155" s="301"/>
      <c r="D155" s="302"/>
      <c r="E155" s="440"/>
      <c r="F155" s="301"/>
      <c r="G155" s="301"/>
      <c r="H155" s="301"/>
      <c r="I155" s="352"/>
      <c r="J155" s="301"/>
      <c r="K155" s="302"/>
      <c r="L155" s="353"/>
      <c r="M155" s="677"/>
    </row>
    <row r="156" spans="1:13" s="401" customFormat="1" ht="24" customHeight="1">
      <c r="A156" s="313"/>
      <c r="B156" s="303"/>
      <c r="C156" s="301"/>
      <c r="D156" s="302"/>
      <c r="E156" s="440"/>
      <c r="F156" s="301"/>
      <c r="G156" s="301"/>
      <c r="H156" s="301"/>
      <c r="I156" s="352"/>
      <c r="J156" s="301"/>
      <c r="K156" s="302"/>
      <c r="L156" s="353"/>
      <c r="M156" s="677"/>
    </row>
    <row r="157" spans="1:13" s="401" customFormat="1" ht="24" customHeight="1">
      <c r="A157" s="313"/>
      <c r="B157" s="303"/>
      <c r="C157" s="301"/>
      <c r="D157" s="302"/>
      <c r="E157" s="440"/>
      <c r="F157" s="301"/>
      <c r="G157" s="301"/>
      <c r="H157" s="301"/>
      <c r="I157" s="352"/>
      <c r="J157" s="301"/>
      <c r="K157" s="302"/>
      <c r="L157" s="353"/>
      <c r="M157" s="677"/>
    </row>
    <row r="158" spans="1:13" s="401" customFormat="1" ht="24" customHeight="1">
      <c r="A158" s="313"/>
      <c r="B158" s="303"/>
      <c r="C158" s="301"/>
      <c r="D158" s="302"/>
      <c r="E158" s="440"/>
      <c r="F158" s="301"/>
      <c r="G158" s="301"/>
      <c r="H158" s="301"/>
      <c r="I158" s="352"/>
      <c r="J158" s="301"/>
      <c r="K158" s="302"/>
      <c r="L158" s="353"/>
      <c r="M158" s="677"/>
    </row>
    <row r="159" spans="1:13" s="401" customFormat="1" ht="22.25" customHeight="1" thickBot="1">
      <c r="A159" s="313"/>
      <c r="B159" s="304"/>
      <c r="C159" s="301"/>
      <c r="D159" s="314"/>
      <c r="E159" s="440"/>
      <c r="F159" s="301"/>
      <c r="G159" s="301"/>
      <c r="H159" s="301"/>
      <c r="I159" s="301"/>
      <c r="J159" s="301"/>
      <c r="K159" s="314"/>
      <c r="L159" s="353"/>
      <c r="M159" s="677"/>
    </row>
    <row r="160" spans="1:13" ht="27" customHeight="1" thickBot="1">
      <c r="A160" s="315"/>
      <c r="B160" s="316" t="s">
        <v>57</v>
      </c>
      <c r="C160" s="317"/>
      <c r="D160" s="315"/>
      <c r="E160" s="1063"/>
      <c r="F160" s="315"/>
      <c r="G160" s="315"/>
      <c r="H160" s="315"/>
      <c r="I160" s="315"/>
      <c r="J160" s="317"/>
      <c r="K160" s="315"/>
      <c r="L160" s="365">
        <f>SUM(L121:L159)</f>
        <v>41494675.200000003</v>
      </c>
      <c r="M160" s="371"/>
    </row>
    <row r="161" spans="1:13" ht="27" customHeight="1" thickTop="1" thickBot="1">
      <c r="A161" s="333"/>
      <c r="B161" s="335" t="s">
        <v>391</v>
      </c>
      <c r="C161" s="334"/>
      <c r="D161" s="333"/>
      <c r="E161" s="1064"/>
      <c r="F161" s="333"/>
      <c r="G161" s="333"/>
      <c r="H161" s="333"/>
      <c r="I161" s="333"/>
      <c r="J161" s="334"/>
      <c r="K161" s="333"/>
      <c r="L161" s="366">
        <f>L160+L120</f>
        <v>41494675.200000003</v>
      </c>
      <c r="M161" s="372"/>
    </row>
    <row r="162" spans="1:13" s="401" customFormat="1" ht="22.25" hidden="1" customHeight="1">
      <c r="A162" s="318"/>
      <c r="B162" s="319"/>
      <c r="C162" s="320"/>
      <c r="D162" s="318"/>
      <c r="E162" s="1065"/>
      <c r="F162" s="318"/>
      <c r="G162" s="318"/>
      <c r="H162" s="318"/>
      <c r="I162" s="318"/>
      <c r="J162" s="320"/>
      <c r="K162" s="318"/>
      <c r="L162" s="355"/>
      <c r="M162" s="370"/>
    </row>
    <row r="163" spans="1:13" s="411" customFormat="1" ht="22.25" hidden="1" customHeight="1">
      <c r="A163" s="321"/>
      <c r="B163" s="319" t="s">
        <v>318</v>
      </c>
      <c r="C163" s="320"/>
      <c r="D163" s="318"/>
      <c r="E163" s="1065"/>
      <c r="F163" s="318"/>
      <c r="G163" s="318"/>
      <c r="H163" s="318"/>
      <c r="I163" s="318"/>
      <c r="J163" s="356"/>
      <c r="K163" s="318"/>
      <c r="L163" s="356"/>
      <c r="M163" s="368"/>
    </row>
    <row r="164" spans="1:13" s="411" customFormat="1" ht="22.25" hidden="1" customHeight="1">
      <c r="A164" s="300">
        <v>1</v>
      </c>
      <c r="B164" s="322" t="s">
        <v>24</v>
      </c>
      <c r="C164" s="301">
        <f>SUMIF($B$7:$B$72,B164,$C$7:$C$72)</f>
        <v>19237</v>
      </c>
      <c r="D164" s="302" t="s">
        <v>304</v>
      </c>
      <c r="E164" s="441"/>
      <c r="F164" s="302"/>
      <c r="G164" s="302"/>
      <c r="H164" s="302"/>
      <c r="I164" s="302"/>
      <c r="J164" s="301">
        <f>RATE!H230</f>
        <v>79</v>
      </c>
      <c r="K164" s="302" t="s">
        <v>304</v>
      </c>
      <c r="L164" s="352">
        <f>J164*C164</f>
        <v>1519723</v>
      </c>
      <c r="M164" s="368"/>
    </row>
    <row r="165" spans="1:13" s="411" customFormat="1" ht="22.25" hidden="1" customHeight="1">
      <c r="A165" s="300">
        <v>2</v>
      </c>
      <c r="B165" s="304" t="s">
        <v>14</v>
      </c>
      <c r="C165" s="301">
        <f>SUMIF($B$7:$B$72,B165,$C$7:$C$72)</f>
        <v>654.18000000000006</v>
      </c>
      <c r="D165" s="302" t="s">
        <v>302</v>
      </c>
      <c r="E165" s="441"/>
      <c r="F165" s="302"/>
      <c r="G165" s="302"/>
      <c r="H165" s="302"/>
      <c r="I165" s="302"/>
      <c r="J165" s="301">
        <f>RATE!H239</f>
        <v>850</v>
      </c>
      <c r="K165" s="302" t="s">
        <v>302</v>
      </c>
      <c r="L165" s="352">
        <f>J165*C165</f>
        <v>556053</v>
      </c>
      <c r="M165" s="368"/>
    </row>
    <row r="166" spans="1:13" s="411" customFormat="1" ht="22.25" hidden="1" customHeight="1">
      <c r="A166" s="300">
        <v>3</v>
      </c>
      <c r="B166" s="304" t="s">
        <v>16</v>
      </c>
      <c r="C166" s="301">
        <f>SUMIF($B$7:$B$72,B166,$C$7:$C$72)</f>
        <v>72.039999999999992</v>
      </c>
      <c r="D166" s="302" t="s">
        <v>310</v>
      </c>
      <c r="E166" s="441"/>
      <c r="F166" s="302"/>
      <c r="G166" s="302"/>
      <c r="H166" s="302"/>
      <c r="I166" s="302"/>
      <c r="J166" s="301">
        <f>RATE!H248</f>
        <v>25000</v>
      </c>
      <c r="K166" s="302" t="s">
        <v>310</v>
      </c>
      <c r="L166" s="352">
        <f>J166*C166</f>
        <v>1800999.9999999998</v>
      </c>
      <c r="M166" s="368"/>
    </row>
    <row r="167" spans="1:13" s="411" customFormat="1" ht="22.25" hidden="1" customHeight="1">
      <c r="A167" s="300">
        <v>4</v>
      </c>
      <c r="B167" s="304" t="s">
        <v>303</v>
      </c>
      <c r="C167" s="301">
        <f>SUMIF($B$7:$B$72,B167,$C$7:$C$72)</f>
        <v>31.1</v>
      </c>
      <c r="D167" s="302" t="s">
        <v>310</v>
      </c>
      <c r="E167" s="441"/>
      <c r="F167" s="302"/>
      <c r="G167" s="302"/>
      <c r="H167" s="302"/>
      <c r="I167" s="302"/>
      <c r="J167" s="301">
        <f>RATE!H257</f>
        <v>32000</v>
      </c>
      <c r="K167" s="302" t="s">
        <v>310</v>
      </c>
      <c r="L167" s="352">
        <f>J167*C167</f>
        <v>995200</v>
      </c>
      <c r="M167" s="368"/>
    </row>
    <row r="168" spans="1:13" s="411" customFormat="1" ht="22.25" hidden="1" customHeight="1">
      <c r="A168" s="300">
        <v>5</v>
      </c>
      <c r="B168" s="304" t="s">
        <v>422</v>
      </c>
      <c r="C168" s="301">
        <f>SUMIF($B$7:$B$72,B168,$C$7:$C$72)</f>
        <v>0</v>
      </c>
      <c r="D168" s="302" t="s">
        <v>310</v>
      </c>
      <c r="E168" s="441"/>
      <c r="F168" s="302"/>
      <c r="G168" s="302"/>
      <c r="H168" s="302"/>
      <c r="I168" s="302"/>
      <c r="J168" s="301">
        <f>RATE!H266</f>
        <v>25600</v>
      </c>
      <c r="K168" s="302" t="s">
        <v>310</v>
      </c>
      <c r="L168" s="352">
        <f>J168*C168</f>
        <v>0</v>
      </c>
      <c r="M168" s="368"/>
    </row>
    <row r="169" spans="1:13" s="411" customFormat="1" ht="22.25" hidden="1" customHeight="1">
      <c r="A169" s="300">
        <v>6</v>
      </c>
      <c r="B169" s="322" t="s">
        <v>333</v>
      </c>
      <c r="C169" s="301"/>
      <c r="D169" s="302"/>
      <c r="E169" s="441"/>
      <c r="F169" s="302"/>
      <c r="G169" s="302"/>
      <c r="H169" s="302"/>
      <c r="I169" s="302"/>
      <c r="J169" s="301"/>
      <c r="K169" s="302"/>
      <c r="L169" s="352"/>
      <c r="M169" s="368"/>
    </row>
    <row r="170" spans="1:13" s="411" customFormat="1" ht="22.25" hidden="1" customHeight="1">
      <c r="A170" s="300"/>
      <c r="B170" s="421" t="s">
        <v>495</v>
      </c>
      <c r="C170" s="301">
        <f>SUMIF($B$7:$B$72,B170,$C$7:$C$72)</f>
        <v>6.4567644185565225</v>
      </c>
      <c r="D170" s="302" t="s">
        <v>9</v>
      </c>
      <c r="E170" s="441"/>
      <c r="F170" s="302"/>
      <c r="G170" s="302"/>
      <c r="H170" s="302"/>
      <c r="I170" s="302"/>
      <c r="J170" s="301">
        <f>RATE!H274</f>
        <v>41720</v>
      </c>
      <c r="K170" s="302" t="s">
        <v>9</v>
      </c>
      <c r="L170" s="352">
        <f>J170*C170</f>
        <v>269376.21154217812</v>
      </c>
      <c r="M170" s="368"/>
    </row>
    <row r="171" spans="1:13" s="411" customFormat="1" ht="22.25" hidden="1" customHeight="1">
      <c r="A171" s="300"/>
      <c r="B171" s="421" t="s">
        <v>494</v>
      </c>
      <c r="C171" s="301">
        <f>SUMIF($B$7:$B$72,B171,$C$7:$C$72)</f>
        <v>5.0567239413152567</v>
      </c>
      <c r="D171" s="302" t="s">
        <v>9</v>
      </c>
      <c r="E171" s="441"/>
      <c r="F171" s="302"/>
      <c r="G171" s="302"/>
      <c r="H171" s="302"/>
      <c r="I171" s="302"/>
      <c r="J171" s="301">
        <f>RATE!H274</f>
        <v>41720</v>
      </c>
      <c r="K171" s="302" t="s">
        <v>9</v>
      </c>
      <c r="L171" s="352">
        <f>J171*C171</f>
        <v>210966.52283167251</v>
      </c>
      <c r="M171" s="368"/>
    </row>
    <row r="172" spans="1:13" s="411" customFormat="1" ht="22.25" hidden="1" customHeight="1">
      <c r="A172" s="300">
        <v>7</v>
      </c>
      <c r="B172" s="303" t="s">
        <v>26</v>
      </c>
      <c r="C172" s="301">
        <f>SUMIF($B$7:$B$72,B172,$C$7:$C$72)</f>
        <v>9.5340000000000007</v>
      </c>
      <c r="D172" s="302" t="s">
        <v>9</v>
      </c>
      <c r="E172" s="441"/>
      <c r="F172" s="302"/>
      <c r="G172" s="302"/>
      <c r="H172" s="302"/>
      <c r="I172" s="302"/>
      <c r="J172" s="301">
        <f>RATE!H282</f>
        <v>44400</v>
      </c>
      <c r="K172" s="302" t="s">
        <v>9</v>
      </c>
      <c r="L172" s="352">
        <f>J172*C172</f>
        <v>423309.60000000003</v>
      </c>
      <c r="M172" s="368"/>
    </row>
    <row r="173" spans="1:13" s="411" customFormat="1" ht="22.25" hidden="1" customHeight="1">
      <c r="A173" s="300">
        <v>8</v>
      </c>
      <c r="B173" s="303" t="s">
        <v>384</v>
      </c>
      <c r="C173" s="301">
        <v>1</v>
      </c>
      <c r="D173" s="302" t="s">
        <v>385</v>
      </c>
      <c r="E173" s="441"/>
      <c r="F173" s="302"/>
      <c r="G173" s="302"/>
      <c r="H173" s="302"/>
      <c r="I173" s="302"/>
      <c r="J173" s="301">
        <v>50000</v>
      </c>
      <c r="K173" s="302" t="s">
        <v>385</v>
      </c>
      <c r="L173" s="352">
        <f>J173*C173</f>
        <v>50000</v>
      </c>
      <c r="M173" s="368"/>
    </row>
    <row r="174" spans="1:13" s="411" customFormat="1" ht="22.25" hidden="1" customHeight="1" thickBot="1">
      <c r="A174" s="300"/>
      <c r="B174" s="303"/>
      <c r="C174" s="301"/>
      <c r="D174" s="302"/>
      <c r="E174" s="441"/>
      <c r="F174" s="302"/>
      <c r="G174" s="302"/>
      <c r="H174" s="302"/>
      <c r="I174" s="302"/>
      <c r="J174" s="301"/>
      <c r="K174" s="302"/>
      <c r="L174" s="357"/>
      <c r="M174" s="368"/>
    </row>
    <row r="175" spans="1:13" ht="28.25" hidden="1" customHeight="1" thickBot="1">
      <c r="A175" s="315"/>
      <c r="B175" s="316" t="s">
        <v>319</v>
      </c>
      <c r="C175" s="317"/>
      <c r="D175" s="315"/>
      <c r="E175" s="1063"/>
      <c r="F175" s="315"/>
      <c r="G175" s="315"/>
      <c r="H175" s="315"/>
      <c r="I175" s="315"/>
      <c r="J175" s="317"/>
      <c r="K175" s="315"/>
      <c r="L175" s="365">
        <f>SUM(L163:L174)</f>
        <v>5825628.3343738504</v>
      </c>
      <c r="M175" s="371"/>
    </row>
    <row r="176" spans="1:13" ht="20.5" hidden="1" thickBot="1">
      <c r="A176" s="323"/>
      <c r="B176" s="324"/>
      <c r="C176" s="325"/>
      <c r="D176" s="326"/>
      <c r="E176" s="1066"/>
      <c r="F176" s="326"/>
      <c r="G176" s="326"/>
      <c r="H176" s="326"/>
      <c r="I176" s="326"/>
      <c r="J176" s="325"/>
      <c r="K176" s="326"/>
      <c r="L176" s="358"/>
      <c r="M176" s="373"/>
    </row>
    <row r="177" spans="1:13" ht="37.25" hidden="1" customHeight="1" thickBot="1">
      <c r="A177" s="327"/>
      <c r="B177" s="1100" t="s">
        <v>320</v>
      </c>
      <c r="C177" s="1101"/>
      <c r="D177" s="1101"/>
      <c r="E177" s="1101"/>
      <c r="F177" s="1101"/>
      <c r="G177" s="1101"/>
      <c r="H177" s="1101"/>
      <c r="I177" s="1101"/>
      <c r="J177" s="1101"/>
      <c r="K177" s="1104"/>
      <c r="L177" s="359">
        <f>L175+L161</f>
        <v>47320303.53437385</v>
      </c>
      <c r="M177" s="374"/>
    </row>
    <row r="178" spans="1:13" ht="37.25" customHeight="1" thickBot="1">
      <c r="A178" s="327"/>
      <c r="B178" s="1100" t="s">
        <v>345</v>
      </c>
      <c r="C178" s="1101"/>
      <c r="D178" s="1101"/>
      <c r="E178" s="1101"/>
      <c r="F178" s="1101"/>
      <c r="G178" s="1101"/>
      <c r="H178" s="1101"/>
      <c r="I178" s="1101"/>
      <c r="J178" s="1101"/>
      <c r="K178" s="1104"/>
      <c r="L178" s="359">
        <f>ROUNDDOWN(L161,-5)</f>
        <v>41400000</v>
      </c>
      <c r="M178" s="374"/>
    </row>
    <row r="179" spans="1:13" ht="17" customHeight="1"/>
    <row r="180" spans="1:13" ht="17" customHeight="1"/>
    <row r="181" spans="1:13">
      <c r="B181" s="419"/>
    </row>
    <row r="182" spans="1:13">
      <c r="B182" s="419"/>
    </row>
    <row r="183" spans="1:13">
      <c r="B183" s="419"/>
    </row>
    <row r="184" spans="1:13">
      <c r="B184" s="419"/>
    </row>
    <row r="185" spans="1:13">
      <c r="B185" s="419"/>
    </row>
    <row r="186" spans="1:13">
      <c r="B186" s="419"/>
    </row>
    <row r="187" spans="1:13">
      <c r="B187" s="419"/>
    </row>
    <row r="188" spans="1:13">
      <c r="B188" s="419"/>
    </row>
    <row r="189" spans="1:13">
      <c r="B189" s="419"/>
    </row>
    <row r="190" spans="1:13">
      <c r="B190" s="419"/>
    </row>
    <row r="191" spans="1:13">
      <c r="B191" s="419"/>
    </row>
    <row r="192" spans="1:13">
      <c r="B192" s="419"/>
    </row>
    <row r="193" spans="2:2">
      <c r="B193" s="419"/>
    </row>
    <row r="194" spans="2:2">
      <c r="B194" s="419"/>
    </row>
    <row r="195" spans="2:2">
      <c r="B195" s="419"/>
    </row>
    <row r="196" spans="2:2">
      <c r="B196" s="419"/>
    </row>
    <row r="197" spans="2:2">
      <c r="B197" s="419"/>
    </row>
    <row r="198" spans="2:2">
      <c r="B198" s="419"/>
    </row>
    <row r="199" spans="2:2">
      <c r="B199" s="419"/>
    </row>
    <row r="200" spans="2:2">
      <c r="B200" s="419"/>
    </row>
    <row r="201" spans="2:2">
      <c r="B201" s="419"/>
    </row>
    <row r="202" spans="2:2">
      <c r="B202" s="419"/>
    </row>
    <row r="203" spans="2:2">
      <c r="B203" s="419"/>
    </row>
    <row r="204" spans="2:2">
      <c r="B204" s="419"/>
    </row>
    <row r="205" spans="2:2">
      <c r="B205" s="419"/>
    </row>
    <row r="206" spans="2:2">
      <c r="B206" s="419"/>
    </row>
    <row r="207" spans="2:2">
      <c r="B207" s="419"/>
    </row>
    <row r="208" spans="2:2">
      <c r="B208" s="419"/>
    </row>
    <row r="209" spans="2:2">
      <c r="B209" s="419"/>
    </row>
    <row r="210" spans="2:2">
      <c r="B210" s="419"/>
    </row>
    <row r="211" spans="2:2">
      <c r="B211" s="419"/>
    </row>
    <row r="212" spans="2:2">
      <c r="B212" s="419"/>
    </row>
    <row r="213" spans="2:2">
      <c r="B213" s="419"/>
    </row>
    <row r="214" spans="2:2">
      <c r="B214" s="419"/>
    </row>
    <row r="215" spans="2:2">
      <c r="B215" s="419"/>
    </row>
    <row r="216" spans="2:2">
      <c r="B216" s="419"/>
    </row>
    <row r="217" spans="2:2">
      <c r="B217" s="419"/>
    </row>
    <row r="218" spans="2:2">
      <c r="B218" s="419"/>
    </row>
    <row r="219" spans="2:2">
      <c r="B219" s="419"/>
    </row>
    <row r="220" spans="2:2">
      <c r="B220" s="419"/>
    </row>
    <row r="221" spans="2:2">
      <c r="B221" s="419"/>
    </row>
    <row r="222" spans="2:2">
      <c r="B222" s="419"/>
    </row>
    <row r="223" spans="2:2">
      <c r="B223" s="419"/>
    </row>
    <row r="224" spans="2:2">
      <c r="B224" s="419"/>
    </row>
    <row r="225" spans="2:2">
      <c r="B225" s="419"/>
    </row>
    <row r="226" spans="2:2">
      <c r="B226" s="419"/>
    </row>
    <row r="227" spans="2:2">
      <c r="B227" s="419"/>
    </row>
    <row r="228" spans="2:2">
      <c r="B228" s="419"/>
    </row>
    <row r="229" spans="2:2">
      <c r="B229" s="419"/>
    </row>
    <row r="230" spans="2:2">
      <c r="B230" s="419"/>
    </row>
    <row r="231" spans="2:2">
      <c r="B231" s="419"/>
    </row>
    <row r="232" spans="2:2">
      <c r="B232" s="419"/>
    </row>
    <row r="233" spans="2:2">
      <c r="B233" s="419"/>
    </row>
    <row r="234" spans="2:2">
      <c r="B234" s="419"/>
    </row>
    <row r="236" spans="2:2">
      <c r="B236" s="419"/>
    </row>
    <row r="237" spans="2:2">
      <c r="B237" s="419"/>
    </row>
    <row r="238" spans="2:2">
      <c r="B238" s="419"/>
    </row>
    <row r="239" spans="2:2">
      <c r="B239" s="419"/>
    </row>
    <row r="240" spans="2:2">
      <c r="B240" s="419"/>
    </row>
    <row r="241" spans="2:2">
      <c r="B241" s="419"/>
    </row>
    <row r="242" spans="2:2">
      <c r="B242" s="419"/>
    </row>
    <row r="243" spans="2:2">
      <c r="B243" s="419"/>
    </row>
    <row r="244" spans="2:2">
      <c r="B244" s="419"/>
    </row>
    <row r="245" spans="2:2">
      <c r="B245" s="419"/>
    </row>
    <row r="246" spans="2:2">
      <c r="B246" s="419"/>
    </row>
    <row r="247" spans="2:2">
      <c r="B247" s="419"/>
    </row>
    <row r="248" spans="2:2">
      <c r="B248" s="419"/>
    </row>
    <row r="249" spans="2:2">
      <c r="B249" s="419"/>
    </row>
  </sheetData>
  <mergeCells count="5">
    <mergeCell ref="B178:K178"/>
    <mergeCell ref="A1:M1"/>
    <mergeCell ref="A2:M2"/>
    <mergeCell ref="A3:M3"/>
    <mergeCell ref="B177:K177"/>
  </mergeCells>
  <printOptions horizontalCentered="1"/>
  <pageMargins left="0.5" right="0.25" top="0.5" bottom="0.25" header="0.05" footer="0.05"/>
  <pageSetup paperSize="9" scale="90" orientation="portrait" horizontalDpi="360" verticalDpi="360" r:id="rId1"/>
  <headerFooter>
    <oddHeader>Page &amp;P of &amp;N</oddHeader>
    <oddFooter>&amp;R&amp;G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5D1D-208A-4F85-94EC-81CE998D7066}">
  <dimension ref="A1:F41"/>
  <sheetViews>
    <sheetView topLeftCell="A31" workbookViewId="0">
      <selection activeCell="F42" sqref="F42"/>
    </sheetView>
  </sheetViews>
  <sheetFormatPr defaultColWidth="8.90625" defaultRowHeight="15.5"/>
  <cols>
    <col min="1" max="1" width="4.1796875" style="904" customWidth="1"/>
    <col min="2" max="2" width="4" style="904" customWidth="1"/>
    <col min="3" max="3" width="41.90625" style="904" customWidth="1"/>
    <col min="4" max="5" width="10.08984375" style="904" customWidth="1"/>
    <col min="6" max="6" width="14.36328125" style="905" bestFit="1" customWidth="1"/>
    <col min="7" max="16384" width="8.90625" style="904"/>
  </cols>
  <sheetData>
    <row r="1" spans="1:6">
      <c r="A1" s="907"/>
      <c r="B1" s="907"/>
      <c r="C1" s="907" t="s">
        <v>671</v>
      </c>
      <c r="D1" s="907">
        <v>25</v>
      </c>
      <c r="E1" s="907">
        <v>35</v>
      </c>
      <c r="F1" s="908">
        <f>E1*D1</f>
        <v>875</v>
      </c>
    </row>
    <row r="2" spans="1:6">
      <c r="A2" s="904">
        <v>1</v>
      </c>
      <c r="B2" s="904" t="s">
        <v>666</v>
      </c>
    </row>
    <row r="3" spans="1:6">
      <c r="B3" s="904">
        <v>1</v>
      </c>
      <c r="C3" s="904" t="s">
        <v>667</v>
      </c>
      <c r="F3" s="905">
        <v>33800</v>
      </c>
    </row>
    <row r="4" spans="1:6">
      <c r="B4" s="904">
        <v>2</v>
      </c>
      <c r="C4" s="904" t="s">
        <v>668</v>
      </c>
      <c r="D4" s="904">
        <v>160</v>
      </c>
      <c r="E4" s="904">
        <v>508</v>
      </c>
      <c r="F4" s="905">
        <f>E4*D4</f>
        <v>81280</v>
      </c>
    </row>
    <row r="5" spans="1:6">
      <c r="B5" s="904">
        <v>3</v>
      </c>
      <c r="C5" s="904" t="s">
        <v>669</v>
      </c>
      <c r="D5" s="904">
        <v>0.3</v>
      </c>
      <c r="E5" s="904">
        <v>7100</v>
      </c>
      <c r="F5" s="905">
        <f>E5*D5</f>
        <v>2130</v>
      </c>
    </row>
    <row r="6" spans="1:6">
      <c r="B6" s="904">
        <v>4</v>
      </c>
      <c r="C6" s="904" t="s">
        <v>670</v>
      </c>
      <c r="D6" s="904">
        <v>0.3</v>
      </c>
      <c r="E6" s="904">
        <v>7100</v>
      </c>
      <c r="F6" s="905">
        <f>E6*D6</f>
        <v>2130</v>
      </c>
    </row>
    <row r="7" spans="1:6">
      <c r="B7" s="904">
        <v>5</v>
      </c>
      <c r="C7" s="904" t="s">
        <v>669</v>
      </c>
      <c r="D7" s="904">
        <v>1</v>
      </c>
      <c r="E7" s="904">
        <v>8000</v>
      </c>
      <c r="F7" s="905">
        <f>E7*D7</f>
        <v>8000</v>
      </c>
    </row>
    <row r="8" spans="1:6">
      <c r="F8" s="905">
        <f>SUM(F3:F7)</f>
        <v>127340</v>
      </c>
    </row>
    <row r="9" spans="1:6">
      <c r="A9" s="904">
        <v>2</v>
      </c>
      <c r="B9" s="904" t="s">
        <v>691</v>
      </c>
      <c r="F9" s="905">
        <v>100000</v>
      </c>
    </row>
    <row r="10" spans="1:6">
      <c r="A10" s="904">
        <v>3</v>
      </c>
      <c r="B10" s="904" t="s">
        <v>673</v>
      </c>
    </row>
    <row r="11" spans="1:6">
      <c r="B11" s="904">
        <v>1</v>
      </c>
      <c r="C11" s="904" t="s">
        <v>674</v>
      </c>
      <c r="D11" s="904">
        <v>250</v>
      </c>
      <c r="E11" s="904">
        <v>1650</v>
      </c>
      <c r="F11" s="905">
        <f>E11*D11</f>
        <v>412500</v>
      </c>
    </row>
    <row r="12" spans="1:6">
      <c r="B12" s="904">
        <v>2</v>
      </c>
      <c r="C12" s="904" t="s">
        <v>675</v>
      </c>
      <c r="D12" s="904">
        <v>11</v>
      </c>
      <c r="E12" s="904">
        <v>8000</v>
      </c>
      <c r="F12" s="905">
        <f>E12*D12</f>
        <v>88000</v>
      </c>
    </row>
    <row r="13" spans="1:6">
      <c r="B13" s="904">
        <v>3</v>
      </c>
      <c r="C13" s="904" t="s">
        <v>676</v>
      </c>
      <c r="D13" s="904">
        <v>11</v>
      </c>
      <c r="E13" s="904">
        <v>14545</v>
      </c>
      <c r="F13" s="905">
        <f t="shared" ref="F13:F26" si="0">E13*D13</f>
        <v>159995</v>
      </c>
    </row>
    <row r="14" spans="1:6">
      <c r="B14" s="904">
        <v>4</v>
      </c>
      <c r="C14" s="904" t="s">
        <v>677</v>
      </c>
      <c r="D14" s="904">
        <v>17</v>
      </c>
      <c r="E14" s="904">
        <v>30000</v>
      </c>
      <c r="F14" s="905">
        <f t="shared" si="0"/>
        <v>510000</v>
      </c>
    </row>
    <row r="15" spans="1:6">
      <c r="B15" s="904">
        <v>5</v>
      </c>
      <c r="C15" s="904" t="s">
        <v>678</v>
      </c>
      <c r="D15" s="904">
        <v>16</v>
      </c>
      <c r="E15" s="904">
        <v>18000</v>
      </c>
      <c r="F15" s="905">
        <f t="shared" si="0"/>
        <v>288000</v>
      </c>
    </row>
    <row r="16" spans="1:6">
      <c r="B16" s="904">
        <v>6</v>
      </c>
      <c r="C16" s="904" t="s">
        <v>679</v>
      </c>
      <c r="D16" s="904">
        <v>1</v>
      </c>
      <c r="E16" s="904">
        <v>3500</v>
      </c>
      <c r="F16" s="905">
        <f t="shared" si="0"/>
        <v>3500</v>
      </c>
    </row>
    <row r="17" spans="1:6">
      <c r="B17" s="904">
        <v>7</v>
      </c>
      <c r="C17" s="904" t="s">
        <v>680</v>
      </c>
      <c r="D17" s="904">
        <v>3</v>
      </c>
      <c r="E17" s="904">
        <v>2500</v>
      </c>
      <c r="F17" s="905">
        <f t="shared" si="0"/>
        <v>7500</v>
      </c>
    </row>
    <row r="18" spans="1:6">
      <c r="B18" s="904">
        <v>8</v>
      </c>
      <c r="C18" s="904" t="s">
        <v>681</v>
      </c>
      <c r="D18" s="904">
        <v>3</v>
      </c>
      <c r="E18" s="904">
        <v>10000</v>
      </c>
      <c r="F18" s="905">
        <f t="shared" si="0"/>
        <v>30000</v>
      </c>
    </row>
    <row r="19" spans="1:6">
      <c r="B19" s="904">
        <v>9</v>
      </c>
      <c r="C19" s="904" t="s">
        <v>682</v>
      </c>
      <c r="D19" s="904">
        <v>50</v>
      </c>
      <c r="E19" s="904">
        <v>250</v>
      </c>
      <c r="F19" s="905">
        <f t="shared" si="0"/>
        <v>12500</v>
      </c>
    </row>
    <row r="20" spans="1:6">
      <c r="B20" s="904">
        <v>10</v>
      </c>
      <c r="C20" s="904" t="s">
        <v>683</v>
      </c>
      <c r="D20" s="904">
        <v>12</v>
      </c>
      <c r="E20" s="904">
        <v>250</v>
      </c>
      <c r="F20" s="905">
        <f t="shared" si="0"/>
        <v>3000</v>
      </c>
    </row>
    <row r="21" spans="1:6">
      <c r="B21" s="904">
        <v>11</v>
      </c>
      <c r="C21" s="904" t="s">
        <v>684</v>
      </c>
      <c r="D21" s="904">
        <v>161</v>
      </c>
      <c r="E21" s="904">
        <v>500</v>
      </c>
      <c r="F21" s="905">
        <f t="shared" si="0"/>
        <v>80500</v>
      </c>
    </row>
    <row r="22" spans="1:6">
      <c r="B22" s="904">
        <v>12</v>
      </c>
      <c r="C22" s="904" t="s">
        <v>685</v>
      </c>
      <c r="D22" s="904">
        <v>2</v>
      </c>
      <c r="E22" s="904">
        <v>7100</v>
      </c>
      <c r="F22" s="905">
        <f t="shared" si="0"/>
        <v>14200</v>
      </c>
    </row>
    <row r="23" spans="1:6">
      <c r="B23" s="904">
        <v>13</v>
      </c>
      <c r="C23" s="904" t="s">
        <v>686</v>
      </c>
      <c r="D23" s="904">
        <v>2</v>
      </c>
      <c r="E23" s="904">
        <v>7100</v>
      </c>
      <c r="F23" s="905">
        <f t="shared" si="0"/>
        <v>14200</v>
      </c>
    </row>
    <row r="24" spans="1:6">
      <c r="B24" s="904">
        <v>14</v>
      </c>
      <c r="C24" s="904" t="s">
        <v>687</v>
      </c>
      <c r="D24" s="904">
        <v>2.2999999999999998</v>
      </c>
      <c r="E24" s="904">
        <v>7100</v>
      </c>
      <c r="F24" s="905">
        <f t="shared" si="0"/>
        <v>16329.999999999998</v>
      </c>
    </row>
    <row r="25" spans="1:6">
      <c r="B25" s="904">
        <v>15</v>
      </c>
      <c r="C25" s="904" t="s">
        <v>688</v>
      </c>
      <c r="D25" s="904">
        <v>1</v>
      </c>
      <c r="E25" s="904">
        <v>7100</v>
      </c>
      <c r="F25" s="905">
        <f t="shared" si="0"/>
        <v>7100</v>
      </c>
    </row>
    <row r="26" spans="1:6">
      <c r="B26" s="904">
        <v>16</v>
      </c>
      <c r="C26" s="904" t="s">
        <v>689</v>
      </c>
      <c r="D26" s="904">
        <v>4</v>
      </c>
      <c r="E26" s="904">
        <v>6300</v>
      </c>
      <c r="F26" s="905">
        <f t="shared" si="0"/>
        <v>25200</v>
      </c>
    </row>
    <row r="27" spans="1:6">
      <c r="B27" s="904">
        <v>17</v>
      </c>
      <c r="C27" s="904" t="s">
        <v>185</v>
      </c>
      <c r="F27" s="905">
        <v>400000</v>
      </c>
    </row>
    <row r="28" spans="1:6">
      <c r="B28" s="904">
        <v>18</v>
      </c>
      <c r="C28" s="904" t="s">
        <v>690</v>
      </c>
      <c r="F28" s="905">
        <v>36000</v>
      </c>
    </row>
    <row r="29" spans="1:6">
      <c r="F29" s="905">
        <f>SUM(F11:F28)</f>
        <v>2108525</v>
      </c>
    </row>
    <row r="31" spans="1:6">
      <c r="A31" s="907"/>
      <c r="B31" s="907"/>
      <c r="C31" s="907" t="s">
        <v>672</v>
      </c>
      <c r="D31" s="907">
        <v>34</v>
      </c>
      <c r="E31" s="907">
        <v>43</v>
      </c>
      <c r="F31" s="908">
        <f>E31*D31</f>
        <v>1462</v>
      </c>
    </row>
    <row r="32" spans="1:6">
      <c r="A32" s="904">
        <v>1</v>
      </c>
      <c r="B32" s="904" t="s">
        <v>666</v>
      </c>
    </row>
    <row r="33" spans="1:6">
      <c r="B33" s="904">
        <v>1</v>
      </c>
      <c r="C33" s="904" t="s">
        <v>667</v>
      </c>
      <c r="F33" s="905">
        <f>$F$31*F3/$F$1</f>
        <v>56474.971428571429</v>
      </c>
    </row>
    <row r="34" spans="1:6">
      <c r="B34" s="904">
        <v>2</v>
      </c>
      <c r="C34" s="904" t="s">
        <v>668</v>
      </c>
      <c r="F34" s="905">
        <f>$F$31*F4/$F$1</f>
        <v>135807.26857142858</v>
      </c>
    </row>
    <row r="35" spans="1:6">
      <c r="B35" s="904">
        <v>3</v>
      </c>
      <c r="C35" s="904" t="s">
        <v>669</v>
      </c>
      <c r="F35" s="905">
        <f>$F$31*F5/$F$1</f>
        <v>3558.9257142857141</v>
      </c>
    </row>
    <row r="36" spans="1:6">
      <c r="B36" s="904">
        <v>4</v>
      </c>
      <c r="C36" s="904" t="s">
        <v>670</v>
      </c>
      <c r="F36" s="905">
        <f>$F$31*F6/$F$1</f>
        <v>3558.9257142857141</v>
      </c>
    </row>
    <row r="37" spans="1:6">
      <c r="B37" s="904">
        <v>5</v>
      </c>
      <c r="C37" s="904" t="s">
        <v>669</v>
      </c>
      <c r="F37" s="905">
        <f>$F$31*F7/$F$1</f>
        <v>13366.857142857143</v>
      </c>
    </row>
    <row r="38" spans="1:6">
      <c r="F38" s="906">
        <f>SUM(F33:F37)</f>
        <v>212766.94857142857</v>
      </c>
    </row>
    <row r="39" spans="1:6">
      <c r="A39" s="904">
        <v>2</v>
      </c>
      <c r="B39" s="904" t="s">
        <v>691</v>
      </c>
      <c r="F39" s="906">
        <f>F31*F9/F1</f>
        <v>167085.71428571429</v>
      </c>
    </row>
    <row r="40" spans="1:6">
      <c r="A40" s="904">
        <v>3</v>
      </c>
      <c r="B40" s="904" t="s">
        <v>673</v>
      </c>
      <c r="F40" s="906">
        <f>F31*F29/F1</f>
        <v>3523044.057142857</v>
      </c>
    </row>
    <row r="41" spans="1:6">
      <c r="F41" s="905">
        <f>SUM(F38:F40)</f>
        <v>3902896.7199999997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Summary (2)</vt:lpstr>
      <vt:lpstr>Total Summary</vt:lpstr>
      <vt:lpstr>Summary</vt:lpstr>
      <vt:lpstr>AC</vt:lpstr>
      <vt:lpstr>BQ</vt:lpstr>
      <vt:lpstr>BE</vt:lpstr>
      <vt:lpstr>Price</vt:lpstr>
      <vt:lpstr>Sheet2</vt:lpstr>
      <vt:lpstr>Sheet3</vt:lpstr>
      <vt:lpstr>Sheet4</vt:lpstr>
      <vt:lpstr>Sheet5</vt:lpstr>
      <vt:lpstr>Sheet1</vt:lpstr>
      <vt:lpstr>D Form</vt:lpstr>
      <vt:lpstr>BE Form</vt:lpstr>
      <vt:lpstr>Sheet8</vt:lpstr>
      <vt:lpstr>Sheet14</vt:lpstr>
      <vt:lpstr>Sheet12</vt:lpstr>
      <vt:lpstr>Sheet7</vt:lpstr>
      <vt:lpstr>Sheet9</vt:lpstr>
      <vt:lpstr>Sheet13</vt:lpstr>
      <vt:lpstr>Sheet6</vt:lpstr>
      <vt:lpstr>Sheet10</vt:lpstr>
      <vt:lpstr>Sheet11</vt:lpstr>
      <vt:lpstr>Detail</vt:lpstr>
      <vt:lpstr>RATE</vt:lpstr>
      <vt:lpstr>BQ2</vt:lpstr>
      <vt:lpstr>Rebar</vt:lpstr>
      <vt:lpstr>M&amp;L Rate</vt:lpstr>
      <vt:lpstr>Indirect Cost</vt:lpstr>
      <vt:lpstr>AC!Print_Area</vt:lpstr>
      <vt:lpstr>BE!Print_Area</vt:lpstr>
      <vt:lpstr>BQ!Print_Area</vt:lpstr>
      <vt:lpstr>'BQ2'!Print_Area</vt:lpstr>
      <vt:lpstr>Detail!Print_Area</vt:lpstr>
      <vt:lpstr>'M&amp;L Rate'!Print_Area</vt:lpstr>
      <vt:lpstr>RATE!Print_Area</vt:lpstr>
      <vt:lpstr>Sheet12!Print_Area</vt:lpstr>
      <vt:lpstr>Summary!Print_Area</vt:lpstr>
      <vt:lpstr>'Summary (2)'!Print_Area</vt:lpstr>
      <vt:lpstr>'Total Summary'!Print_Area</vt:lpstr>
      <vt:lpstr>AC!Print_Titles</vt:lpstr>
      <vt:lpstr>BE!Print_Titles</vt:lpstr>
      <vt:lpstr>BQ!Print_Titles</vt:lpstr>
      <vt:lpstr>'BQ2'!Print_Titles</vt:lpstr>
      <vt:lpstr>Detail!Print_Titles</vt:lpstr>
      <vt:lpstr>'M&amp;L Rate'!Print_Titles</vt:lpstr>
      <vt:lpstr>RATE!Print_Titles</vt:lpstr>
      <vt:lpstr>Sheet6!Print_Titles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Nay Chi Nway</cp:lastModifiedBy>
  <cp:lastPrinted>2026-05-30T09:03:25Z</cp:lastPrinted>
  <dcterms:created xsi:type="dcterms:W3CDTF">2010-01-27T21:49:19Z</dcterms:created>
  <dcterms:modified xsi:type="dcterms:W3CDTF">2026-06-24T10:13:59Z</dcterms:modified>
</cp:coreProperties>
</file>
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3040" windowHeight="9228"/>
  </bookViews>
  <sheets>
    <sheet name="JAN-18" sheetId="1" r:id="rId1"/>
  </sheets>
  <definedNames>
    <definedName name="_xlnm.Print_Area" localSheetId="0">'JAN-18'!$A$1:$L$19</definedName>
    <definedName name="_xlnm.Print_Titles" localSheetId="0">'JAN-18'!$1:$2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0" i="1" l="1"/>
  <c r="H9" i="1"/>
  <c r="H16" i="1" s="1"/>
  <c r="H6" i="1"/>
  <c r="L3" i="1"/>
  <c r="K3" i="1"/>
  <c r="J3" i="1"/>
  <c r="I3" i="1"/>
  <c r="H3" i="1"/>
</calcChain>
</file>

<file path=xl/sharedStrings.xml><?xml version="1.0" encoding="utf-8"?>
<sst xmlns="http://schemas.openxmlformats.org/spreadsheetml/2006/main" count="42" uniqueCount="26">
  <si>
    <t>Jan'2018 Daily Expense</t>
  </si>
  <si>
    <t>General</t>
  </si>
  <si>
    <t>Material</t>
  </si>
  <si>
    <t>Labour</t>
  </si>
  <si>
    <t>Salary</t>
  </si>
  <si>
    <t>No</t>
  </si>
  <si>
    <t>Date</t>
  </si>
  <si>
    <t>MO NO</t>
  </si>
  <si>
    <t>Particular</t>
  </si>
  <si>
    <t>Quantity</t>
  </si>
  <si>
    <t>Amount</t>
  </si>
  <si>
    <t>Code</t>
  </si>
  <si>
    <t>Expense</t>
  </si>
  <si>
    <t>G</t>
  </si>
  <si>
    <t>M</t>
  </si>
  <si>
    <t>L</t>
  </si>
  <si>
    <t>S</t>
  </si>
  <si>
    <t>Cement</t>
  </si>
  <si>
    <t xml:space="preserve">Mason </t>
  </si>
  <si>
    <t>Chipping</t>
  </si>
  <si>
    <t>Sand</t>
  </si>
  <si>
    <t>Brick</t>
  </si>
  <si>
    <t>Carpenter</t>
  </si>
  <si>
    <t xml:space="preserve">Transporting </t>
  </si>
  <si>
    <t>Cutting Tree</t>
  </si>
  <si>
    <t>TOTAL EXPENSE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</si>
</sst>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_(* #,##0_);_(* \(#,##0\);_(* &quot;-&quot;??_);_(@_)"/>
    <numFmt numFmtId="165" formatCode="[$-10000455]0"/>
    <numFmt numFmtId="166" formatCode="[$-14809]d\ mmmm\,\ yyyy;@"/>
  </numFmts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2"/>
      <color theme="0"/>
      <name val="Zawgyi-One"/>
      <family val="2"/>
    </font>
    <font>
      <b/>
      <sz val="26"/>
      <color theme="0"/>
      <name val="Calibri"/>
      <family val="2"/>
      <scheme val="minor"/>
    </font>
    <font>
      <sz val="11"/>
      <color theme="1"/>
      <name val="Zawgyi-One"/>
      <family val="2"/>
    </font>
    <font>
      <b/>
      <sz val="14"/>
      <color theme="1"/>
      <name val="Zawgyi-One"/>
      <family val="2"/>
    </font>
    <font>
      <b/>
      <sz val="12"/>
      <color theme="1"/>
      <name val="Zawgyi-One"/>
      <family val="2"/>
    </font>
    <font>
      <b/>
      <sz val="16"/>
      <color rgb="FFFF0000"/>
      <name val="Zawgyi-One"/>
      <family val="2"/>
    </font>
    <font>
      <b/>
      <sz val="22"/>
      <color rgb="FFFF0000"/>
      <name val="Calibri"/>
      <family val="2"/>
      <scheme val="minor"/>
    </font>
    <font>
      <b/>
      <sz val="22"/>
      <color rgb="FFC00000"/>
      <name val="Calibri"/>
      <family val="2"/>
      <scheme val="minor"/>
    </font>
    <font>
      <b/>
      <sz val="11"/>
      <color rgb="FFFF0000"/>
      <name val="Zawgyi-One"/>
      <family val="2"/>
    </font>
    <font>
      <sz val="14"/>
      <color theme="1"/>
      <name val="Zawgyi-One"/>
      <family val="2"/>
    </font>
    <font>
      <b/>
      <sz val="14"/>
      <color rgb="FFFF0000"/>
      <name val="Yu Mincho Demibold"/>
      <family val="1"/>
    </font>
    <font>
      <b/>
      <sz val="14"/>
      <color theme="0"/>
      <name val="Yu Mincho Demibold"/>
      <family val="1"/>
    </font>
    <font>
      <sz val="11"/>
      <color theme="4" tint="-0.249977111117893"/>
      <name val="Zawgyi-One"/>
      <family val="2"/>
    </font>
    <font>
      <b/>
      <sz val="20"/>
      <color theme="0"/>
      <name val="Zawgyi-One"/>
      <family val="2"/>
    </font>
    <font>
      <b/>
      <sz val="20"/>
      <color theme="4" tint="-0.249977111117893"/>
      <name val="Zawgyi-One"/>
      <family val="2"/>
    </font>
    <font>
      <b/>
      <sz val="20"/>
      <color theme="1"/>
      <name val="Zawgyi-One"/>
      <family val="2"/>
    </font>
    <font>
      <sz val="20"/>
      <color rgb="FFFF0000"/>
      <name val="Zawgyi-One"/>
      <family val="2"/>
    </font>
    <font>
      <sz val="28"/>
      <color theme="1"/>
      <name val="Zawgyi-One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00000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auto="1"/>
      </left>
      <right/>
      <top style="double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ck">
        <color rgb="FF00B0F0"/>
      </top>
      <bottom/>
      <diagonal/>
    </border>
    <border>
      <left style="thin">
        <color auto="1"/>
      </left>
      <right/>
      <top style="thick">
        <color rgb="FF00B0F0"/>
      </top>
      <bottom/>
      <diagonal/>
    </border>
    <border>
      <left style="thin">
        <color auto="1"/>
      </left>
      <right style="thin">
        <color auto="1"/>
      </right>
      <top style="thick">
        <color rgb="FF00B0F0"/>
      </top>
      <bottom/>
      <diagonal/>
    </border>
    <border>
      <left style="double">
        <color auto="1"/>
      </left>
      <right style="thin">
        <color auto="1"/>
      </right>
      <top style="thick">
        <color rgb="FF00B0F0"/>
      </top>
      <bottom/>
      <diagonal/>
    </border>
    <border>
      <left style="thin">
        <color auto="1"/>
      </left>
      <right style="double">
        <color auto="1"/>
      </right>
      <top style="thick">
        <color rgb="FF00B0F0"/>
      </top>
      <bottom/>
      <diagonal/>
    </border>
    <border>
      <left style="double">
        <color indexed="64"/>
      </left>
      <right/>
      <top style="thick">
        <color rgb="FF00B0F0"/>
      </top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2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164" fontId="3" fillId="2" borderId="3" xfId="1" applyNumberFormat="1" applyFont="1" applyFill="1" applyBorder="1" applyAlignment="1">
      <alignment horizontal="center" vertical="center"/>
    </xf>
    <xf numFmtId="164" fontId="3" fillId="2" borderId="3" xfId="1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4" xfId="0" applyFont="1" applyFill="1" applyBorder="1" applyAlignment="1">
      <alignment horizontal="center" vertical="center" wrapText="1"/>
    </xf>
    <xf numFmtId="0" fontId="6" fillId="0" borderId="5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43" fontId="5" fillId="0" borderId="4" xfId="1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164" fontId="5" fillId="0" borderId="4" xfId="1" applyNumberFormat="1" applyFont="1" applyFill="1" applyBorder="1" applyAlignment="1">
      <alignment horizontal="center" vertical="center" wrapText="1"/>
    </xf>
    <xf numFmtId="164" fontId="8" fillId="3" borderId="6" xfId="1" applyNumberFormat="1" applyFont="1" applyFill="1" applyBorder="1" applyAlignment="1">
      <alignment horizontal="center" vertical="center"/>
    </xf>
    <xf numFmtId="164" fontId="9" fillId="4" borderId="6" xfId="1" applyNumberFormat="1" applyFont="1" applyFill="1" applyBorder="1" applyAlignment="1">
      <alignment horizontal="center" vertical="center"/>
    </xf>
    <xf numFmtId="164" fontId="9" fillId="4" borderId="6" xfId="1" applyNumberFormat="1" applyFont="1" applyFill="1" applyBorder="1" applyAlignment="1">
      <alignment horizontal="center" vertical="center" wrapText="1"/>
    </xf>
    <xf numFmtId="0" fontId="10" fillId="4" borderId="0" xfId="0" applyFont="1" applyFill="1" applyAlignment="1">
      <alignment vertical="center"/>
    </xf>
    <xf numFmtId="165" fontId="11" fillId="0" borderId="7" xfId="0" applyNumberFormat="1" applyFont="1" applyFill="1" applyBorder="1" applyAlignment="1">
      <alignment horizontal="center" vertical="center"/>
    </xf>
    <xf numFmtId="166" fontId="11" fillId="0" borderId="8" xfId="0" applyNumberFormat="1" applyFont="1" applyFill="1" applyBorder="1" applyAlignment="1">
      <alignment horizontal="left" vertical="center"/>
    </xf>
    <xf numFmtId="164" fontId="11" fillId="0" borderId="9" xfId="0" applyNumberFormat="1" applyFont="1" applyFill="1" applyBorder="1" applyAlignment="1">
      <alignment horizontal="center" vertical="center"/>
    </xf>
    <xf numFmtId="43" fontId="11" fillId="0" borderId="9" xfId="1" applyFont="1" applyFill="1" applyBorder="1" applyAlignment="1">
      <alignment horizontal="left" vertical="center" wrapText="1"/>
    </xf>
    <xf numFmtId="43" fontId="11" fillId="0" borderId="10" xfId="1" applyFont="1" applyFill="1" applyBorder="1" applyAlignment="1">
      <alignment horizontal="left" vertical="center" wrapText="1"/>
    </xf>
    <xf numFmtId="166" fontId="12" fillId="3" borderId="9" xfId="0" applyNumberFormat="1" applyFont="1" applyFill="1" applyBorder="1" applyAlignment="1">
      <alignment horizontal="center" vertical="center"/>
    </xf>
    <xf numFmtId="164" fontId="11" fillId="3" borderId="11" xfId="1" applyNumberFormat="1" applyFont="1" applyFill="1" applyBorder="1" applyAlignment="1">
      <alignment vertical="center"/>
    </xf>
    <xf numFmtId="164" fontId="11" fillId="0" borderId="7" xfId="1" applyNumberFormat="1" applyFont="1" applyFill="1" applyBorder="1" applyAlignment="1">
      <alignment vertical="center"/>
    </xf>
    <xf numFmtId="0" fontId="11" fillId="0" borderId="0" xfId="0" applyFont="1" applyFill="1" applyAlignment="1">
      <alignment vertical="center"/>
    </xf>
    <xf numFmtId="165" fontId="11" fillId="0" borderId="12" xfId="0" applyNumberFormat="1" applyFont="1" applyFill="1" applyBorder="1" applyAlignment="1">
      <alignment horizontal="center" vertical="center"/>
    </xf>
    <xf numFmtId="164" fontId="11" fillId="0" borderId="8" xfId="0" applyNumberFormat="1" applyFont="1" applyFill="1" applyBorder="1" applyAlignment="1">
      <alignment horizontal="center" vertical="center"/>
    </xf>
    <xf numFmtId="43" fontId="11" fillId="0" borderId="8" xfId="1" applyFont="1" applyFill="1" applyBorder="1" applyAlignment="1">
      <alignment horizontal="left" vertical="center"/>
    </xf>
    <xf numFmtId="43" fontId="11" fillId="0" borderId="13" xfId="1" applyFont="1" applyFill="1" applyBorder="1" applyAlignment="1">
      <alignment horizontal="left" vertical="center"/>
    </xf>
    <xf numFmtId="166" fontId="13" fillId="5" borderId="8" xfId="0" applyNumberFormat="1" applyFont="1" applyFill="1" applyBorder="1" applyAlignment="1">
      <alignment horizontal="center" vertical="center"/>
    </xf>
    <xf numFmtId="164" fontId="11" fillId="0" borderId="14" xfId="1" applyNumberFormat="1" applyFont="1" applyFill="1" applyBorder="1" applyAlignment="1">
      <alignment vertical="center"/>
    </xf>
    <xf numFmtId="164" fontId="11" fillId="0" borderId="0" xfId="0" applyNumberFormat="1" applyFont="1" applyFill="1" applyAlignment="1">
      <alignment vertical="center"/>
    </xf>
    <xf numFmtId="164" fontId="11" fillId="0" borderId="8" xfId="1" applyNumberFormat="1" applyFont="1" applyFill="1" applyBorder="1" applyAlignment="1">
      <alignment horizontal="center" vertical="center"/>
    </xf>
    <xf numFmtId="164" fontId="13" fillId="5" borderId="6" xfId="1" applyNumberFormat="1" applyFont="1" applyFill="1" applyBorder="1" applyAlignment="1">
      <alignment horizontal="center" vertical="center" wrapText="1"/>
    </xf>
    <xf numFmtId="164" fontId="11" fillId="0" borderId="13" xfId="1" applyNumberFormat="1" applyFont="1" applyFill="1" applyBorder="1" applyAlignment="1">
      <alignment horizontal="center" vertical="center"/>
    </xf>
    <xf numFmtId="165" fontId="11" fillId="0" borderId="13" xfId="0" applyNumberFormat="1" applyFont="1" applyFill="1" applyBorder="1" applyAlignment="1">
      <alignment horizontal="center" vertical="center"/>
    </xf>
    <xf numFmtId="43" fontId="11" fillId="0" borderId="8" xfId="1" applyFont="1" applyFill="1" applyBorder="1" applyAlignment="1">
      <alignment horizontal="left" vertical="center" wrapText="1"/>
    </xf>
    <xf numFmtId="43" fontId="11" fillId="0" borderId="15" xfId="1" applyFont="1" applyFill="1" applyBorder="1" applyAlignment="1">
      <alignment horizontal="left" vertical="center" wrapText="1"/>
    </xf>
    <xf numFmtId="164" fontId="11" fillId="0" borderId="15" xfId="1" applyNumberFormat="1" applyFont="1" applyFill="1" applyBorder="1" applyAlignment="1">
      <alignment vertical="center"/>
    </xf>
    <xf numFmtId="43" fontId="11" fillId="0" borderId="13" xfId="1" applyFont="1" applyFill="1" applyBorder="1" applyAlignment="1">
      <alignment horizontal="left" vertical="center" wrapText="1"/>
    </xf>
    <xf numFmtId="43" fontId="11" fillId="0" borderId="16" xfId="1" applyFont="1" applyFill="1" applyBorder="1" applyAlignment="1">
      <alignment horizontal="left" vertical="center" wrapText="1"/>
    </xf>
    <xf numFmtId="166" fontId="13" fillId="5" borderId="16" xfId="0" applyNumberFormat="1" applyFont="1" applyFill="1" applyBorder="1" applyAlignment="1">
      <alignment horizontal="center" vertical="center"/>
    </xf>
    <xf numFmtId="164" fontId="11" fillId="0" borderId="16" xfId="1" applyNumberFormat="1" applyFont="1" applyFill="1" applyBorder="1" applyAlignment="1">
      <alignment vertical="center"/>
    </xf>
    <xf numFmtId="165" fontId="14" fillId="0" borderId="13" xfId="0" applyNumberFormat="1" applyFont="1" applyFill="1" applyBorder="1" applyAlignment="1">
      <alignment horizontal="center" vertical="center"/>
    </xf>
    <xf numFmtId="164" fontId="4" fillId="0" borderId="0" xfId="0" applyNumberFormat="1" applyFont="1" applyFill="1" applyAlignment="1">
      <alignment vertical="center"/>
    </xf>
    <xf numFmtId="0" fontId="4" fillId="0" borderId="0" xfId="0" applyFont="1" applyFill="1" applyAlignment="1">
      <alignment vertical="center"/>
    </xf>
    <xf numFmtId="165" fontId="11" fillId="6" borderId="17" xfId="0" applyNumberFormat="1" applyFont="1" applyFill="1" applyBorder="1" applyAlignment="1">
      <alignment horizontal="center" vertical="center"/>
    </xf>
    <xf numFmtId="166" fontId="4" fillId="6" borderId="18" xfId="0" applyNumberFormat="1" applyFont="1" applyFill="1" applyBorder="1" applyAlignment="1">
      <alignment horizontal="left" vertical="center"/>
    </xf>
    <xf numFmtId="165" fontId="14" fillId="6" borderId="18" xfId="0" applyNumberFormat="1" applyFont="1" applyFill="1" applyBorder="1" applyAlignment="1">
      <alignment horizontal="center" vertical="center"/>
    </xf>
    <xf numFmtId="43" fontId="11" fillId="6" borderId="19" xfId="1" applyFont="1" applyFill="1" applyBorder="1" applyAlignment="1">
      <alignment vertical="center"/>
    </xf>
    <xf numFmtId="43" fontId="11" fillId="6" borderId="18" xfId="1" applyFont="1" applyFill="1" applyBorder="1" applyAlignment="1">
      <alignment vertical="center"/>
    </xf>
    <xf numFmtId="166" fontId="7" fillId="6" borderId="20" xfId="0" applyNumberFormat="1" applyFont="1" applyFill="1" applyBorder="1" applyAlignment="1">
      <alignment horizontal="center" vertical="center"/>
    </xf>
    <xf numFmtId="164" fontId="11" fillId="6" borderId="21" xfId="1" applyNumberFormat="1" applyFont="1" applyFill="1" applyBorder="1" applyAlignment="1">
      <alignment vertical="center"/>
    </xf>
    <xf numFmtId="164" fontId="4" fillId="6" borderId="22" xfId="1" applyNumberFormat="1" applyFont="1" applyFill="1" applyBorder="1" applyAlignment="1">
      <alignment vertical="center"/>
    </xf>
    <xf numFmtId="164" fontId="4" fillId="6" borderId="17" xfId="1" applyNumberFormat="1" applyFont="1" applyFill="1" applyBorder="1" applyAlignment="1">
      <alignment vertical="center"/>
    </xf>
    <xf numFmtId="0" fontId="15" fillId="6" borderId="23" xfId="0" applyFont="1" applyFill="1" applyBorder="1" applyAlignment="1">
      <alignment horizontal="right" vertical="center"/>
    </xf>
    <xf numFmtId="0" fontId="15" fillId="6" borderId="1" xfId="0" applyFont="1" applyFill="1" applyBorder="1" applyAlignment="1">
      <alignment horizontal="right" vertical="center"/>
    </xf>
    <xf numFmtId="0" fontId="15" fillId="6" borderId="24" xfId="0" applyFont="1" applyFill="1" applyBorder="1" applyAlignment="1">
      <alignment horizontal="right" vertical="center"/>
    </xf>
    <xf numFmtId="0" fontId="16" fillId="6" borderId="1" xfId="0" applyFont="1" applyFill="1" applyBorder="1" applyAlignment="1">
      <alignment horizontal="right" vertical="center"/>
    </xf>
    <xf numFmtId="164" fontId="17" fillId="6" borderId="25" xfId="1" applyNumberFormat="1" applyFont="1" applyFill="1" applyBorder="1" applyAlignment="1">
      <alignment vertical="center"/>
    </xf>
    <xf numFmtId="164" fontId="15" fillId="6" borderId="26" xfId="1" applyNumberFormat="1" applyFont="1" applyFill="1" applyBorder="1" applyAlignment="1">
      <alignment vertical="center"/>
    </xf>
    <xf numFmtId="0" fontId="17" fillId="0" borderId="0" xfId="0" applyFont="1" applyAlignment="1">
      <alignment vertical="center"/>
    </xf>
    <xf numFmtId="164" fontId="18" fillId="3" borderId="0" xfId="0" applyNumberFormat="1" applyFont="1" applyFill="1" applyAlignment="1">
      <alignment vertical="center"/>
    </xf>
    <xf numFmtId="164" fontId="19" fillId="3" borderId="0" xfId="0" applyNumberFormat="1" applyFont="1" applyFill="1" applyAlignment="1">
      <alignment vertical="center"/>
    </xf>
    <xf numFmtId="0" fontId="11" fillId="0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43" fontId="11" fillId="0" borderId="0" xfId="1" applyFont="1" applyAlignment="1">
      <alignment vertical="center"/>
    </xf>
    <xf numFmtId="0" fontId="7" fillId="0" borderId="0" xfId="0" applyFont="1" applyAlignment="1">
      <alignment horizontal="center" vertical="center"/>
    </xf>
    <xf numFmtId="164" fontId="11" fillId="0" borderId="0" xfId="1" applyNumberFormat="1" applyFont="1" applyAlignment="1">
      <alignment vertical="center"/>
    </xf>
    <xf numFmtId="164" fontId="4" fillId="0" borderId="0" xfId="0" applyNumberFormat="1" applyFont="1" applyAlignment="1">
      <alignment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externalLinkPath" Target="file:///D:\02%20SQS%20Teaching%20Document\2%20Course%20by%20chapter\020%20SQS%20Bonus%20For%20Strudent\SQS%20BONUS-2\Monthly%20Budget%20Expense.xlsx" TargetMode="External"/><Relationship Id="rId2" Type="http://schemas.openxmlformats.org/officeDocument/2006/relationships/externalLinkPath" Target="file:///D:\02%20SQS%20Teaching%20Document\2%20Course%20by%20chapter\020%20SQS%20Bonus%20For%20Strudent\SQS%20BONUS-2\Monthly%20Budget%20Expense.xlsx" TargetMode="External"/><Relationship Id="rId1" Type="http://schemas.openxmlformats.org/officeDocument/2006/relationships/externalLinkPath" Target="file:///D:\02%20SQS%20Teaching%20Document\2%20Course%20by%20chapter\020%20SQS%20Bonus%20For%20Strudent\SQS%20BONUS-2\Monthly%20Budget%20Expense.xlsx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externalLinkPath" Target="file:///D:\02%20SQS%20Teaching%20Document\2%20Course%20by%20chapter\020%20SQS%20Bonus%20For%20Strudent\SQS%20BONUS-2\Monthly%20Budget%20Expense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0"/>
  </sheetPr>
  <dimension ref="A1:N18"/>
  <sheetViews>
    <sheetView tabSelected="1" view="pageBreakPreview" zoomScale="75" zoomScaleNormal="80" zoomScaleSheetLayoutView="75" workbookViewId="0">
      <pane xSplit="1" ySplit="2" topLeftCell="B4" activePane="bottomRight" state="frozen"/>
      <selection pane="topRight" activeCell="B1" sqref="B1"/>
      <selection pane="bottomLeft" activeCell="A3" sqref="A3"/>
      <selection pane="bottomRight" activeCell="F18" sqref="F18"/>
    </sheetView>
  </sheetViews>
  <sheetFormatPr defaultColWidth="9.109375" defaultRowHeight="30.6"/>
  <cols>
    <col min="1" max="1" width="8.109375" style="65" customWidth="1"/>
    <col min="2" max="2" width="23.44140625" style="66" customWidth="1"/>
    <col min="3" max="3" width="17.88671875" style="67" customWidth="1"/>
    <col min="4" max="4" width="24.109375" style="68" customWidth="1"/>
    <col min="5" max="5" width="18.6640625" style="68" customWidth="1"/>
    <col min="6" max="6" width="15.109375" style="68" customWidth="1"/>
    <col min="7" max="7" width="9.44140625" style="69" customWidth="1"/>
    <col min="8" max="8" width="28.33203125" style="70" customWidth="1"/>
    <col min="9" max="9" width="25.5546875" style="71" customWidth="1"/>
    <col min="10" max="10" width="23.33203125" style="71" customWidth="1"/>
    <col min="11" max="11" width="25.33203125" style="71" customWidth="1"/>
    <col min="12" max="12" width="35.5546875" style="71" customWidth="1"/>
    <col min="13" max="13" width="13.88671875" style="6" customWidth="1"/>
    <col min="14" max="14" width="11.109375" style="6" customWidth="1"/>
    <col min="15" max="16384" width="9.109375" style="6"/>
  </cols>
  <sheetData>
    <row r="1" spans="1:14" ht="45" customHeight="1" thickTop="1" thickBot="1">
      <c r="A1" s="1" t="s">
        <v>0</v>
      </c>
      <c r="B1" s="1"/>
      <c r="C1" s="2"/>
      <c r="D1" s="1"/>
      <c r="E1" s="1"/>
      <c r="F1" s="1"/>
      <c r="G1" s="1"/>
      <c r="H1" s="3"/>
      <c r="I1" s="4" t="s">
        <v>1</v>
      </c>
      <c r="J1" s="4" t="s">
        <v>2</v>
      </c>
      <c r="K1" s="5" t="s">
        <v>3</v>
      </c>
      <c r="L1" s="4" t="s">
        <v>4</v>
      </c>
    </row>
    <row r="2" spans="1:14" s="16" customFormat="1" ht="38.25" customHeight="1" thickTop="1" thickBot="1">
      <c r="A2" s="7" t="s">
        <v>5</v>
      </c>
      <c r="B2" s="8" t="s">
        <v>6</v>
      </c>
      <c r="C2" s="9" t="s">
        <v>7</v>
      </c>
      <c r="D2" s="10" t="s">
        <v>8</v>
      </c>
      <c r="E2" s="10" t="s">
        <v>9</v>
      </c>
      <c r="F2" s="10" t="s">
        <v>10</v>
      </c>
      <c r="G2" s="11" t="s">
        <v>11</v>
      </c>
      <c r="H2" s="12" t="s">
        <v>12</v>
      </c>
      <c r="I2" s="13" t="s">
        <v>13</v>
      </c>
      <c r="J2" s="14" t="s">
        <v>14</v>
      </c>
      <c r="K2" s="15" t="s">
        <v>15</v>
      </c>
      <c r="L2" s="14" t="s">
        <v>16</v>
      </c>
    </row>
    <row r="3" spans="1:14" s="25" customFormat="1" ht="30" customHeight="1" thickTop="1" thickBot="1">
      <c r="A3" s="17">
        <v>1</v>
      </c>
      <c r="B3" s="18">
        <v>42739</v>
      </c>
      <c r="C3" s="19"/>
      <c r="D3" s="20" t="s">
        <v>17</v>
      </c>
      <c r="E3" s="21">
        <v>500</v>
      </c>
      <c r="F3" s="21">
        <v>6500</v>
      </c>
      <c r="G3" s="22" t="s">
        <v>14</v>
      </c>
      <c r="H3" s="23">
        <f>E3*F3</f>
        <v>3250000</v>
      </c>
      <c r="I3" s="24" t="str">
        <f>IF($G3=I$2,$H3,"-")</f>
        <v>-</v>
      </c>
      <c r="J3" s="24">
        <f t="shared" ref="J3:L14" si="0">IF($G3=J$2,$H3,"-")</f>
        <v>3250000</v>
      </c>
      <c r="K3" s="24" t="str">
        <f t="shared" si="0"/>
        <v>-</v>
      </c>
      <c r="L3" s="24" t="str">
        <f t="shared" si="0"/>
        <v>-</v>
      </c>
    </row>
    <row r="4" spans="1:14" s="25" customFormat="1" ht="27" thickTop="1" thickBot="1">
      <c r="A4" s="26">
        <v>2</v>
      </c>
      <c r="B4" s="18">
        <v>45664</v>
      </c>
      <c r="C4" s="27"/>
      <c r="D4" s="28" t="s">
        <v>18</v>
      </c>
      <c r="E4" s="29"/>
      <c r="F4" s="29"/>
      <c r="G4" s="30" t="s">
        <v>15</v>
      </c>
      <c r="H4" s="31">
        <v>500000</v>
      </c>
      <c r="I4" s="24"/>
      <c r="J4" s="24"/>
      <c r="K4" s="24"/>
      <c r="L4" s="24"/>
      <c r="M4" s="32"/>
      <c r="N4" s="32"/>
    </row>
    <row r="5" spans="1:14" s="25" customFormat="1" ht="27" thickTop="1" thickBot="1">
      <c r="A5" s="26">
        <v>5</v>
      </c>
      <c r="B5" s="18">
        <v>45675</v>
      </c>
      <c r="C5" s="27"/>
      <c r="D5" s="28" t="s">
        <v>19</v>
      </c>
      <c r="E5" s="29"/>
      <c r="F5" s="29"/>
      <c r="G5" s="30" t="s">
        <v>14</v>
      </c>
      <c r="H5" s="31">
        <v>50000</v>
      </c>
      <c r="I5" s="24"/>
      <c r="J5" s="24"/>
      <c r="K5" s="24"/>
      <c r="L5" s="24"/>
      <c r="M5" s="32"/>
      <c r="N5" s="32"/>
    </row>
    <row r="6" spans="1:14" s="25" customFormat="1" ht="27" thickTop="1" thickBot="1">
      <c r="A6" s="26">
        <v>6</v>
      </c>
      <c r="B6" s="18">
        <v>45675</v>
      </c>
      <c r="C6" s="33"/>
      <c r="D6" s="28" t="s">
        <v>20</v>
      </c>
      <c r="E6" s="29"/>
      <c r="F6" s="29"/>
      <c r="G6" s="34" t="s">
        <v>14</v>
      </c>
      <c r="H6" s="31">
        <f>248500-200000</f>
        <v>48500</v>
      </c>
      <c r="I6" s="24"/>
      <c r="J6" s="24"/>
      <c r="K6" s="24"/>
      <c r="L6" s="24"/>
      <c r="M6" s="32"/>
      <c r="N6" s="32"/>
    </row>
    <row r="7" spans="1:14" s="25" customFormat="1" ht="27" thickTop="1" thickBot="1">
      <c r="A7" s="26">
        <v>7</v>
      </c>
      <c r="B7" s="18">
        <v>45680</v>
      </c>
      <c r="C7" s="35"/>
      <c r="D7" s="28" t="s">
        <v>17</v>
      </c>
      <c r="E7" s="29"/>
      <c r="F7" s="29"/>
      <c r="G7" s="30" t="s">
        <v>14</v>
      </c>
      <c r="H7" s="31">
        <v>500000</v>
      </c>
      <c r="I7" s="24"/>
      <c r="J7" s="24"/>
      <c r="K7" s="24"/>
      <c r="L7" s="24"/>
      <c r="M7" s="32"/>
      <c r="N7" s="32"/>
    </row>
    <row r="8" spans="1:14" s="25" customFormat="1" ht="24" customHeight="1" thickTop="1" thickBot="1">
      <c r="A8" s="26">
        <v>8</v>
      </c>
      <c r="B8" s="18">
        <v>45681</v>
      </c>
      <c r="C8" s="35"/>
      <c r="D8" s="28" t="s">
        <v>18</v>
      </c>
      <c r="E8" s="29"/>
      <c r="F8" s="29"/>
      <c r="G8" s="30" t="s">
        <v>14</v>
      </c>
      <c r="H8" s="31">
        <v>185000</v>
      </c>
      <c r="I8" s="24"/>
      <c r="J8" s="24"/>
      <c r="K8" s="24"/>
      <c r="L8" s="24"/>
      <c r="M8" s="32"/>
      <c r="N8" s="32"/>
    </row>
    <row r="9" spans="1:14" s="25" customFormat="1" ht="27.75" customHeight="1" thickTop="1" thickBot="1">
      <c r="A9" s="26">
        <v>9</v>
      </c>
      <c r="B9" s="18">
        <v>45682</v>
      </c>
      <c r="C9" s="36"/>
      <c r="D9" s="37" t="s">
        <v>21</v>
      </c>
      <c r="E9" s="38"/>
      <c r="F9" s="38"/>
      <c r="G9" s="30" t="s">
        <v>14</v>
      </c>
      <c r="H9" s="39">
        <f>5000+3000+8000+3000</f>
        <v>19000</v>
      </c>
      <c r="I9" s="24"/>
      <c r="J9" s="24"/>
      <c r="K9" s="24"/>
      <c r="L9" s="24"/>
      <c r="M9" s="32"/>
      <c r="N9" s="32"/>
    </row>
    <row r="10" spans="1:14" s="25" customFormat="1" ht="27.75" customHeight="1" thickTop="1" thickBot="1">
      <c r="A10" s="26">
        <v>10</v>
      </c>
      <c r="B10" s="18">
        <v>45683</v>
      </c>
      <c r="C10" s="35"/>
      <c r="D10" s="37" t="s">
        <v>22</v>
      </c>
      <c r="E10" s="40"/>
      <c r="F10" s="40"/>
      <c r="G10" s="30" t="s">
        <v>15</v>
      </c>
      <c r="H10" s="31">
        <f>45000+11300+7000+8000</f>
        <v>71300</v>
      </c>
      <c r="I10" s="24"/>
      <c r="J10" s="24"/>
      <c r="K10" s="24"/>
      <c r="L10" s="24"/>
      <c r="M10" s="32"/>
      <c r="N10" s="32"/>
    </row>
    <row r="11" spans="1:14" s="25" customFormat="1" ht="27" thickTop="1" thickBot="1">
      <c r="A11" s="26">
        <v>11</v>
      </c>
      <c r="B11" s="18">
        <v>45684</v>
      </c>
      <c r="C11" s="27"/>
      <c r="D11" s="28" t="s">
        <v>23</v>
      </c>
      <c r="E11" s="29"/>
      <c r="F11" s="29"/>
      <c r="G11" s="34" t="s">
        <v>13</v>
      </c>
      <c r="H11" s="31">
        <v>57000</v>
      </c>
      <c r="I11" s="24"/>
      <c r="J11" s="24"/>
      <c r="K11" s="24"/>
      <c r="L11" s="24"/>
      <c r="M11" s="32"/>
      <c r="N11" s="32"/>
    </row>
    <row r="12" spans="1:14" s="25" customFormat="1" ht="27" thickTop="1" thickBot="1">
      <c r="A12" s="26">
        <v>12</v>
      </c>
      <c r="B12" s="18">
        <v>45685</v>
      </c>
      <c r="C12" s="36"/>
      <c r="D12" s="37" t="s">
        <v>24</v>
      </c>
      <c r="E12" s="41"/>
      <c r="F12" s="41"/>
      <c r="G12" s="42" t="s">
        <v>13</v>
      </c>
      <c r="H12" s="43">
        <v>14000</v>
      </c>
      <c r="I12" s="24"/>
      <c r="J12" s="24"/>
      <c r="K12" s="24"/>
      <c r="L12" s="24"/>
      <c r="M12" s="32"/>
      <c r="N12" s="32"/>
    </row>
    <row r="13" spans="1:14" s="25" customFormat="1" ht="27" thickTop="1" thickBot="1">
      <c r="A13" s="26">
        <v>13</v>
      </c>
      <c r="B13" s="18">
        <v>45687</v>
      </c>
      <c r="C13" s="36"/>
      <c r="D13" s="37" t="s">
        <v>22</v>
      </c>
      <c r="E13" s="41"/>
      <c r="F13" s="41"/>
      <c r="G13" s="42" t="s">
        <v>15</v>
      </c>
      <c r="H13" s="43">
        <v>150000</v>
      </c>
      <c r="I13" s="24"/>
      <c r="J13" s="24"/>
      <c r="K13" s="24"/>
      <c r="L13" s="24"/>
      <c r="M13" s="32"/>
      <c r="N13" s="32"/>
    </row>
    <row r="14" spans="1:14" s="46" customFormat="1" ht="27" thickTop="1" thickBot="1">
      <c r="A14" s="26">
        <v>14</v>
      </c>
      <c r="B14" s="18">
        <v>45688</v>
      </c>
      <c r="C14" s="44"/>
      <c r="D14" s="37" t="s">
        <v>4</v>
      </c>
      <c r="E14" s="40"/>
      <c r="F14" s="40"/>
      <c r="G14" s="34" t="s">
        <v>16</v>
      </c>
      <c r="H14" s="31">
        <v>200000</v>
      </c>
      <c r="I14" s="24"/>
      <c r="J14" s="24"/>
      <c r="K14" s="24"/>
      <c r="L14" s="24"/>
      <c r="M14" s="45"/>
      <c r="N14" s="45"/>
    </row>
    <row r="15" spans="1:14" s="46" customFormat="1" ht="15" customHeight="1" thickTop="1">
      <c r="A15" s="47"/>
      <c r="B15" s="48"/>
      <c r="C15" s="49"/>
      <c r="D15" s="50"/>
      <c r="E15" s="51"/>
      <c r="F15" s="51"/>
      <c r="G15" s="52"/>
      <c r="H15" s="53"/>
      <c r="I15" s="54"/>
      <c r="J15" s="55"/>
      <c r="K15" s="55"/>
      <c r="L15" s="55"/>
    </row>
    <row r="16" spans="1:14" s="62" customFormat="1" ht="37.200000000000003" thickBot="1">
      <c r="A16" s="56" t="s">
        <v>25</v>
      </c>
      <c r="B16" s="57"/>
      <c r="C16" s="57"/>
      <c r="D16" s="57"/>
      <c r="E16" s="57"/>
      <c r="F16" s="58"/>
      <c r="G16" s="59"/>
      <c r="H16" s="60">
        <f>SUM(H3:H15)</f>
        <v>5044800</v>
      </c>
      <c r="I16" s="61"/>
      <c r="J16" s="61"/>
      <c r="K16" s="61"/>
      <c r="L16" s="61"/>
    </row>
    <row r="17" spans="12:12" ht="37.200000000000003" thickTop="1">
      <c r="L17" s="63"/>
    </row>
    <row r="18" spans="12:12" ht="51.6">
      <c r="L18" s="64"/>
    </row>
  </sheetData>
  <sheetProtection formatCells="0" formatColumns="0" formatRows="0" insertColumns="0" insertRows="0" insertHyperlinks="0" deleteColumns="0" deleteRows="0" sort="0" autoFilter="0" pivotTables="0"/>
  <dataConsolidate topLabels="1">
    <dataRefs count="4">
      <dataRef ref="G2:H14" sheet="APRIL-18" r:id="rId1"/>
      <dataRef ref="G2:H14" sheet="FEB-18" r:id="rId2"/>
      <dataRef ref="G2:H14" sheet="JAN-18" r:id="rId3"/>
      <dataRef ref="G2:H14" sheet="MARCH-18" r:id="rId4"/>
    </dataRefs>
  </dataConsolidate>
  <mergeCells count="1">
    <mergeCell ref="A16:F16"/>
  </mergeCells>
  <printOptions horizontalCentered="1"/>
  <pageMargins left="0.45" right="0.45" top="0.75" bottom="0.75" header="0.3" footer="0.3"/>
  <pageSetup paperSize="9" scale="15" orientation="landscape" horizontalDpi="4294967293" verticalDpi="1200" r:id="rId5"/>
  <headerFooter>
    <oddHeader>&amp;ROct + Sep- Page -&amp;P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JAN-18</vt:lpstr>
      <vt:lpstr>'JAN-18'!Print_Area</vt:lpstr>
      <vt:lpstr>'JAN-18'!Print_Titles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SQS</dc:creator>
  <cp:lastModifiedBy>SQS</cp:lastModifiedBy>
  <dcterms:created xsi:type="dcterms:W3CDTF">2025-04-04T13:52:56Z</dcterms:created>
  <dcterms:modified xsi:type="dcterms:W3CDTF">2025-04-04T13:54:02Z</dcterms:modified>
</cp:coreProperties>
</file>